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98e4c0aac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-moi" sheetId="1" r:id="R454cc1f6bc5d4f2b"/>
    <x:sheet xmlns:r="http://schemas.openxmlformats.org/officeDocument/2006/relationships" name="01_Parametres" sheetId="2" r:id="R0a1e91fa550943ad"/>
    <x:sheet xmlns:r="http://schemas.openxmlformats.org/officeDocument/2006/relationships" name="02_Referentiels" sheetId="3" r:id="R9fb7195866474441"/>
    <x:sheet xmlns:r="http://schemas.openxmlformats.org/officeDocument/2006/relationships" name="03_Dictionnaire" sheetId="4" r:id="R71545900f05e4fa3"/>
    <x:sheet xmlns:r="http://schemas.openxmlformats.org/officeDocument/2006/relationships" name="10_Repondants" sheetId="5" r:id="Rd3f3861f03904c8e"/>
    <x:sheet xmlns:r="http://schemas.openxmlformats.org/officeDocument/2006/relationships" name="11_StatScores" sheetId="6" r:id="R28be1fe804d64977"/>
    <x:sheet xmlns:r="http://schemas.openxmlformats.org/officeDocument/2006/relationships" name="12_Genre" sheetId="7" r:id="Ra5bfbbc2692d457b"/>
    <x:sheet xmlns:r="http://schemas.openxmlformats.org/officeDocument/2006/relationships" name="13_Capacite" sheetId="8" r:id="R230e716302414437"/>
    <x:sheet xmlns:r="http://schemas.openxmlformats.org/officeDocument/2006/relationships" name="14_Selections" sheetId="9" r:id="R690eced75c5549f1"/>
    <x:sheet xmlns:r="http://schemas.openxmlformats.org/officeDocument/2006/relationships" name="20_QC" sheetId="10" r:id="R1497e792328840e1"/>
    <x:sheet xmlns:r="http://schemas.openxmlformats.org/officeDocument/2006/relationships" name="30_Domaines" sheetId="11" r:id="Re8fadf005f8e4367"/>
    <x:sheet xmlns:r="http://schemas.openxmlformats.org/officeDocument/2006/relationships" name="31_Stats" sheetId="12" r:id="R3ee36d261c204006"/>
    <x:sheet xmlns:r="http://schemas.openxmlformats.org/officeDocument/2006/relationships" name="32_Profils" sheetId="13" r:id="Rf813c250092e47f8"/>
    <x:sheet xmlns:r="http://schemas.openxmlformats.org/officeDocument/2006/relationships" name="33_Genre_ana" sheetId="14" r:id="R7b07fef603f5499e"/>
    <x:sheet xmlns:r="http://schemas.openxmlformats.org/officeDocument/2006/relationships" name="34_Capacite_ana" sheetId="15" r:id="Rb349d096acce4a56"/>
    <x:sheet xmlns:r="http://schemas.openxmlformats.org/officeDocument/2006/relationships" name="35_Qual_Diff_Sources" sheetId="16" r:id="R8b8fa04f38f643d9"/>
    <x:sheet xmlns:r="http://schemas.openxmlformats.org/officeDocument/2006/relationships" name="40_Dashboard" sheetId="17" r:id="Rd7028f01ef9342b9"/>
  </x:sheets>
  <x:definedNames>
    <x:definedName name="_xlnm._FilterDatabase" localSheetId="4" hidden="1">'10_Repondants'!$A$4:$R$4</x:definedName>
    <x:definedName name="_xlnm._FilterDatabase" localSheetId="5" hidden="1">'11_StatScores'!$A$4:$L$4</x:definedName>
    <x:definedName name="_xlnm._FilterDatabase" localSheetId="6" hidden="1">'12_Genre'!$A$4:$H$4</x:definedName>
    <x:definedName name="_xlnm._FilterDatabase" localSheetId="7" hidden="1">'13_Capacite'!$A$4:$G$4</x:definedName>
    <x:definedName name="_xlnm._FilterDatabase" localSheetId="8" hidden="1">'14_Selections'!$A$4:$D$4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"/>
  </x:numFmts>
  <x:fonts count="9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i/>
      <x:color rgb="001F4E79"/>
    </x:font>
    <x:font>
      <x:i/>
      <x:color rgb="007F6000"/>
    </x:font>
    <x:font>
      <x:b/>
      <x:sz val="14"/>
      <x:color rgb="001F4E79"/>
    </x:font>
    <x:font>
      <x:b/>
    </x:font>
    <x:font>
      <x:color rgb="000000FF"/>
    </x:font>
    <x:font>
      <x:b/>
      <x:color rgb="001F4E79"/>
    </x:font>
    <x:font>
      <x:b/>
      <x:color rgb="00FFFFFF"/>
    </x:font>
  </x:fonts>
  <x:fills count="5">
    <x:fill>
      <x:patternFill patternType="none"/>
    </x:fill>
    <x:fill>
      <x:patternFill patternType="gray125"/>
    </x:fill>
    <x:fill>
      <x:patternFill patternType="solid">
        <x:fgColor rgb="00FFF2CC"/>
      </x:patternFill>
    </x:fill>
    <x:fill>
      <x:patternFill patternType="solid">
        <x:fgColor rgb="00D9E1F2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C0C0C0"/>
      </x:left>
      <x:right style="thin">
        <x:color rgb="00C0C0C0"/>
      </x:right>
      <x:top style="thin">
        <x:color rgb="00C0C0C0"/>
      </x:top>
      <x:bottom style="thin">
        <x:color rgb="00C0C0C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left" vertical="top" wrapText="1"/>
    </x:xf>
    <x:xf numFmtId="0" fontId="4" fillId="0" borderId="0" xfId="0"/>
    <x:xf numFmtId="0" fontId="5" fillId="0" borderId="0" xfId="0"/>
    <x:xf numFmtId="0" fontId="6" fillId="0" borderId="0" xfId="0" applyAlignment="1">
      <x:alignment horizontal="center" vertical="center" wrapText="1"/>
    </x:xf>
    <x:xf numFmtId="2" fontId="0" fillId="0" borderId="0" xfId="0"/>
    <x:xf numFmtId="0" fontId="6" fillId="0" borderId="0" xfId="0"/>
    <x:xf numFmtId="0" fontId="7" fillId="3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8" fillId="4" borderId="1" xfId="0" applyAlignment="1">
      <x:alignment horizontal="center" vertical="center" wrapText="1"/>
    </x:xf>
    <x:xf numFmtId="164" fontId="6" fillId="0" borderId="0" xfId="0"/>
    <x:xf numFmtId="2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36c1e384c443f" /><Relationship Type="http://schemas.openxmlformats.org/officeDocument/2006/relationships/theme" Target="/xl/theme/theme1.xml" Id="R437b64b9f4fd4913" /><Relationship Type="http://schemas.openxmlformats.org/officeDocument/2006/relationships/sharedStrings" Target="/xl/sharedStrings.xml" Id="R154c9c32ed0840c7" /><Relationship Type="http://schemas.openxmlformats.org/officeDocument/2006/relationships/worksheet" Target="/xl/worksheets/sheet1.xml" Id="R454cc1f6bc5d4f2b" /><Relationship Type="http://schemas.openxmlformats.org/officeDocument/2006/relationships/worksheet" Target="/xl/worksheets/sheet2.xml" Id="R0a1e91fa550943ad" /><Relationship Type="http://schemas.openxmlformats.org/officeDocument/2006/relationships/worksheet" Target="/xl/worksheets/sheet3.xml" Id="R9fb7195866474441" /><Relationship Type="http://schemas.openxmlformats.org/officeDocument/2006/relationships/worksheet" Target="/xl/worksheets/sheet4.xml" Id="R71545900f05e4fa3" /><Relationship Type="http://schemas.openxmlformats.org/officeDocument/2006/relationships/worksheet" Target="/xl/worksheets/sheet5.xml" Id="Rd3f3861f03904c8e" /><Relationship Type="http://schemas.openxmlformats.org/officeDocument/2006/relationships/worksheet" Target="/xl/worksheets/sheet6.xml" Id="R28be1fe804d64977" /><Relationship Type="http://schemas.openxmlformats.org/officeDocument/2006/relationships/worksheet" Target="/xl/worksheets/sheet7.xml" Id="Ra5bfbbc2692d457b" /><Relationship Type="http://schemas.openxmlformats.org/officeDocument/2006/relationships/worksheet" Target="/xl/worksheets/sheet8.xml" Id="R230e716302414437" /><Relationship Type="http://schemas.openxmlformats.org/officeDocument/2006/relationships/worksheet" Target="/xl/worksheets/sheet9.xml" Id="R690eced75c5549f1" /><Relationship Type="http://schemas.openxmlformats.org/officeDocument/2006/relationships/worksheet" Target="/xl/worksheets/sheet10.xml" Id="R1497e792328840e1" /><Relationship Type="http://schemas.openxmlformats.org/officeDocument/2006/relationships/worksheet" Target="/xl/worksheets/sheet11.xml" Id="Re8fadf005f8e4367" /><Relationship Type="http://schemas.openxmlformats.org/officeDocument/2006/relationships/worksheet" Target="/xl/worksheets/sheet12.xml" Id="R3ee36d261c204006" /><Relationship Type="http://schemas.openxmlformats.org/officeDocument/2006/relationships/worksheet" Target="/xl/worksheets/sheet13.xml" Id="Rf813c250092e47f8" /><Relationship Type="http://schemas.openxmlformats.org/officeDocument/2006/relationships/worksheet" Target="/xl/worksheets/sheet14.xml" Id="R7b07fef603f5499e" /><Relationship Type="http://schemas.openxmlformats.org/officeDocument/2006/relationships/worksheet" Target="/xl/worksheets/sheet15.xml" Id="Rb349d096acce4a56" /><Relationship Type="http://schemas.openxmlformats.org/officeDocument/2006/relationships/worksheet" Target="/xl/worksheets/sheet16.xml" Id="R8b8fa04f38f643d9" /><Relationship Type="http://schemas.openxmlformats.org/officeDocument/2006/relationships/worksheet" Target="/xl/worksheets/sheet17.xml" Id="Rd7028f01ef9342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1c9b4ee39b432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domaines (points)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'30_Domaines'!I5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'30_Domaines'!$B$6:$B$17</c:f>
              <c:strCache>
                <c:ptCount val="0"/>
              </c:strCache>
            </c:strRef>
          </c:cat>
          <c:val>
            <c:numRef>
              <c:f>'30_Domaines'!$I$6:$I$17</c:f>
              <c:numCache>
                <c:formatCode/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1c9b4ee39b43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24b19932dd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>
      <x:c r="A1" s="1" t="inlineStr">
        <x:is>
          <x:t xml:space="preserve">Classeur d'analyse approfondie - Enquête app22</x:t>
        </x:is>
      </x:c>
    </x:row>
    <x:row r="2">
      <x:c r="A2" s="2" t="inlineStr">
        <x:is>
          <x:t xml:space="preserve">Version : 14/02/2026</x:t>
        </x:is>
      </x:c>
    </x:row>
    <x:row r="4">
      <x:c r="A4" s="3" t="inlineStr">
        <x:is>
          <x:t xml:space="preserve">Objectif : analyser en profondeur les résultats de l'enquête app22 (domaines, statistiques, scores, profils, capacités, genre, qualité, diffusion, sources).
Étapes :
1) Remplissez les feuilles d'entrée 10 à 14 (format long 'tidy').
2) Vérifiez les alertes dans 20_QC.
3) Consultez les analyses 30 à 35 et le tableau de bord 40.
Couleur : les cellules en bleu sont des champs à saisir / paramètres.
Note : les feuilles sont pré-formatées pour ~600 soumissions et ~2000 lignes de notation. Si besoin, copiez les formules vers le bas.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customWidth="1"/>
    <x:col min="2" max="2" width="18" customWidth="1"/>
    <x:col min="4" max="4" width="60" customWidth="1"/>
  </x:cols>
  <x:sheetData>
    <x:row r="1">
      <x:c r="A1" s="4" t="inlineStr">
        <x:is>
          <x:t xml:space="preserve">Paramètres d'analyse</x:t>
        </x:is>
      </x:c>
    </x:row>
    <x:row r="3">
      <x:c r="A3" s="5" t="inlineStr">
        <x:is>
          <x:t xml:space="preserve">Poids des critères (score composite)</x:t>
        </x:is>
      </x:c>
    </x:row>
    <x:row r="4">
      <x:c r="A4" t="inlineStr">
        <x:is>
          <x:t xml:space="preserve">Demande politique</x:t>
        </x:is>
      </x:c>
      <x:c r="B4" s="6" t="n">
        <x:v>1</x:v>
      </x:c>
      <x:c r="D4" s="3" t="inlineStr">
        <x:is>
          <x:t xml:space="preserve">Ces poids alimentent le score composite dans 11_StatScores et les agrégations par statistique.</x:t>
        </x:is>
      </x:c>
    </x:row>
    <x:row r="5">
      <x:c r="A5" t="inlineStr">
        <x:is>
          <x:t xml:space="preserve">Disponibilité actuelle</x:t>
        </x:is>
      </x:c>
      <x:c r="B5" s="6" t="n">
        <x:v>1</x:v>
      </x:c>
    </x:row>
    <x:row r="6">
      <x:c r="A6" t="inlineStr">
        <x:is>
          <x:t xml:space="preserve">Faisabilité (12–24 mois)</x:t>
        </x:is>
      </x:c>
      <x:c r="B6" s="6" t="n">
        <x:v>1</x:v>
      </x:c>
    </x:row>
    <x:row r="8">
      <x:c r="A8" t="inlineStr">
        <x:is>
          <x:t xml:space="preserve">Somme des poids</x:t>
        </x:is>
      </x:c>
      <x:c r="B8" s="7">
        <x:f>SUM(B4:B6)</x:f>
        <x:v>3</x:v>
      </x:c>
    </x:row>
    <x:row r="11">
      <x:c r="A11" t="inlineStr">
        <x:is>
          <x:t xml:space="preserve">Exclure les zéros (NSP) des moyennes</x:t>
        </x:is>
      </x:c>
      <x:c r="B11" s="8" t="inlineStr">
        <x:is>
          <x:t xml:space="preserve">Oui</x:t>
        </x:is>
      </x:c>
      <x:c r="D11" s="3" t="inlineStr">
        <x:is>
          <x:t xml:space="preserve">Oui : les scores = 0 (NSP) ne contribuent pas aux moyennes. Non : les 0 sont inclus.</x:t>
        </x:is>
      </x:c>
    </x:row>
    <x:row r="13">
      <x:c r="A13" t="inlineStr">
        <x:is>
          <x:t xml:space="preserve">Top N (dashboard)</x:t>
        </x:is>
      </x:c>
      <x:c r="B13" s="8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48" customWidth="1"/>
    <x:col min="3" max="3" width="48" customWidth="1"/>
    <x:col min="4" max="4" width="62" customWidth="1"/>
  </x:cols>
  <x:sheetData>
    <x:row r="1">
      <x:c r="A1" s="4" t="inlineStr">
        <x:is>
          <x:t xml:space="preserve">Référentiels</x:t>
        </x:is>
      </x:c>
    </x:row>
    <x:row r="3">
      <x:c r="A3" s="5" t="inlineStr">
        <x:is>
          <x:t xml:space="preserve">Domaines (longlist)</x:t>
        </x:is>
      </x:c>
    </x:row>
    <x:row r="4">
      <x:c r="A4" s="9" t="inlineStr">
        <x:is>
          <x:t xml:space="preserve">Domain_code</x:t>
        </x:is>
      </x:c>
      <x:c r="B4" s="9" t="inlineStr">
        <x:is>
          <x:t xml:space="preserve">Domain_label_fr</x:t>
        </x:is>
      </x:c>
      <x:c r="C4" s="9" t="inlineStr">
        <x:is>
          <x:t xml:space="preserve">Domain_label_en</x:t>
        </x:is>
      </x:c>
    </x:row>
    <x:row r="5">
      <x:c r="A5" s="10" t="inlineStr">
        <x:is>
          <x:t xml:space="preserve">D01</x:t>
        </x:is>
      </x:c>
      <x:c r="B5" s="10" t="inlineStr">
        <x:is>
          <x:t xml:space="preserve">Croissance Économique, Transformation Structurelle et Commerce</x:t>
        </x:is>
      </x:c>
      <x:c r="C5" s="10" t="inlineStr">
        <x:is>
          <x:t xml:space="preserve">Economic Growth, Structural Transformation and Trade</x:t>
        </x:is>
      </x:c>
    </x:row>
    <x:row r="6">
      <x:c r="A6" s="10" t="inlineStr">
        <x:is>
          <x:t xml:space="preserve">D02</x:t>
        </x:is>
      </x:c>
      <x:c r="B6" s="10" t="inlineStr">
        <x:is>
          <x:t xml:space="preserve">Emploi, Travail Décent et Protection Sociale</x:t>
        </x:is>
      </x:c>
      <x:c r="C6" s="10" t="inlineStr">
        <x:is>
          <x:t xml:space="preserve">Employment, Decent Work and Social Protection</x:t>
        </x:is>
      </x:c>
    </x:row>
    <x:row r="7">
      <x:c r="A7" s="10" t="inlineStr">
        <x:is>
          <x:t xml:space="preserve">D03</x:t>
        </x:is>
      </x:c>
      <x:c r="B7" s="10" t="inlineStr">
        <x:is>
          <x:t xml:space="preserve">Agriculture durable, Sécurité alimentaire et Nutrition</x:t>
        </x:is>
      </x:c>
      <x:c r="C7" s="10" t="inlineStr">
        <x:is>
          <x:t xml:space="preserve">Sustainable Agriculture, Food Security and Nutrition</x:t>
        </x:is>
      </x:c>
    </x:row>
    <x:row r="8">
      <x:c r="A8" s="10" t="inlineStr">
        <x:is>
          <x:t xml:space="preserve">D04</x:t>
        </x:is>
      </x:c>
      <x:c r="B8" s="10" t="inlineStr">
        <x:is>
          <x:t xml:space="preserve">Infrastructures, Industrialisation et Innovation</x:t>
        </x:is>
      </x:c>
      <x:c r="C8" s="10" t="inlineStr">
        <x:is>
          <x:t xml:space="preserve">Infrastructure, Industrialization and Innovation</x:t>
        </x:is>
      </x:c>
    </x:row>
    <x:row r="9">
      <x:c r="A9" s="10" t="inlineStr">
        <x:is>
          <x:t xml:space="preserve">D05</x:t>
        </x:is>
      </x:c>
      <x:c r="B9" s="10" t="inlineStr">
        <x:is>
          <x:t xml:space="preserve">Inclusion, Pauvreté et Inégalités</x:t>
        </x:is>
      </x:c>
      <x:c r="C9" s="10" t="inlineStr">
        <x:is>
          <x:t xml:space="preserve">Inclusion, Poverty and Inequalities</x:t>
        </x:is>
      </x:c>
    </x:row>
    <x:row r="10">
      <x:c r="A10" s="10" t="inlineStr">
        <x:is>
          <x:t xml:space="preserve">D06</x:t>
        </x:is>
      </x:c>
      <x:c r="B10" s="10" t="inlineStr">
        <x:is>
          <x:t xml:space="preserve">Éducation, Compétences et Capital Humain</x:t>
        </x:is>
      </x:c>
      <x:c r="C10" s="10" t="inlineStr">
        <x:is>
          <x:t xml:space="preserve">Education, Skills and Human Capital</x:t>
        </x:is>
      </x:c>
    </x:row>
    <x:row r="11">
      <x:c r="A11" s="10" t="inlineStr">
        <x:is>
          <x:t xml:space="preserve">D07</x:t>
        </x:is>
      </x:c>
      <x:c r="B11" s="10" t="inlineStr">
        <x:is>
          <x:t xml:space="preserve">Santé, Bien-être et Accès Universel</x:t>
        </x:is>
      </x:c>
      <x:c r="C11" s="10" t="inlineStr">
        <x:is>
          <x:t xml:space="preserve">Health, Well-being and Universal Access</x:t>
        </x:is>
      </x:c>
    </x:row>
    <x:row r="12">
      <x:c r="A12" s="10" t="inlineStr">
        <x:is>
          <x:t xml:space="preserve">D08</x:t>
        </x:is>
      </x:c>
      <x:c r="B12" s="10" t="inlineStr">
        <x:is>
          <x:t xml:space="preserve">Égalité des Genres et Autonomisation</x:t>
        </x:is>
      </x:c>
      <x:c r="C12" s="10" t="inlineStr">
        <x:is>
          <x:t xml:space="preserve">Gender Equality and Empowerment</x:t>
        </x:is>
      </x:c>
    </x:row>
    <x:row r="13">
      <x:c r="A13" s="10" t="inlineStr">
        <x:is>
          <x:t xml:space="preserve">D09</x:t>
        </x:is>
      </x:c>
      <x:c r="B13" s="10" t="inlineStr">
        <x:is>
          <x:t xml:space="preserve">Environnement, Résilience Climatique et Villes Durables</x:t>
        </x:is>
      </x:c>
      <x:c r="C13" s="10" t="inlineStr">
        <x:is>
          <x:t xml:space="preserve">Environment, Climate Resilience and Sustainable Cities</x:t>
        </x:is>
      </x:c>
    </x:row>
    <x:row r="14">
      <x:c r="A14" s="10" t="inlineStr">
        <x:is>
          <x:t xml:space="preserve">D10</x:t>
        </x:is>
      </x:c>
      <x:c r="B14" s="10" t="inlineStr">
        <x:is>
          <x:t xml:space="preserve">Gouvernance, Paix et Institutions</x:t>
        </x:is>
      </x:c>
      <x:c r="C14" s="10" t="inlineStr">
        <x:is>
          <x:t xml:space="preserve">Governance, Peace and Institutions</x:t>
        </x:is>
      </x:c>
    </x:row>
    <x:row r="15">
      <x:c r="A15" s="10" t="inlineStr">
        <x:is>
          <x:t xml:space="preserve">D11</x:t>
        </x:is>
      </x:c>
      <x:c r="B15" s="10" t="inlineStr">
        <x:is>
          <x:t xml:space="preserve">Économie Bleue et Gestion des Océans</x:t>
        </x:is>
      </x:c>
      <x:c r="C15" s="10" t="inlineStr">
        <x:is>
          <x:t xml:space="preserve">Blue Economy and Ocean Management</x:t>
        </x:is>
      </x:c>
    </x:row>
    <x:row r="16">
      <x:c r="A16" s="10" t="inlineStr">
        <x:is>
          <x:t xml:space="preserve">D12</x:t>
        </x:is>
      </x:c>
      <x:c r="B16" s="10" t="inlineStr">
        <x:is>
          <x:t xml:space="preserve">Partenariats et Financement du Développement</x:t>
        </x:is>
      </x:c>
      <x:c r="C16" s="10" t="inlineStr">
        <x:is>
          <x:t xml:space="preserve">Partnerships and Development Financing</x:t>
        </x:is>
      </x:c>
    </x:row>
    <x:row r="18">
      <x:c r="A18" s="5" t="inlineStr">
        <x:is>
          <x:t xml:space="preserve">Statistiques (longlist)</x:t>
        </x:is>
      </x:c>
    </x:row>
    <x:row r="19">
      <x:c r="A19" s="9" t="inlineStr">
        <x:is>
          <x:t xml:space="preserve">Stat_code</x:t>
        </x:is>
      </x:c>
      <x:c r="B19" s="9" t="inlineStr">
        <x:is>
          <x:t xml:space="preserve">Domain_code</x:t>
        </x:is>
      </x:c>
      <x:c r="C19" s="9" t="inlineStr">
        <x:is>
          <x:t xml:space="preserve">Stat_label_fr</x:t>
        </x:is>
      </x:c>
      <x:c r="D19" s="9" t="inlineStr">
        <x:is>
          <x:t xml:space="preserve">Stat_label_en</x:t>
        </x:is>
      </x:c>
    </x:row>
    <x:row r="20">
      <x:c r="A20" s="10" t="inlineStr">
        <x:is>
          <x:t xml:space="preserve">D01S01</x:t>
        </x:is>
      </x:c>
      <x:c r="B20" s="10" t="inlineStr">
        <x:is>
          <x:t xml:space="preserve">D01</x:t>
        </x:is>
      </x:c>
      <x:c r="C20" s="10" t="inlineStr">
        <x:is>
          <x:t xml:space="preserve">Taux de croissance du PIB réel</x:t>
        </x:is>
      </x:c>
      <x:c r="D20" s="10" t="inlineStr">
        <x:is>
          <x:t xml:space="preserve">Real GDP growth rate</x:t>
        </x:is>
      </x:c>
    </x:row>
    <x:row r="21">
      <x:c r="A21" s="10" t="inlineStr">
        <x:is>
          <x:t xml:space="preserve">D01S02</x:t>
        </x:is>
      </x:c>
      <x:c r="B21" s="10" t="inlineStr">
        <x:is>
          <x:t xml:space="preserve">D01</x:t>
        </x:is>
      </x:c>
      <x:c r="C21" s="10" t="inlineStr">
        <x:is>
          <x:t xml:space="preserve">PIB par habitant (USD constant)</x:t>
        </x:is>
      </x:c>
      <x:c r="D21" s="10" t="inlineStr">
        <x:is>
          <x:t xml:space="preserve">GDP per capita (constant USD)</x:t>
        </x:is>
      </x:c>
    </x:row>
    <x:row r="22">
      <x:c r="A22" s="10" t="inlineStr">
        <x:is>
          <x:t xml:space="preserve">D01S03</x:t>
        </x:is>
      </x:c>
      <x:c r="B22" s="10" t="inlineStr">
        <x:is>
          <x:t xml:space="preserve">D01</x:t>
        </x:is>
      </x:c>
      <x:c r="C22" s="10" t="inlineStr">
        <x:is>
          <x:t xml:space="preserve">Part de la Valeur Ajoutée Manufacturière (VAM) dans le PIB</x:t>
        </x:is>
      </x:c>
      <x:c r="D22" s="10" t="inlineStr">
        <x:is>
          <x:t xml:space="preserve">Manufacturing Value Added (MVA) share in GDP</x:t>
        </x:is>
      </x:c>
    </x:row>
    <x:row r="23">
      <x:c r="A23" s="10" t="inlineStr">
        <x:is>
          <x:t xml:space="preserve">D01S04</x:t>
        </x:is>
      </x:c>
      <x:c r="B23" s="10" t="inlineStr">
        <x:is>
          <x:t xml:space="preserve">D01</x:t>
        </x:is>
      </x:c>
      <x:c r="C23" s="10" t="inlineStr">
        <x:is>
          <x:t xml:space="preserve">Part des produits de haute technologie dans les exportations manufacturées</x:t>
        </x:is>
      </x:c>
      <x:c r="D23" s="10" t="inlineStr">
        <x:is>
          <x:t xml:space="preserve">Share of high-tech products in manufactured exports</x:t>
        </x:is>
      </x:c>
    </x:row>
    <x:row r="24">
      <x:c r="A24" s="10" t="inlineStr">
        <x:is>
          <x:t xml:space="preserve">D01S05</x:t>
        </x:is>
      </x:c>
      <x:c r="B24" s="10" t="inlineStr">
        <x:is>
          <x:t xml:space="preserve">D01</x:t>
        </x:is>
      </x:c>
      <x:c r="C24" s="10" t="inlineStr">
        <x:is>
          <x:t xml:space="preserve">Part de l'Afrique dans la valeur ajoutée manufacturière mondiale</x:t>
        </x:is>
      </x:c>
      <x:c r="D24" s="10" t="inlineStr">
        <x:is>
          <x:t xml:space="preserve">Africa's share in global manufacturing value added</x:t>
        </x:is>
      </x:c>
    </x:row>
    <x:row r="25">
      <x:c r="A25" s="10" t="inlineStr">
        <x:is>
          <x:t xml:space="preserve">D01S06</x:t>
        </x:is>
      </x:c>
      <x:c r="B25" s="10" t="inlineStr">
        <x:is>
          <x:t xml:space="preserve">D01</x:t>
        </x:is>
      </x:c>
      <x:c r="C25" s="10" t="inlineStr">
        <x:is>
          <x:t xml:space="preserve">Part du commerce intra-africain dans le commerce total</x:t>
        </x:is>
      </x:c>
      <x:c r="D25" s="10" t="inlineStr">
        <x:is>
          <x:t xml:space="preserve">Intra-African trade share in total trade</x:t>
        </x:is>
      </x:c>
    </x:row>
    <x:row r="26">
      <x:c r="A26" s="10" t="inlineStr">
        <x:is>
          <x:t xml:space="preserve">D01S07</x:t>
        </x:is>
      </x:c>
      <x:c r="B26" s="10" t="inlineStr">
        <x:is>
          <x:t xml:space="preserve">D01</x:t>
        </x:is>
      </x:c>
      <x:c r="C26" s="10" t="inlineStr">
        <x:is>
          <x:t xml:space="preserve">Indice de diversification économique</x:t>
        </x:is>
      </x:c>
      <x:c r="D26" s="10" t="inlineStr">
        <x:is>
          <x:t xml:space="preserve">Economic diversification index</x:t>
        </x:is>
      </x:c>
    </x:row>
    <x:row r="27">
      <x:c r="A27" s="10" t="inlineStr">
        <x:is>
          <x:t xml:space="preserve">D01S08</x:t>
        </x:is>
      </x:c>
      <x:c r="B27" s="10" t="inlineStr">
        <x:is>
          <x:t xml:space="preserve">D01</x:t>
        </x:is>
      </x:c>
      <x:c r="C27" s="10" t="inlineStr">
        <x:is>
          <x:t xml:space="preserve">Contribution directe du tourisme au PIB</x:t>
        </x:is>
      </x:c>
      <x:c r="D27" s="10" t="inlineStr">
        <x:is>
          <x:t xml:space="preserve">Direct contribution of tourism to GDP</x:t>
        </x:is>
      </x:c>
    </x:row>
    <x:row r="28">
      <x:c r="A28" s="10" t="inlineStr">
        <x:is>
          <x:t xml:space="preserve">D01S09</x:t>
        </x:is>
      </x:c>
      <x:c r="B28" s="10" t="inlineStr">
        <x:is>
          <x:t xml:space="preserve">D01</x:t>
        </x:is>
      </x:c>
      <x:c r="C28" s="10" t="inlineStr">
        <x:is>
          <x:t xml:space="preserve">Formation brute de capital fixe (% PIB)</x:t>
        </x:is>
      </x:c>
      <x:c r="D28" s="10" t="inlineStr">
        <x:is>
          <x:t xml:space="preserve">Gross fixed capital formation (% of GDP)</x:t>
        </x:is>
      </x:c>
    </x:row>
    <x:row r="29">
      <x:c r="A29" s="10" t="inlineStr">
        <x:is>
          <x:t xml:space="preserve">D01S10</x:t>
        </x:is>
      </x:c>
      <x:c r="B29" s="10" t="inlineStr">
        <x:is>
          <x:t xml:space="preserve">D01</x:t>
        </x:is>
      </x:c>
      <x:c r="C29" s="10" t="inlineStr">
        <x:is>
          <x:t xml:space="preserve">Pays commerçant sous le régime ZLECA</x:t>
        </x:is>
      </x:c>
      <x:c r="D29" s="10" t="inlineStr">
        <x:is>
          <x:t xml:space="preserve">Countries trading under the AfCFTA regime</x:t>
        </x:is>
      </x:c>
    </x:row>
    <x:row r="30">
      <x:c r="A30" s="10" t="inlineStr">
        <x:is>
          <x:t xml:space="preserve">D02S11</x:t>
        </x:is>
      </x:c>
      <x:c r="B30" s="10" t="inlineStr">
        <x:is>
          <x:t xml:space="preserve">D02</x:t>
        </x:is>
      </x:c>
      <x:c r="C30" s="10" t="inlineStr">
        <x:is>
          <x:t xml:space="preserve">Taux de chômage (total, jeunes, femmes)</x:t>
        </x:is>
      </x:c>
      <x:c r="D30" s="10" t="inlineStr">
        <x:is>
          <x:t xml:space="preserve">Unemployment rate (total, youth, women)</x:t>
        </x:is>
      </x:c>
    </x:row>
    <x:row r="31">
      <x:c r="A31" s="10" t="inlineStr">
        <x:is>
          <x:t xml:space="preserve">D02S12</x:t>
        </x:is>
      </x:c>
      <x:c r="B31" s="10" t="inlineStr">
        <x:is>
          <x:t xml:space="preserve">D02</x:t>
        </x:is>
      </x:c>
      <x:c r="C31" s="10" t="inlineStr">
        <x:is>
          <x:t xml:space="preserve">Nombre d'emplois créés (dont jeunes)</x:t>
        </x:is>
      </x:c>
      <x:c r="D31" s="10" t="inlineStr">
        <x:is>
          <x:t xml:space="preserve">Number of jobs created (including youth)</x:t>
        </x:is>
      </x:c>
    </x:row>
    <x:row r="32">
      <x:c r="A32" s="10" t="inlineStr">
        <x:is>
          <x:t xml:space="preserve">D02S13</x:t>
        </x:is>
      </x:c>
      <x:c r="B32" s="10" t="inlineStr">
        <x:is>
          <x:t xml:space="preserve">D02</x:t>
        </x:is>
      </x:c>
      <x:c r="C32" s="10" t="inlineStr">
        <x:is>
          <x:t xml:space="preserve">Taux de jeunes NEET (Ni en emploi, éducation ou formation) (15-24 ans)</x:t>
        </x:is>
      </x:c>
      <x:c r="D32" s="10" t="inlineStr">
        <x:is>
          <x:t xml:space="preserve">Share of youth NEET (Not in Employment, Education or Training) (15–24)</x:t>
        </x:is>
      </x:c>
    </x:row>
    <x:row r="33">
      <x:c r="A33" s="10" t="inlineStr">
        <x:is>
          <x:t xml:space="preserve">D02S14</x:t>
        </x:is>
      </x:c>
      <x:c r="B33" s="10" t="inlineStr">
        <x:is>
          <x:t xml:space="preserve">D02</x:t>
        </x:is>
      </x:c>
      <x:c r="C33" s="10" t="inlineStr">
        <x:is>
          <x:t xml:space="preserve">Taux de couverture de la protection sociale</x:t>
        </x:is>
      </x:c>
      <x:c r="D33" s="10" t="inlineStr">
        <x:is>
          <x:t xml:space="preserve">Social protection coverage rate</x:t>
        </x:is>
      </x:c>
    </x:row>
    <x:row r="34">
      <x:c r="A34" s="10" t="inlineStr">
        <x:is>
          <x:t xml:space="preserve">D02S15</x:t>
        </x:is>
      </x:c>
      <x:c r="B34" s="10" t="inlineStr">
        <x:is>
          <x:t xml:space="preserve">D02</x:t>
        </x:is>
      </x:c>
      <x:c r="C34" s="10" t="inlineStr">
        <x:is>
          <x:t xml:space="preserve">Pourcentage d'enfants (5-17 ans) au travail</x:t>
        </x:is>
      </x:c>
      <x:c r="D34" s="10" t="inlineStr">
        <x:is>
          <x:t xml:space="preserve">Percentage of children (5–17) in child labour</x:t>
        </x:is>
      </x:c>
    </x:row>
    <x:row r="35">
      <x:c r="A35" s="10" t="inlineStr">
        <x:is>
          <x:t xml:space="preserve">D02S16</x:t>
        </x:is>
      </x:c>
      <x:c r="B35" s="10" t="inlineStr">
        <x:is>
          <x:t xml:space="preserve">D02</x:t>
        </x:is>
      </x:c>
      <x:c r="C35" s="10" t="inlineStr">
        <x:is>
          <x:t xml:space="preserve">Part de l'emploi informel dans l'emploi total</x:t>
        </x:is>
      </x:c>
      <x:c r="D35" s="10" t="inlineStr">
        <x:is>
          <x:t xml:space="preserve">Share of informal employment in total employment</x:t>
        </x:is>
      </x:c>
    </x:row>
    <x:row r="36">
      <x:c r="A36" s="10" t="inlineStr">
        <x:is>
          <x:t xml:space="preserve">D02S17</x:t>
        </x:is>
      </x:c>
      <x:c r="B36" s="10" t="inlineStr">
        <x:is>
          <x:t xml:space="preserve">D02</x:t>
        </x:is>
      </x:c>
      <x:c r="C36" s="10" t="inlineStr">
        <x:is>
          <x:t xml:space="preserve">Écart de rémunération horaire hommes-femmes</x:t>
        </x:is>
      </x:c>
      <x:c r="D36" s="10" t="inlineStr">
        <x:is>
          <x:t xml:space="preserve">Gender gap in hourly earnings</x:t>
        </x:is>
      </x:c>
    </x:row>
    <x:row r="37">
      <x:c r="A37" s="10" t="inlineStr">
        <x:is>
          <x:t xml:space="preserve">D03S18</x:t>
        </x:is>
      </x:c>
      <x:c r="B37" s="10" t="inlineStr">
        <x:is>
          <x:t xml:space="preserve">D03</x:t>
        </x:is>
      </x:c>
      <x:c r="C37" s="10" t="inlineStr">
        <x:is>
          <x:t xml:space="preserve">Prévalence de la sous-alimentation (Faim)</x:t>
        </x:is>
      </x:c>
      <x:c r="D37" s="10" t="inlineStr">
        <x:is>
          <x:t xml:space="preserve">Prevalence of undernourishment (hunger)</x:t>
        </x:is>
      </x:c>
    </x:row>
    <x:row r="38">
      <x:c r="A38" s="10" t="inlineStr">
        <x:is>
          <x:t xml:space="preserve">D03S19</x:t>
        </x:is>
      </x:c>
      <x:c r="B38" s="10" t="inlineStr">
        <x:is>
          <x:t xml:space="preserve">D03</x:t>
        </x:is>
      </x:c>
      <x:c r="C38" s="10" t="inlineStr">
        <x:is>
          <x:t xml:space="preserve">Prévalence du retard de croissance (enfants &lt;5 ans)</x:t>
        </x:is>
      </x:c>
      <x:c r="D38" s="10" t="inlineStr">
        <x:is>
          <x:t xml:space="preserve">Prevalence of stunting (children under 5)</x:t>
        </x:is>
      </x:c>
    </x:row>
    <x:row r="39">
      <x:c r="A39" s="10" t="inlineStr">
        <x:is>
          <x:t xml:space="preserve">D03S20</x:t>
        </x:is>
      </x:c>
      <x:c r="B39" s="10" t="inlineStr">
        <x:is>
          <x:t xml:space="preserve">D03</x:t>
        </x:is>
      </x:c>
      <x:c r="C39" s="10" t="inlineStr">
        <x:is>
          <x:t xml:space="preserve">Taux de croissance des rendements agricoles</x:t>
        </x:is>
      </x:c>
      <x:c r="D39" s="10" t="inlineStr">
        <x:is>
          <x:t xml:space="preserve">Growth rate of agricultural yields</x:t>
        </x:is>
      </x:c>
    </x:row>
    <x:row r="40">
      <x:c r="A40" s="10" t="inlineStr">
        <x:is>
          <x:t xml:space="preserve">D03S21</x:t>
        </x:is>
      </x:c>
      <x:c r="B40" s="10" t="inlineStr">
        <x:is>
          <x:t xml:space="preserve">D03</x:t>
        </x:is>
      </x:c>
      <x:c r="C40" s="10" t="inlineStr">
        <x:is>
          <x:t xml:space="preserve">Réduction des pertes post-récolte</x:t>
        </x:is>
      </x:c>
      <x:c r="D40" s="10" t="inlineStr">
        <x:is>
          <x:t xml:space="preserve">Reduction in post-harvest losses</x:t>
        </x:is>
      </x:c>
    </x:row>
    <x:row r="41">
      <x:c r="A41" s="10" t="inlineStr">
        <x:is>
          <x:t xml:space="preserve">D03S22</x:t>
        </x:is>
      </x:c>
      <x:c r="B41" s="10" t="inlineStr">
        <x:is>
          <x:t xml:space="preserve">D03</x:t>
        </x:is>
      </x:c>
      <x:c r="C41" s="10" t="inlineStr">
        <x:is>
          <x:t xml:space="preserve">Part des importations alimentaires / importations totales</x:t>
        </x:is>
      </x:c>
      <x:c r="D41" s="10" t="inlineStr">
        <x:is>
          <x:t xml:space="preserve">Share of food imports in total imports</x:t>
        </x:is>
      </x:c>
    </x:row>
    <x:row r="42">
      <x:c r="A42" s="10" t="inlineStr">
        <x:is>
          <x:t xml:space="preserve">D03S23</x:t>
        </x:is>
      </x:c>
      <x:c r="B42" s="10" t="inlineStr">
        <x:is>
          <x:t xml:space="preserve">D03</x:t>
        </x:is>
      </x:c>
      <x:c r="C42" s="10" t="inlineStr">
        <x:is>
          <x:t xml:space="preserve">Terres sous gestion durable</x:t>
        </x:is>
      </x:c>
      <x:c r="D42" s="10" t="inlineStr">
        <x:is>
          <x:t xml:space="preserve">Land under sustainable management</x:t>
        </x:is>
      </x:c>
    </x:row>
    <x:row r="43">
      <x:c r="A43" s="10" t="inlineStr">
        <x:is>
          <x:t xml:space="preserve">D03S24</x:t>
        </x:is>
      </x:c>
      <x:c r="B43" s="10" t="inlineStr">
        <x:is>
          <x:t xml:space="preserve">D03</x:t>
        </x:is>
      </x:c>
      <x:c r="C43" s="10" t="inlineStr">
        <x:is>
          <x:t xml:space="preserve">Résilience climatique des ménages agricoles</x:t>
        </x:is>
      </x:c>
      <x:c r="D43" s="10" t="inlineStr">
        <x:is>
          <x:t xml:space="preserve">Climate resilience of agricultural households</x:t>
        </x:is>
      </x:c>
    </x:row>
    <x:row r="44">
      <x:c r="A44" s="10" t="inlineStr">
        <x:is>
          <x:t xml:space="preserve">D03S25</x:t>
        </x:is>
      </x:c>
      <x:c r="B44" s="10" t="inlineStr">
        <x:is>
          <x:t xml:space="preserve">D03</x:t>
        </x:is>
      </x:c>
      <x:c r="C44" s="10" t="inlineStr">
        <x:is>
          <x:t xml:space="preserve">Zones de Transformation Agro-industrielle (SAPZ) créées</x:t>
        </x:is>
      </x:c>
      <x:c r="D44" s="10" t="inlineStr">
        <x:is>
          <x:t xml:space="preserve">Special Agro-Industrial Processing Zones (SAPZ) established</x:t>
        </x:is>
      </x:c>
    </x:row>
    <x:row r="45">
      <x:c r="A45" s="10" t="inlineStr">
        <x:is>
          <x:t xml:space="preserve">D03S26</x:t>
        </x:is>
      </x:c>
      <x:c r="B45" s="10" t="inlineStr">
        <x:is>
          <x:t xml:space="preserve">D03</x:t>
        </x:is>
      </x:c>
      <x:c r="C45" s="10" t="inlineStr">
        <x:is>
          <x:t xml:space="preserve">Utilisation d'engrais (kg/ha)</x:t>
        </x:is>
      </x:c>
      <x:c r="D45" s="10" t="inlineStr">
        <x:is>
          <x:t xml:space="preserve">Fertilizer use (kg/ha)</x:t>
        </x:is>
      </x:c>
    </x:row>
    <x:row r="46">
      <x:c r="A46" s="10" t="inlineStr">
        <x:is>
          <x:t xml:space="preserve">D04S27</x:t>
        </x:is>
      </x:c>
      <x:c r="B46" s="10" t="inlineStr">
        <x:is>
          <x:t xml:space="preserve">D04</x:t>
        </x:is>
      </x:c>
      <x:c r="C46" s="10" t="inlineStr">
        <x:is>
          <x:t xml:space="preserve">Taux d’accès à l'électricité (Ménages)</x:t>
        </x:is>
      </x:c>
      <x:c r="D46" s="10" t="inlineStr">
        <x:is>
          <x:t xml:space="preserve">Access to electricity (households)</x:t>
        </x:is>
      </x:c>
    </x:row>
    <x:row r="47">
      <x:c r="A47" s="10" t="inlineStr">
        <x:is>
          <x:t xml:space="preserve">D04S28</x:t>
        </x:is>
      </x:c>
      <x:c r="B47" s="10" t="inlineStr">
        <x:is>
          <x:t xml:space="preserve">D04</x:t>
        </x:is>
      </x:c>
      <x:c r="C47" s="10" t="inlineStr">
        <x:is>
          <x:t xml:space="preserve">Accès Internet haut débit (Qualité)</x:t>
        </x:is>
      </x:c>
      <x:c r="D47" s="10" t="inlineStr">
        <x:is>
          <x:t xml:space="preserve">Broadband internet access (quality)</x:t>
        </x:is>
      </x:c>
    </x:row>
    <x:row r="48">
      <x:c r="A48" s="10" t="inlineStr">
        <x:is>
          <x:t xml:space="preserve">D04S29</x:t>
        </x:is>
      </x:c>
      <x:c r="B48" s="10" t="inlineStr">
        <x:is>
          <x:t xml:space="preserve">D04</x:t>
        </x:is>
      </x:c>
      <x:c r="C48" s="10" t="inlineStr">
        <x:is>
          <x:t xml:space="preserve">Connectivité routière interafricaine</x:t>
        </x:is>
      </x:c>
      <x:c r="D48" s="10" t="inlineStr">
        <x:is>
          <x:t xml:space="preserve">Inter-African road connectivity</x:t>
        </x:is>
      </x:c>
    </x:row>
    <x:row r="49">
      <x:c r="A49" s="10" t="inlineStr">
        <x:is>
          <x:t xml:space="preserve">D04S30</x:t>
        </x:is>
      </x:c>
      <x:c r="B49" s="10" t="inlineStr">
        <x:is>
          <x:t xml:space="preserve">D04</x:t>
        </x:is>
      </x:c>
      <x:c r="C49" s="10" t="inlineStr">
        <x:is>
          <x:t xml:space="preserve">Connectivité ferroviaire interafricaine</x:t>
        </x:is>
      </x:c>
      <x:c r="D49" s="10" t="inlineStr">
        <x:is>
          <x:t xml:space="preserve">Inter-African rail connectivity</x:t>
        </x:is>
      </x:c>
    </x:row>
    <x:row r="50">
      <x:c r="A50" s="10" t="inlineStr">
        <x:is>
          <x:t xml:space="preserve">D04S31</x:t>
        </x:is>
      </x:c>
      <x:c r="B50" s="10" t="inlineStr">
        <x:is>
          <x:t xml:space="preserve">D04</x:t>
        </x:is>
      </x:c>
      <x:c r="C50" s="10" t="inlineStr">
        <x:is>
          <x:t xml:space="preserve">Dépenses de R&amp;D (% PIB)</x:t>
        </x:is>
      </x:c>
      <x:c r="D50" s="10" t="inlineStr">
        <x:is>
          <x:t xml:space="preserve">R&amp;D expenditure (% of GDP)</x:t>
        </x:is>
      </x:c>
    </x:row>
    <x:row r="51">
      <x:c r="A51" s="10" t="inlineStr">
        <x:is>
          <x:t xml:space="preserve">D04S32</x:t>
        </x:is>
      </x:c>
      <x:c r="B51" s="10" t="inlineStr">
        <x:is>
          <x:t xml:space="preserve">D04</x:t>
        </x:is>
      </x:c>
      <x:c r="C51" s="10" t="inlineStr">
        <x:is>
          <x:t xml:space="preserve">Capacité de production électrique installée</x:t>
        </x:is>
      </x:c>
      <x:c r="D51" s="10" t="inlineStr">
        <x:is>
          <x:t xml:space="preserve">Installed electricity generation capacity</x:t>
        </x:is>
      </x:c>
    </x:row>
    <x:row r="52">
      <x:c r="A52" s="10" t="inlineStr">
        <x:is>
          <x:t xml:space="preserve">D04S33</x:t>
        </x:is>
      </x:c>
      <x:c r="B52" s="10" t="inlineStr">
        <x:is>
          <x:t xml:space="preserve">D04</x:t>
        </x:is>
      </x:c>
      <x:c r="C52" s="10" t="inlineStr">
        <x:is>
          <x:t xml:space="preserve">Contribution des services numériques au PIB</x:t>
        </x:is>
      </x:c>
      <x:c r="D52" s="10" t="inlineStr">
        <x:is>
          <x:t xml:space="preserve">Contribution of digital services to GDP</x:t>
        </x:is>
      </x:c>
    </x:row>
    <x:row r="53">
      <x:c r="A53" s="10" t="inlineStr">
        <x:is>
          <x:t xml:space="preserve">D04S34</x:t>
        </x:is>
      </x:c>
      <x:c r="B53" s="10" t="inlineStr">
        <x:is>
          <x:t xml:space="preserve">D04</x:t>
        </x:is>
      </x:c>
      <x:c r="C53" s="10" t="inlineStr">
        <x:is>
          <x:t xml:space="preserve">Part des énergies renouvelables</x:t>
        </x:is>
      </x:c>
      <x:c r="D53" s="10" t="inlineStr">
        <x:is>
          <x:t xml:space="preserve">Share of renewable energy</x:t>
        </x:is>
      </x:c>
    </x:row>
    <x:row r="54">
      <x:c r="A54" s="10" t="inlineStr">
        <x:is>
          <x:t xml:space="preserve">D05S35</x:t>
        </x:is>
      </x:c>
      <x:c r="B54" s="10" t="inlineStr">
        <x:is>
          <x:t xml:space="preserve">D05</x:t>
        </x:is>
      </x:c>
      <x:c r="C54" s="10" t="inlineStr">
        <x:is>
          <x:t xml:space="preserve">Taux de pauvreté (seuil national)</x:t>
        </x:is>
      </x:c>
      <x:c r="D54" s="10" t="inlineStr">
        <x:is>
          <x:t xml:space="preserve">Poverty rate (national poverty line)</x:t>
        </x:is>
      </x:c>
    </x:row>
    <x:row r="55">
      <x:c r="A55" s="10" t="inlineStr">
        <x:is>
          <x:t xml:space="preserve">D05S36</x:t>
        </x:is>
      </x:c>
      <x:c r="B55" s="10" t="inlineStr">
        <x:is>
          <x:t xml:space="preserve">D05</x:t>
        </x:is>
      </x:c>
      <x:c r="C55" s="10" t="inlineStr">
        <x:is>
          <x:t xml:space="preserve">Indice de Gini (Inégalités de revenus)</x:t>
        </x:is>
      </x:c>
      <x:c r="D55" s="10" t="inlineStr">
        <x:is>
          <x:t xml:space="preserve">Gini index (income inequality)</x:t>
        </x:is>
      </x:c>
    </x:row>
    <x:row r="56">
      <x:c r="A56" s="10" t="inlineStr">
        <x:is>
          <x:t xml:space="preserve">D05S37</x:t>
        </x:is>
      </x:c>
      <x:c r="B56" s="10" t="inlineStr">
        <x:is>
          <x:t xml:space="preserve">D05</x:t>
        </x:is>
      </x:c>
      <x:c r="C56" s="10" t="inlineStr">
        <x:is>
          <x:t xml:space="preserve">Accès à l'eau potable salubre</x:t>
        </x:is>
      </x:c>
      <x:c r="D56" s="10" t="inlineStr">
        <x:is>
          <x:t xml:space="preserve">Access to safely managed drinking water</x:t>
        </x:is>
      </x:c>
    </x:row>
    <x:row r="57">
      <x:c r="A57" s="10" t="inlineStr">
        <x:is>
          <x:t xml:space="preserve">D05S38</x:t>
        </x:is>
      </x:c>
      <x:c r="B57" s="10" t="inlineStr">
        <x:is>
          <x:t xml:space="preserve">D05</x:t>
        </x:is>
      </x:c>
      <x:c r="C57" s="10" t="inlineStr">
        <x:is>
          <x:t xml:space="preserve">Accès à l'assainissement amélioré</x:t>
        </x:is>
      </x:c>
      <x:c r="D57" s="10" t="inlineStr">
        <x:is>
          <x:t xml:space="preserve">Access to improved sanitation</x:t>
        </x:is>
      </x:c>
    </x:row>
    <x:row r="58">
      <x:c r="A58" s="10" t="inlineStr">
        <x:is>
          <x:t xml:space="preserve">D05S39</x:t>
        </x:is>
      </x:c>
      <x:c r="B58" s="10" t="inlineStr">
        <x:is>
          <x:t xml:space="preserve">D05</x:t>
        </x:is>
      </x:c>
      <x:c r="C58" s="10" t="inlineStr">
        <x:is>
          <x:t xml:space="preserve">Population urbaine vivant dans des taudis</x:t>
        </x:is>
      </x:c>
      <x:c r="D58" s="10" t="inlineStr">
        <x:is>
          <x:t xml:space="preserve">Urban population living in slums</x:t>
        </x:is>
      </x:c>
    </x:row>
    <x:row r="59">
      <x:c r="A59" s="10" t="inlineStr">
        <x:is>
          <x:t xml:space="preserve">D05S40</x:t>
        </x:is>
      </x:c>
      <x:c r="B59" s="10" t="inlineStr">
        <x:is>
          <x:t xml:space="preserve">D05</x:t>
        </x:is>
      </x:c>
      <x:c r="C59" s="10" t="inlineStr">
        <x:is>
          <x:t xml:space="preserve">Accès à un logement décent</x:t>
        </x:is>
      </x:c>
      <x:c r="D59" s="10" t="inlineStr">
        <x:is>
          <x:t xml:space="preserve">Access to adequate housing</x:t>
        </x:is>
      </x:c>
    </x:row>
    <x:row r="60">
      <x:c r="A60" s="10" t="inlineStr">
        <x:is>
          <x:t xml:space="preserve">D05S41</x:t>
        </x:is>
      </x:c>
      <x:c r="B60" s="10" t="inlineStr">
        <x:is>
          <x:t xml:space="preserve">D05</x:t>
        </x:is>
      </x:c>
      <x:c r="C60" s="10" t="inlineStr">
        <x:is>
          <x:t xml:space="preserve">Accès à l'eau (Pays en transition/fragiles)</x:t>
        </x:is>
      </x:c>
      <x:c r="D60" s="10" t="inlineStr">
        <x:is>
          <x:t xml:space="preserve">Access to water (transition/fragile countries)</x:t>
        </x:is>
      </x:c>
    </x:row>
    <x:row r="61">
      <x:c r="A61" s="10" t="inlineStr">
        <x:is>
          <x:t xml:space="preserve">D06S42</x:t>
        </x:is>
      </x:c>
      <x:c r="B61" s="10" t="inlineStr">
        <x:is>
          <x:t xml:space="preserve">D06</x:t>
        </x:is>
      </x:c>
      <x:c r="C61" s="10" t="inlineStr">
        <x:is>
          <x:t xml:space="preserve">Taux net de scolarisation (Primaire)</x:t>
        </x:is>
      </x:c>
      <x:c r="D61" s="10" t="inlineStr">
        <x:is>
          <x:t xml:space="preserve">Net enrolment rate (primary)</x:t>
        </x:is>
      </x:c>
    </x:row>
    <x:row r="62">
      <x:c r="A62" s="10" t="inlineStr">
        <x:is>
          <x:t xml:space="preserve">D06S43</x:t>
        </x:is>
      </x:c>
      <x:c r="B62" s="10" t="inlineStr">
        <x:is>
          <x:t xml:space="preserve">D06</x:t>
        </x:is>
      </x:c>
      <x:c r="C62" s="10" t="inlineStr">
        <x:is>
          <x:t xml:space="preserve">Taux net de scolarisation (Secondaire)</x:t>
        </x:is>
      </x:c>
      <x:c r="D62" s="10" t="inlineStr">
        <x:is>
          <x:t xml:space="preserve">Net enrolment rate (secondary)</x:t>
        </x:is>
      </x:c>
    </x:row>
    <x:row r="63">
      <x:c r="A63" s="10" t="inlineStr">
        <x:is>
          <x:t xml:space="preserve">D06S44</x:t>
        </x:is>
      </x:c>
      <x:c r="B63" s="10" t="inlineStr">
        <x:is>
          <x:t xml:space="preserve">D06</x:t>
        </x:is>
      </x:c>
      <x:c r="C63" s="10" t="inlineStr">
        <x:is>
          <x:t xml:space="preserve">Taux de scolarisation pré-primaire</x:t>
        </x:is>
      </x:c>
      <x:c r="D63" s="10" t="inlineStr">
        <x:is>
          <x:t xml:space="preserve">Pre-primary enrolment rate</x:t>
        </x:is>
      </x:c>
    </x:row>
    <x:row r="64">
      <x:c r="A64" s="10" t="inlineStr">
        <x:is>
          <x:t xml:space="preserve">D06S45</x:t>
        </x:is>
      </x:c>
      <x:c r="B64" s="10" t="inlineStr">
        <x:is>
          <x:t xml:space="preserve">D06</x:t>
        </x:is>
      </x:c>
      <x:c r="C64" s="10" t="inlineStr">
        <x:is>
          <x:t xml:space="preserve">Proportion de diplômés en STEM</x:t>
        </x:is>
      </x:c>
      <x:c r="D64" s="10" t="inlineStr">
        <x:is>
          <x:t xml:space="preserve">Share of graduates in STEM</x:t>
        </x:is>
      </x:c>
    </x:row>
    <x:row r="65">
      <x:c r="A65" s="10" t="inlineStr">
        <x:is>
          <x:t xml:space="preserve">D06S46</x:t>
        </x:is>
      </x:c>
      <x:c r="B65" s="10" t="inlineStr">
        <x:is>
          <x:t xml:space="preserve">D06</x:t>
        </x:is>
      </x:c>
      <x:c r="C65" s="10" t="inlineStr">
        <x:is>
          <x:t xml:space="preserve">Taux de compétence minimale (Lecture/Maths)</x:t>
        </x:is>
      </x:c>
      <x:c r="D65" s="10" t="inlineStr">
        <x:is>
          <x:t xml:space="preserve">Minimum proficiency level (reading/mathematics)</x:t>
        </x:is>
      </x:c>
    </x:row>
    <x:row r="66">
      <x:c r="A66" s="10" t="inlineStr">
        <x:is>
          <x:t xml:space="preserve">D06S47</x:t>
        </x:is>
      </x:c>
      <x:c r="B66" s="10" t="inlineStr">
        <x:is>
          <x:t xml:space="preserve">D06</x:t>
        </x:is>
      </x:c>
      <x:c r="C66" s="10" t="inlineStr">
        <x:is>
          <x:t xml:space="preserve">Ratio Élèves / Enseignant qualifié</x:t>
        </x:is>
      </x:c>
      <x:c r="D66" s="10" t="inlineStr">
        <x:is>
          <x:t xml:space="preserve">Pupil-to-qualified-teacher ratio</x:t>
        </x:is>
      </x:c>
    </x:row>
    <x:row r="67">
      <x:c r="A67" s="10" t="inlineStr">
        <x:is>
          <x:t xml:space="preserve">D06S48</x:t>
        </x:is>
      </x:c>
      <x:c r="B67" s="10" t="inlineStr">
        <x:is>
          <x:t xml:space="preserve">D06</x:t>
        </x:is>
      </x:c>
      <x:c r="C67" s="10" t="inlineStr">
        <x:is>
          <x:t xml:space="preserve">Taux brut de scolarisation (Supérieur)</x:t>
        </x:is>
      </x:c>
      <x:c r="D67" s="10" t="inlineStr">
        <x:is>
          <x:t xml:space="preserve">Gross enrolment rate (tertiary)</x:t>
        </x:is>
      </x:c>
    </x:row>
    <x:row r="68">
      <x:c r="A68" s="10" t="inlineStr">
        <x:is>
          <x:t xml:space="preserve">D07S49</x:t>
        </x:is>
      </x:c>
      <x:c r="B68" s="10" t="inlineStr">
        <x:is>
          <x:t xml:space="preserve">D07</x:t>
        </x:is>
      </x:c>
      <x:c r="C68" s="10" t="inlineStr">
        <x:is>
          <x:t xml:space="preserve">Accès aux soins de santé primaires</x:t>
        </x:is>
      </x:c>
      <x:c r="D68" s="10" t="inlineStr">
        <x:is>
          <x:t xml:space="preserve">Access to primary health care</x:t>
        </x:is>
      </x:c>
    </x:row>
    <x:row r="69">
      <x:c r="A69" s="10" t="inlineStr">
        <x:is>
          <x:t xml:space="preserve">D07S50</x:t>
        </x:is>
      </x:c>
      <x:c r="B69" s="10" t="inlineStr">
        <x:is>
          <x:t xml:space="preserve">D07</x:t>
        </x:is>
      </x:c>
      <x:c r="C69" s="10" t="inlineStr">
        <x:is>
          <x:t xml:space="preserve">Taux de mortalité maternelle</x:t>
        </x:is>
      </x:c>
      <x:c r="D69" s="10" t="inlineStr">
        <x:is>
          <x:t xml:space="preserve">Maternal mortality ratio</x:t>
        </x:is>
      </x:c>
    </x:row>
    <x:row r="70">
      <x:c r="A70" s="10" t="inlineStr">
        <x:is>
          <x:t xml:space="preserve">D07S51</x:t>
        </x:is>
      </x:c>
      <x:c r="B70" s="10" t="inlineStr">
        <x:is>
          <x:t xml:space="preserve">D07</x:t>
        </x:is>
      </x:c>
      <x:c r="C70" s="10" t="inlineStr">
        <x:is>
          <x:t xml:space="preserve">Taux de mortalité infantile (&lt;5 ans)</x:t>
        </x:is>
      </x:c>
      <x:c r="D70" s="10" t="inlineStr">
        <x:is>
          <x:t xml:space="preserve">Under-five mortality rate</x:t>
        </x:is>
      </x:c>
    </x:row>
    <x:row r="71">
      <x:c r="A71" s="10" t="inlineStr">
        <x:is>
          <x:t xml:space="preserve">D07S52</x:t>
        </x:is>
      </x:c>
      <x:c r="B71" s="10" t="inlineStr">
        <x:is>
          <x:t xml:space="preserve">D07</x:t>
        </x:is>
      </x:c>
      <x:c r="C71" s="10" t="inlineStr">
        <x:is>
          <x:t xml:space="preserve">Incidence VIH / Couverture ARV</x:t>
        </x:is>
      </x:c>
      <x:c r="D71" s="10" t="inlineStr">
        <x:is>
          <x:t xml:space="preserve">HIV incidence / ART coverage</x:t>
        </x:is>
      </x:c>
    </x:row>
    <x:row r="72">
      <x:c r="A72" s="10" t="inlineStr">
        <x:is>
          <x:t xml:space="preserve">D07S53</x:t>
        </x:is>
      </x:c>
      <x:c r="B72" s="10" t="inlineStr">
        <x:is>
          <x:t xml:space="preserve">D07</x:t>
        </x:is>
      </x:c>
      <x:c r="C72" s="10" t="inlineStr">
        <x:is>
          <x:t xml:space="preserve">Incidence Paludisme</x:t>
        </x:is>
      </x:c>
      <x:c r="D72" s="10" t="inlineStr">
        <x:is>
          <x:t xml:space="preserve">Malaria incidence</x:t>
        </x:is>
      </x:c>
    </x:row>
    <x:row r="73">
      <x:c r="A73" s="10" t="inlineStr">
        <x:is>
          <x:t xml:space="preserve">D07S54</x:t>
        </x:is>
      </x:c>
      <x:c r="B73" s="10" t="inlineStr">
        <x:is>
          <x:t xml:space="preserve">D07</x:t>
        </x:is>
      </x:c>
      <x:c r="C73" s="10" t="inlineStr">
        <x:is>
          <x:t xml:space="preserve">Indice de Couverture Sanitaire Universelle</x:t>
        </x:is>
      </x:c>
      <x:c r="D73" s="10" t="inlineStr">
        <x:is>
          <x:t xml:space="preserve">Universal Health Coverage (UHC) service coverage index</x:t>
        </x:is>
      </x:c>
    </x:row>
    <x:row r="74">
      <x:c r="A74" s="10" t="inlineStr">
        <x:is>
          <x:t xml:space="preserve">D08S55</x:t>
        </x:is>
      </x:c>
      <x:c r="B74" s="10" t="inlineStr">
        <x:is>
          <x:t xml:space="preserve">D08</x:t>
        </x:is>
      </x:c>
      <x:c r="C74" s="10" t="inlineStr">
        <x:is>
          <x:t xml:space="preserve">Femmes dans les instances décisionnelles</x:t>
        </x:is>
      </x:c>
      <x:c r="D74" s="10" t="inlineStr">
        <x:is>
          <x:t xml:space="preserve">Women in decision-making bodies</x:t>
        </x:is>
      </x:c>
    </x:row>
    <x:row r="75">
      <x:c r="A75" s="10" t="inlineStr">
        <x:is>
          <x:t xml:space="preserve">D08S56</x:t>
        </x:is>
      </x:c>
      <x:c r="B75" s="10" t="inlineStr">
        <x:is>
          <x:t xml:space="preserve">D08</x:t>
        </x:is>
      </x:c>
      <x:c r="C75" s="10" t="inlineStr">
        <x:is>
          <x:t xml:space="preserve">Droits fonciers et propriété des femmes</x:t>
        </x:is>
      </x:c>
      <x:c r="D75" s="10" t="inlineStr">
        <x:is>
          <x:t xml:space="preserve">Women's land and property rights</x:t>
        </x:is>
      </x:c>
    </x:row>
    <x:row r="76">
      <x:c r="A76" s="10" t="inlineStr">
        <x:is>
          <x:t xml:space="preserve">D08S57</x:t>
        </x:is>
      </x:c>
      <x:c r="B76" s="10" t="inlineStr">
        <x:is>
          <x:t xml:space="preserve">D08</x:t>
        </x:is>
      </x:c>
      <x:c r="C76" s="10" t="inlineStr">
        <x:is>
          <x:t xml:space="preserve">Accès au financement (Femmes entrepreneurs)</x:t>
        </x:is>
      </x:c>
      <x:c r="D76" s="10" t="inlineStr">
        <x:is>
          <x:t xml:space="preserve">Access to finance (women entrepreneurs)</x:t>
        </x:is>
      </x:c>
    </x:row>
    <x:row r="77">
      <x:c r="A77" s="10" t="inlineStr">
        <x:is>
          <x:t xml:space="preserve">D08S58</x:t>
        </x:is>
      </x:c>
      <x:c r="B77" s="10" t="inlineStr">
        <x:is>
          <x:t xml:space="preserve">D08</x:t>
        </x:is>
      </x:c>
      <x:c r="C77" s="10" t="inlineStr">
        <x:is>
          <x:t xml:space="preserve">Prévalence des Violences Basées sur le Genre</x:t>
        </x:is>
      </x:c>
      <x:c r="D77" s="10" t="inlineStr">
        <x:is>
          <x:t xml:space="preserve">Prevalence of gender-based violence</x:t>
        </x:is>
      </x:c>
    </x:row>
    <x:row r="78">
      <x:c r="A78" s="10" t="inlineStr">
        <x:is>
          <x:t xml:space="preserve">D08S59</x:t>
        </x:is>
      </x:c>
      <x:c r="B78" s="10" t="inlineStr">
        <x:is>
          <x:t xml:space="preserve">D08</x:t>
        </x:is>
      </x:c>
      <x:c r="C78" s="10" t="inlineStr">
        <x:is>
          <x:t xml:space="preserve">Mutilations Génitales Féminines (MGF)</x:t>
        </x:is>
      </x:c>
      <x:c r="D78" s="10" t="inlineStr">
        <x:is>
          <x:t xml:space="preserve">Female genital mutilation (FGM)</x:t>
        </x:is>
      </x:c>
    </x:row>
    <x:row r="79">
      <x:c r="A79" s="10" t="inlineStr">
        <x:is>
          <x:t xml:space="preserve">D08S60</x:t>
        </x:is>
      </x:c>
      <x:c r="B79" s="10" t="inlineStr">
        <x:is>
          <x:t xml:space="preserve">D08</x:t>
        </x:is>
      </x:c>
      <x:c r="C79" s="10" t="inlineStr">
        <x:is>
          <x:t xml:space="preserve">Temps de travail domestique non rémunéré</x:t>
        </x:is>
      </x:c>
      <x:c r="D79" s="10" t="inlineStr">
        <x:is>
          <x:t xml:space="preserve">Time spent on unpaid domestic work</x:t>
        </x:is>
      </x:c>
    </x:row>
    <x:row r="80">
      <x:c r="A80" s="10" t="inlineStr">
        <x:is>
          <x:t xml:space="preserve">D09S61</x:t>
        </x:is>
      </x:c>
      <x:c r="B80" s="10" t="inlineStr">
        <x:is>
          <x:t xml:space="preserve">D09</x:t>
        </x:is>
      </x:c>
      <x:c r="C80" s="10" t="inlineStr">
        <x:is>
          <x:t xml:space="preserve">Pertes économiques dues aux catastrophes</x:t>
        </x:is>
      </x:c>
      <x:c r="D80" s="10" t="inlineStr">
        <x:is>
          <x:t xml:space="preserve">Economic losses due to disasters</x:t>
        </x:is>
      </x:c>
    </x:row>
    <x:row r="81">
      <x:c r="A81" s="10" t="inlineStr">
        <x:is>
          <x:t xml:space="preserve">D09S62</x:t>
        </x:is>
      </x:c>
      <x:c r="B81" s="10" t="inlineStr">
        <x:is>
          <x:t xml:space="preserve">D09</x:t>
        </x:is>
      </x:c>
      <x:c r="C81" s="10" t="inlineStr">
        <x:is>
          <x:t xml:space="preserve">Couverture forestière</x:t>
        </x:is>
      </x:c>
      <x:c r="D81" s="10" t="inlineStr">
        <x:is>
          <x:t xml:space="preserve">Forest cover</x:t>
        </x:is>
      </x:c>
    </x:row>
    <x:row r="82">
      <x:c r="A82" s="10" t="inlineStr">
        <x:is>
          <x:t xml:space="preserve">D09S63</x:t>
        </x:is>
      </x:c>
      <x:c r="B82" s="10" t="inlineStr">
        <x:is>
          <x:t xml:space="preserve">D09</x:t>
        </x:is>
      </x:c>
      <x:c r="C82" s="10" t="inlineStr">
        <x:is>
          <x:t xml:space="preserve">Ménages avec résilience climatique renforcée</x:t>
        </x:is>
      </x:c>
      <x:c r="D82" s="10" t="inlineStr">
        <x:is>
          <x:t xml:space="preserve">Households with strengthened climate resilience</x:t>
        </x:is>
      </x:c>
    </x:row>
    <x:row r="83">
      <x:c r="A83" s="10" t="inlineStr">
        <x:is>
          <x:t xml:space="preserve">D09S64</x:t>
        </x:is>
      </x:c>
      <x:c r="B83" s="10" t="inlineStr">
        <x:is>
          <x:t xml:space="preserve">D09</x:t>
        </x:is>
      </x:c>
      <x:c r="C83" s="10" t="inlineStr">
        <x:is>
          <x:t xml:space="preserve">Finance Climatique mobilisée</x:t>
        </x:is>
      </x:c>
      <x:c r="D83" s="10" t="inlineStr">
        <x:is>
          <x:t xml:space="preserve">Climate finance mobilized</x:t>
        </x:is>
      </x:c>
    </x:row>
    <x:row r="84">
      <x:c r="A84" s="10" t="inlineStr">
        <x:is>
          <x:t xml:space="preserve">D09S65</x:t>
        </x:is>
      </x:c>
      <x:c r="B84" s="10" t="inlineStr">
        <x:is>
          <x:t xml:space="preserve">D09</x:t>
        </x:is>
      </x:c>
      <x:c r="C84" s="10" t="inlineStr">
        <x:is>
          <x:t xml:space="preserve">Pollution marine (Plastiques/Eutrophisation)</x:t>
        </x:is>
      </x:c>
      <x:c r="D84" s="10" t="inlineStr">
        <x:is>
          <x:t xml:space="preserve">Marine pollution (plastics/eutrophication)</x:t>
        </x:is>
      </x:c>
    </x:row>
    <x:row r="85">
      <x:c r="A85" s="10" t="inlineStr">
        <x:is>
          <x:t xml:space="preserve">D10S66</x:t>
        </x:is>
      </x:c>
      <x:c r="B85" s="10" t="inlineStr">
        <x:is>
          <x:t xml:space="preserve">D10</x:t>
        </x:is>
      </x:c>
      <x:c r="C85" s="10" t="inlineStr">
        <x:is>
          <x:t xml:space="preserve">Score de Perception de la Corruption (IPC)</x:t>
        </x:is>
      </x:c>
      <x:c r="D85" s="10" t="inlineStr">
        <x:is>
          <x:t xml:space="preserve">Corruption Perceptions Index (CPI) score</x:t>
        </x:is>
      </x:c>
    </x:row>
    <x:row r="86">
      <x:c r="A86" s="10" t="inlineStr">
        <x:is>
          <x:t xml:space="preserve">D10S67</x:t>
        </x:is>
      </x:c>
      <x:c r="B86" s="10" t="inlineStr">
        <x:is>
          <x:t xml:space="preserve">D10</x:t>
        </x:is>
      </x:c>
      <x:c r="C86" s="10" t="inlineStr">
        <x:is>
          <x:t xml:space="preserve">Flux Financiers Illicites (% PIB)</x:t>
        </x:is>
      </x:c>
      <x:c r="D86" s="10" t="inlineStr">
        <x:is>
          <x:t xml:space="preserve">Illicit financial flows (% of GDP)</x:t>
        </x:is>
      </x:c>
    </x:row>
    <x:row r="87">
      <x:c r="A87" s="10" t="inlineStr">
        <x:is>
          <x:t xml:space="preserve">D10S68</x:t>
        </x:is>
      </x:c>
      <x:c r="B87" s="10" t="inlineStr">
        <x:is>
          <x:t xml:space="preserve">D10</x:t>
        </x:is>
      </x:c>
      <x:c r="C87" s="10" t="inlineStr">
        <x:is>
          <x:t xml:space="preserve">Perception d'indépendance de la justice</x:t>
        </x:is>
      </x:c>
      <x:c r="D87" s="10" t="inlineStr">
        <x:is>
          <x:t xml:space="preserve">Perceived independence of the judiciary</x:t>
        </x:is>
      </x:c>
    </x:row>
    <x:row r="88">
      <x:c r="A88" s="10" t="inlineStr">
        <x:is>
          <x:t xml:space="preserve">D10S69</x:t>
        </x:is>
      </x:c>
      <x:c r="B88" s="10" t="inlineStr">
        <x:is>
          <x:t xml:space="preserve">D10</x:t>
        </x:is>
      </x:c>
      <x:c r="C88" s="10" t="inlineStr">
        <x:is>
          <x:t xml:space="preserve">Ratio recettes fiscales / PIB</x:t>
        </x:is>
      </x:c>
      <x:c r="D88" s="10" t="inlineStr">
        <x:is>
          <x:t xml:space="preserve">Tax revenue-to-GDP ratio</x:t>
        </x:is>
      </x:c>
    </x:row>
    <x:row r="89">
      <x:c r="A89" s="10" t="inlineStr">
        <x:is>
          <x:t xml:space="preserve">D10S70</x:t>
        </x:is>
      </x:c>
      <x:c r="B89" s="10" t="inlineStr">
        <x:is>
          <x:t xml:space="preserve">D10</x:t>
        </x:is>
      </x:c>
      <x:c r="C89" s="10" t="inlineStr">
        <x:is>
          <x:t xml:space="preserve">Taux d'homicide volontaire</x:t>
        </x:is>
      </x:c>
      <x:c r="D89" s="10" t="inlineStr">
        <x:is>
          <x:t xml:space="preserve">Intentional homicide rate</x:t>
        </x:is>
      </x:c>
    </x:row>
    <x:row r="90">
      <x:c r="A90" s="10" t="inlineStr">
        <x:is>
          <x:t xml:space="preserve">D11S71</x:t>
        </x:is>
      </x:c>
      <x:c r="B90" s="10" t="inlineStr">
        <x:is>
          <x:t xml:space="preserve">D11</x:t>
        </x:is>
      </x:c>
      <x:c r="C90" s="10" t="inlineStr">
        <x:is>
          <x:t xml:space="preserve">Valeur ajoutée de l'économie bleue (VAB)</x:t>
        </x:is>
      </x:c>
      <x:c r="D90" s="10" t="inlineStr">
        <x:is>
          <x:t xml:space="preserve">Blue economy value added (GVA)</x:t>
        </x:is>
      </x:c>
    </x:row>
    <x:row r="91">
      <x:c r="A91" s="10" t="inlineStr">
        <x:is>
          <x:t xml:space="preserve">D11S72</x:t>
        </x:is>
      </x:c>
      <x:c r="B91" s="10" t="inlineStr">
        <x:is>
          <x:t xml:space="preserve">D11</x:t>
        </x:is>
      </x:c>
      <x:c r="C91" s="10" t="inlineStr">
        <x:is>
          <x:t xml:space="preserve">Emplois liés à l'économie bleue</x:t>
        </x:is>
      </x:c>
      <x:c r="D91" s="10" t="inlineStr">
        <x:is>
          <x:t xml:space="preserve">Blue economy jobs</x:t>
        </x:is>
      </x:c>
    </x:row>
    <x:row r="92">
      <x:c r="A92" s="10" t="inlineStr">
        <x:is>
          <x:t xml:space="preserve">D11S73</x:t>
        </x:is>
      </x:c>
      <x:c r="B92" s="10" t="inlineStr">
        <x:is>
          <x:t xml:space="preserve">D11</x:t>
        </x:is>
      </x:c>
      <x:c r="C92" s="10" t="inlineStr">
        <x:is>
          <x:t xml:space="preserve">Aires marines protégées (% zones territoriales)</x:t>
        </x:is>
      </x:c>
      <x:c r="D92" s="10" t="inlineStr">
        <x:is>
          <x:t xml:space="preserve">Marine protected areas (% of territorial waters)</x:t>
        </x:is>
      </x:c>
    </x:row>
    <x:row r="93">
      <x:c r="A93" s="10" t="inlineStr">
        <x:is>
          <x:t xml:space="preserve">D11S74</x:t>
        </x:is>
      </x:c>
      <x:c r="B93" s="10" t="inlineStr">
        <x:is>
          <x:t xml:space="preserve">D11</x:t>
        </x:is>
      </x:c>
      <x:c r="C93" s="10" t="inlineStr">
        <x:is>
          <x:t xml:space="preserve">Pénétration de l'énergie bleue</x:t>
        </x:is>
      </x:c>
      <x:c r="D93" s="10" t="inlineStr">
        <x:is>
          <x:t xml:space="preserve">Blue energy penetration</x:t>
        </x:is>
      </x:c>
    </x:row>
    <x:row r="94">
      <x:c r="A94" s="10" t="inlineStr">
        <x:is>
          <x:t xml:space="preserve">D11S75</x:t>
        </x:is>
      </x:c>
      <x:c r="B94" s="10" t="inlineStr">
        <x:is>
          <x:t xml:space="preserve">D11</x:t>
        </x:is>
      </x:c>
      <x:c r="C94" s="10" t="inlineStr">
        <x:is>
          <x:t xml:space="preserve">Stocks de poissons durables</x:t>
        </x:is>
      </x:c>
      <x:c r="D94" s="10" t="inlineStr">
        <x:is>
          <x:t xml:space="preserve">Sustainable fish stocks</x:t>
        </x:is>
      </x:c>
    </x:row>
    <x:row r="95">
      <x:c r="A95" s="10" t="inlineStr">
        <x:is>
          <x:t xml:space="preserve">D12S76</x:t>
        </x:is>
      </x:c>
      <x:c r="B95" s="10" t="inlineStr">
        <x:is>
          <x:t xml:space="preserve">D12</x:t>
        </x:is>
      </x:c>
      <x:c r="C95" s="10" t="inlineStr">
        <x:is>
          <x:t xml:space="preserve">Ratio recettes fiscales / PIB</x:t>
        </x:is>
      </x:c>
      <x:c r="D95" s="10" t="inlineStr">
        <x:is>
          <x:t xml:space="preserve">Tax revenue-to-GDP ratio</x:t>
        </x:is>
      </x:c>
    </x:row>
    <x:row r="96">
      <x:c r="A96" s="10" t="inlineStr">
        <x:is>
          <x:t xml:space="preserve">D12S77</x:t>
        </x:is>
      </x:c>
      <x:c r="B96" s="10" t="inlineStr">
        <x:is>
          <x:t xml:space="preserve">D12</x:t>
        </x:is>
      </x:c>
      <x:c r="C96" s="10" t="inlineStr">
        <x:is>
          <x:t xml:space="preserve">Flux financiers illicites (% PIB)</x:t>
        </x:is>
      </x:c>
      <x:c r="D96" s="10" t="inlineStr">
        <x:is>
          <x:t xml:space="preserve">Illicit financial flows (% of GDP)</x:t>
        </x:is>
      </x:c>
    </x:row>
    <x:row r="97">
      <x:c r="A97" s="10" t="inlineStr">
        <x:is>
          <x:t xml:space="preserve">D12S78</x:t>
        </x:is>
      </x:c>
      <x:c r="B97" s="10" t="inlineStr">
        <x:is>
          <x:t xml:space="preserve">D12</x:t>
        </x:is>
      </x:c>
      <x:c r="C97" s="10" t="inlineStr">
        <x:is>
          <x:t xml:space="preserve">Part du budget financé par impôts nationaux</x:t>
        </x:is>
      </x:c>
      <x:c r="D97" s="10" t="inlineStr">
        <x:is>
          <x:t xml:space="preserve">Share of budget financed by domestic taxes</x:t>
        </x:is>
      </x:c>
    </x:row>
    <x:row r="98">
      <x:c r="A98" s="10" t="inlineStr">
        <x:is>
          <x:t xml:space="preserve">D12S79</x:t>
        </x:is>
      </x:c>
      <x:c r="B98" s="10" t="inlineStr">
        <x:is>
          <x:t xml:space="preserve">D12</x:t>
        </x:is>
      </x:c>
      <x:c r="C98" s="10" t="inlineStr">
        <x:is>
          <x:t xml:space="preserve">Envois de fonds migrants (% PIB)</x:t>
        </x:is>
      </x:c>
      <x:c r="D98" s="10" t="inlineStr">
        <x:is>
          <x:t xml:space="preserve">Migrant remittances (% of GDP)</x:t>
        </x:is>
      </x:c>
    </x:row>
    <x:row r="99">
      <x:c r="A99" s="10" t="inlineStr">
        <x:is>
          <x:t xml:space="preserve">D12S80</x:t>
        </x:is>
      </x:c>
      <x:c r="B99" s="10" t="inlineStr">
        <x:is>
          <x:t xml:space="preserve">D12</x:t>
        </x:is>
      </x:c>
      <x:c r="C99" s="10" t="inlineStr">
        <x:is>
          <x:t xml:space="preserve">Service de la dette (% exportations)</x:t>
        </x:is>
      </x:c>
      <x:c r="D99" s="10" t="inlineStr">
        <x:is>
          <x:t xml:space="preserve">Debt service (% of exports)</x:t>
        </x:is>
      </x:c>
    </x:row>
    <x:row r="101">
      <x:c r="A101" s="5" t="inlineStr">
        <x:is>
          <x:t xml:space="preserve">Pays (ISO3)</x:t>
        </x:is>
      </x:c>
    </x:row>
    <x:row r="102">
      <x:c r="A102" s="9" t="inlineStr">
        <x:is>
          <x:t xml:space="preserve">ISO3</x:t>
        </x:is>
      </x:c>
      <x:c r="B102" s="9" t="inlineStr">
        <x:is>
          <x:t xml:space="preserve">Nom_fr</x:t>
        </x:is>
      </x:c>
      <x:c r="C102" s="9" t="inlineStr">
        <x:is>
          <x:t xml:space="preserve">Nom_en</x:t>
        </x:is>
      </x:c>
    </x:row>
    <x:row r="103">
      <x:c r="A103" s="10" t="inlineStr">
        <x:is>
          <x:t xml:space="preserve">AGO</x:t>
        </x:is>
      </x:c>
      <x:c r="B103" s="10" t="inlineStr">
        <x:is>
          <x:t xml:space="preserve">Angola</x:t>
        </x:is>
      </x:c>
      <x:c r="C103" s="10" t="inlineStr">
        <x:is>
          <x:t xml:space="preserve">Angola</x:t>
        </x:is>
      </x:c>
    </x:row>
    <x:row r="104">
      <x:c r="A104" s="10" t="inlineStr">
        <x:is>
          <x:t xml:space="preserve">BDI</x:t>
        </x:is>
      </x:c>
      <x:c r="B104" s="10" t="inlineStr">
        <x:is>
          <x:t xml:space="preserve">Burundi</x:t>
        </x:is>
      </x:c>
      <x:c r="C104" s="10" t="inlineStr">
        <x:is>
          <x:t xml:space="preserve">Burundi</x:t>
        </x:is>
      </x:c>
    </x:row>
    <x:row r="105">
      <x:c r="A105" s="10" t="inlineStr">
        <x:is>
          <x:t xml:space="preserve">BEN</x:t>
        </x:is>
      </x:c>
      <x:c r="B105" s="10" t="inlineStr">
        <x:is>
          <x:t xml:space="preserve">Bénin</x:t>
        </x:is>
      </x:c>
      <x:c r="C105" s="10" t="inlineStr">
        <x:is>
          <x:t xml:space="preserve">Benin</x:t>
        </x:is>
      </x:c>
    </x:row>
    <x:row r="106">
      <x:c r="A106" s="10" t="inlineStr">
        <x:is>
          <x:t xml:space="preserve">BFA</x:t>
        </x:is>
      </x:c>
      <x:c r="B106" s="10" t="inlineStr">
        <x:is>
          <x:t xml:space="preserve">Burkina Faso</x:t>
        </x:is>
      </x:c>
      <x:c r="C106" s="10" t="inlineStr">
        <x:is>
          <x:t xml:space="preserve">Burkina Faso</x:t>
        </x:is>
      </x:c>
    </x:row>
    <x:row r="107">
      <x:c r="A107" s="10" t="inlineStr">
        <x:is>
          <x:t xml:space="preserve">BWA</x:t>
        </x:is>
      </x:c>
      <x:c r="B107" s="10" t="inlineStr">
        <x:is>
          <x:t xml:space="preserve">Botswana</x:t>
        </x:is>
      </x:c>
      <x:c r="C107" s="10" t="inlineStr">
        <x:is>
          <x:t xml:space="preserve">Botswana</x:t>
        </x:is>
      </x:c>
    </x:row>
    <x:row r="108">
      <x:c r="A108" s="10" t="inlineStr">
        <x:is>
          <x:t xml:space="preserve">CAF</x:t>
        </x:is>
      </x:c>
      <x:c r="B108" s="10" t="inlineStr">
        <x:is>
          <x:t xml:space="preserve">République centrafricaine</x:t>
        </x:is>
      </x:c>
      <x:c r="C108" s="10" t="inlineStr">
        <x:is>
          <x:t xml:space="preserve">Central African Republic</x:t>
        </x:is>
      </x:c>
    </x:row>
    <x:row r="109">
      <x:c r="A109" s="10" t="inlineStr">
        <x:is>
          <x:t xml:space="preserve">CIV</x:t>
        </x:is>
      </x:c>
      <x:c r="B109" s="10" t="inlineStr">
        <x:is>
          <x:t xml:space="preserve">Côte d'Ivoire</x:t>
        </x:is>
      </x:c>
      <x:c r="C109" s="10" t="inlineStr">
        <x:is>
          <x:t xml:space="preserve">Côte d'Ivoire</x:t>
        </x:is>
      </x:c>
    </x:row>
    <x:row r="110">
      <x:c r="A110" s="10" t="inlineStr">
        <x:is>
          <x:t xml:space="preserve">CMR</x:t>
        </x:is>
      </x:c>
      <x:c r="B110" s="10" t="inlineStr">
        <x:is>
          <x:t xml:space="preserve">Cameroun</x:t>
        </x:is>
      </x:c>
      <x:c r="C110" s="10" t="inlineStr">
        <x:is>
          <x:t xml:space="preserve">Cameroon</x:t>
        </x:is>
      </x:c>
    </x:row>
    <x:row r="111">
      <x:c r="A111" s="10" t="inlineStr">
        <x:is>
          <x:t xml:space="preserve">COD</x:t>
        </x:is>
      </x:c>
      <x:c r="B111" s="10" t="inlineStr">
        <x:is>
          <x:t xml:space="preserve">République démocratique du Congo</x:t>
        </x:is>
      </x:c>
      <x:c r="C111" s="10" t="inlineStr">
        <x:is>
          <x:t xml:space="preserve">Democratic Republic of the Congo</x:t>
        </x:is>
      </x:c>
    </x:row>
    <x:row r="112">
      <x:c r="A112" s="10" t="inlineStr">
        <x:is>
          <x:t xml:space="preserve">COG</x:t>
        </x:is>
      </x:c>
      <x:c r="B112" s="10" t="inlineStr">
        <x:is>
          <x:t xml:space="preserve">Congo</x:t>
        </x:is>
      </x:c>
      <x:c r="C112" s="10" t="inlineStr">
        <x:is>
          <x:t xml:space="preserve">Republic of the Congo</x:t>
        </x:is>
      </x:c>
    </x:row>
    <x:row r="113">
      <x:c r="A113" s="10" t="inlineStr">
        <x:is>
          <x:t xml:space="preserve">COM</x:t>
        </x:is>
      </x:c>
      <x:c r="B113" s="10" t="inlineStr">
        <x:is>
          <x:t xml:space="preserve">Comores</x:t>
        </x:is>
      </x:c>
      <x:c r="C113" s="10" t="inlineStr">
        <x:is>
          <x:t xml:space="preserve">Comoros</x:t>
        </x:is>
      </x:c>
    </x:row>
    <x:row r="114">
      <x:c r="A114" s="10" t="inlineStr">
        <x:is>
          <x:t xml:space="preserve">CPV</x:t>
        </x:is>
      </x:c>
      <x:c r="B114" s="10" t="inlineStr">
        <x:is>
          <x:t xml:space="preserve">Cabo Verde</x:t>
        </x:is>
      </x:c>
      <x:c r="C114" s="10" t="inlineStr">
        <x:is>
          <x:t xml:space="preserve">Cabo Verde</x:t>
        </x:is>
      </x:c>
    </x:row>
    <x:row r="115">
      <x:c r="A115" s="10" t="inlineStr">
        <x:is>
          <x:t xml:space="preserve">DJI</x:t>
        </x:is>
      </x:c>
      <x:c r="B115" s="10" t="inlineStr">
        <x:is>
          <x:t xml:space="preserve">Djibouti</x:t>
        </x:is>
      </x:c>
      <x:c r="C115" s="10" t="inlineStr">
        <x:is>
          <x:t xml:space="preserve">Djibouti</x:t>
        </x:is>
      </x:c>
    </x:row>
    <x:row r="116">
      <x:c r="A116" s="10" t="inlineStr">
        <x:is>
          <x:t xml:space="preserve">DZA</x:t>
        </x:is>
      </x:c>
      <x:c r="B116" s="10" t="inlineStr">
        <x:is>
          <x:t xml:space="preserve">Algérie</x:t>
        </x:is>
      </x:c>
      <x:c r="C116" s="10" t="inlineStr">
        <x:is>
          <x:t xml:space="preserve">Algeria</x:t>
        </x:is>
      </x:c>
    </x:row>
    <x:row r="117">
      <x:c r="A117" s="10" t="inlineStr">
        <x:is>
          <x:t xml:space="preserve">EGY</x:t>
        </x:is>
      </x:c>
      <x:c r="B117" s="10" t="inlineStr">
        <x:is>
          <x:t xml:space="preserve">Egypte</x:t>
        </x:is>
      </x:c>
      <x:c r="C117" s="10" t="inlineStr">
        <x:is>
          <x:t xml:space="preserve">Egypt</x:t>
        </x:is>
      </x:c>
    </x:row>
    <x:row r="118">
      <x:c r="A118" s="10" t="inlineStr">
        <x:is>
          <x:t xml:space="preserve">ERI</x:t>
        </x:is>
      </x:c>
      <x:c r="B118" s="10" t="inlineStr">
        <x:is>
          <x:t xml:space="preserve">Érythrée</x:t>
        </x:is>
      </x:c>
      <x:c r="C118" s="10" t="inlineStr">
        <x:is>
          <x:t xml:space="preserve">Eritrea</x:t>
        </x:is>
      </x:c>
    </x:row>
    <x:row r="119">
      <x:c r="A119" s="10" t="inlineStr">
        <x:is>
          <x:t xml:space="preserve">ETH</x:t>
        </x:is>
      </x:c>
      <x:c r="B119" s="10" t="inlineStr">
        <x:is>
          <x:t xml:space="preserve">Ethiopie</x:t>
        </x:is>
      </x:c>
      <x:c r="C119" s="10" t="inlineStr">
        <x:is>
          <x:t xml:space="preserve">Ethiopia</x:t>
        </x:is>
      </x:c>
    </x:row>
    <x:row r="120">
      <x:c r="A120" s="10" t="inlineStr">
        <x:is>
          <x:t xml:space="preserve">GAB</x:t>
        </x:is>
      </x:c>
      <x:c r="B120" s="10" t="inlineStr">
        <x:is>
          <x:t xml:space="preserve">Gabon</x:t>
        </x:is>
      </x:c>
      <x:c r="C120" s="10" t="inlineStr">
        <x:is>
          <x:t xml:space="preserve">Gabon</x:t>
        </x:is>
      </x:c>
    </x:row>
    <x:row r="121">
      <x:c r="A121" s="10" t="inlineStr">
        <x:is>
          <x:t xml:space="preserve">GHA</x:t>
        </x:is>
      </x:c>
      <x:c r="B121" s="10" t="inlineStr">
        <x:is>
          <x:t xml:space="preserve">Ghana</x:t>
        </x:is>
      </x:c>
      <x:c r="C121" s="10" t="inlineStr">
        <x:is>
          <x:t xml:space="preserve">Ghana</x:t>
        </x:is>
      </x:c>
    </x:row>
    <x:row r="122">
      <x:c r="A122" s="10" t="inlineStr">
        <x:is>
          <x:t xml:space="preserve">GIN</x:t>
        </x:is>
      </x:c>
      <x:c r="B122" s="10" t="inlineStr">
        <x:is>
          <x:t xml:space="preserve">Guinée</x:t>
        </x:is>
      </x:c>
      <x:c r="C122" s="10" t="inlineStr">
        <x:is>
          <x:t xml:space="preserve">Guinea</x:t>
        </x:is>
      </x:c>
    </x:row>
    <x:row r="123">
      <x:c r="A123" s="10" t="inlineStr">
        <x:is>
          <x:t xml:space="preserve">GMB</x:t>
        </x:is>
      </x:c>
      <x:c r="B123" s="10" t="inlineStr">
        <x:is>
          <x:t xml:space="preserve">Gambie</x:t>
        </x:is>
      </x:c>
      <x:c r="C123" s="10" t="inlineStr">
        <x:is>
          <x:t xml:space="preserve">Gambia</x:t>
        </x:is>
      </x:c>
    </x:row>
    <x:row r="124">
      <x:c r="A124" s="10" t="inlineStr">
        <x:is>
          <x:t xml:space="preserve">GNB</x:t>
        </x:is>
      </x:c>
      <x:c r="B124" s="10" t="inlineStr">
        <x:is>
          <x:t xml:space="preserve">Guinée-Bissau</x:t>
        </x:is>
      </x:c>
      <x:c r="C124" s="10" t="inlineStr">
        <x:is>
          <x:t xml:space="preserve">Guinea-Bissau</x:t>
        </x:is>
      </x:c>
    </x:row>
    <x:row r="125">
      <x:c r="A125" s="10" t="inlineStr">
        <x:is>
          <x:t xml:space="preserve">GNQ</x:t>
        </x:is>
      </x:c>
      <x:c r="B125" s="10" t="inlineStr">
        <x:is>
          <x:t xml:space="preserve">Guinée équatoriale</x:t>
        </x:is>
      </x:c>
      <x:c r="C125" s="10" t="inlineStr">
        <x:is>
          <x:t xml:space="preserve">Equatorial Guinea</x:t>
        </x:is>
      </x:c>
    </x:row>
    <x:row r="126">
      <x:c r="A126" s="10" t="inlineStr">
        <x:is>
          <x:t xml:space="preserve">KEN</x:t>
        </x:is>
      </x:c>
      <x:c r="B126" s="10" t="inlineStr">
        <x:is>
          <x:t xml:space="preserve">Kenya</x:t>
        </x:is>
      </x:c>
      <x:c r="C126" s="10" t="inlineStr">
        <x:is>
          <x:t xml:space="preserve">Kenya</x:t>
        </x:is>
      </x:c>
    </x:row>
    <x:row r="127">
      <x:c r="A127" s="10" t="inlineStr">
        <x:is>
          <x:t xml:space="preserve">LBR</x:t>
        </x:is>
      </x:c>
      <x:c r="B127" s="10" t="inlineStr">
        <x:is>
          <x:t xml:space="preserve">Libéria</x:t>
        </x:is>
      </x:c>
      <x:c r="C127" s="10" t="inlineStr">
        <x:is>
          <x:t xml:space="preserve">Liberia</x:t>
        </x:is>
      </x:c>
    </x:row>
    <x:row r="128">
      <x:c r="A128" s="10" t="inlineStr">
        <x:is>
          <x:t xml:space="preserve">LBY</x:t>
        </x:is>
      </x:c>
      <x:c r="B128" s="10" t="inlineStr">
        <x:is>
          <x:t xml:space="preserve">Libye</x:t>
        </x:is>
      </x:c>
      <x:c r="C128" s="10" t="inlineStr">
        <x:is>
          <x:t xml:space="preserve">Libya</x:t>
        </x:is>
      </x:c>
    </x:row>
    <x:row r="129">
      <x:c r="A129" s="10" t="inlineStr">
        <x:is>
          <x:t xml:space="preserve">LSO</x:t>
        </x:is>
      </x:c>
      <x:c r="B129" s="10" t="inlineStr">
        <x:is>
          <x:t xml:space="preserve">Lesotho</x:t>
        </x:is>
      </x:c>
      <x:c r="C129" s="10" t="inlineStr">
        <x:is>
          <x:t xml:space="preserve">Lesotho</x:t>
        </x:is>
      </x:c>
    </x:row>
    <x:row r="130">
      <x:c r="A130" s="10" t="inlineStr">
        <x:is>
          <x:t xml:space="preserve">MAR</x:t>
        </x:is>
      </x:c>
      <x:c r="B130" s="10" t="inlineStr">
        <x:is>
          <x:t xml:space="preserve">Maroc</x:t>
        </x:is>
      </x:c>
      <x:c r="C130" s="10" t="inlineStr">
        <x:is>
          <x:t xml:space="preserve">Morocco</x:t>
        </x:is>
      </x:c>
    </x:row>
    <x:row r="131">
      <x:c r="A131" s="10" t="inlineStr">
        <x:is>
          <x:t xml:space="preserve">MDG</x:t>
        </x:is>
      </x:c>
      <x:c r="B131" s="10" t="inlineStr">
        <x:is>
          <x:t xml:space="preserve">Madagascar</x:t>
        </x:is>
      </x:c>
      <x:c r="C131" s="10" t="inlineStr">
        <x:is>
          <x:t xml:space="preserve">Madagascar</x:t>
        </x:is>
      </x:c>
    </x:row>
    <x:row r="132">
      <x:c r="A132" s="10" t="inlineStr">
        <x:is>
          <x:t xml:space="preserve">MLI</x:t>
        </x:is>
      </x:c>
      <x:c r="B132" s="10" t="inlineStr">
        <x:is>
          <x:t xml:space="preserve">Mali</x:t>
        </x:is>
      </x:c>
      <x:c r="C132" s="10" t="inlineStr">
        <x:is>
          <x:t xml:space="preserve">Mali</x:t>
        </x:is>
      </x:c>
    </x:row>
    <x:row r="133">
      <x:c r="A133" s="10" t="inlineStr">
        <x:is>
          <x:t xml:space="preserve">MOZ</x:t>
        </x:is>
      </x:c>
      <x:c r="B133" s="10" t="inlineStr">
        <x:is>
          <x:t xml:space="preserve">Mozambique</x:t>
        </x:is>
      </x:c>
      <x:c r="C133" s="10" t="inlineStr">
        <x:is>
          <x:t xml:space="preserve">Mozambique</x:t>
        </x:is>
      </x:c>
    </x:row>
    <x:row r="134">
      <x:c r="A134" s="10" t="inlineStr">
        <x:is>
          <x:t xml:space="preserve">MRT</x:t>
        </x:is>
      </x:c>
      <x:c r="B134" s="10" t="inlineStr">
        <x:is>
          <x:t xml:space="preserve">Mauritanie</x:t>
        </x:is>
      </x:c>
      <x:c r="C134" s="10" t="inlineStr">
        <x:is>
          <x:t xml:space="preserve">Mauritania</x:t>
        </x:is>
      </x:c>
    </x:row>
    <x:row r="135">
      <x:c r="A135" s="10" t="inlineStr">
        <x:is>
          <x:t xml:space="preserve">MUS</x:t>
        </x:is>
      </x:c>
      <x:c r="B135" s="10" t="inlineStr">
        <x:is>
          <x:t xml:space="preserve">Île Maurice</x:t>
        </x:is>
      </x:c>
      <x:c r="C135" s="10" t="inlineStr">
        <x:is>
          <x:t xml:space="preserve">Mauritius</x:t>
        </x:is>
      </x:c>
    </x:row>
    <x:row r="136">
      <x:c r="A136" s="10" t="inlineStr">
        <x:is>
          <x:t xml:space="preserve">MWI</x:t>
        </x:is>
      </x:c>
      <x:c r="B136" s="10" t="inlineStr">
        <x:is>
          <x:t xml:space="preserve">Malawi</x:t>
        </x:is>
      </x:c>
      <x:c r="C136" s="10" t="inlineStr">
        <x:is>
          <x:t xml:space="preserve">Malawi</x:t>
        </x:is>
      </x:c>
    </x:row>
    <x:row r="137">
      <x:c r="A137" s="10" t="inlineStr">
        <x:is>
          <x:t xml:space="preserve">NAM</x:t>
        </x:is>
      </x:c>
      <x:c r="B137" s="10" t="inlineStr">
        <x:is>
          <x:t xml:space="preserve">Namibie</x:t>
        </x:is>
      </x:c>
      <x:c r="C137" s="10" t="inlineStr">
        <x:is>
          <x:t xml:space="preserve">Namibia</x:t>
        </x:is>
      </x:c>
    </x:row>
    <x:row r="138">
      <x:c r="A138" s="10" t="inlineStr">
        <x:is>
          <x:t xml:space="preserve">NER</x:t>
        </x:is>
      </x:c>
      <x:c r="B138" s="10" t="inlineStr">
        <x:is>
          <x:t xml:space="preserve">Niger</x:t>
        </x:is>
      </x:c>
      <x:c r="C138" s="10" t="inlineStr">
        <x:is>
          <x:t xml:space="preserve">Niger</x:t>
        </x:is>
      </x:c>
    </x:row>
    <x:row r="139">
      <x:c r="A139" s="10" t="inlineStr">
        <x:is>
          <x:t xml:space="preserve">NGA</x:t>
        </x:is>
      </x:c>
      <x:c r="B139" s="10" t="inlineStr">
        <x:is>
          <x:t xml:space="preserve">Nigeria</x:t>
        </x:is>
      </x:c>
      <x:c r="C139" s="10" t="inlineStr">
        <x:is>
          <x:t xml:space="preserve">Nigeria</x:t>
        </x:is>
      </x:c>
    </x:row>
    <x:row r="140">
      <x:c r="A140" s="10" t="inlineStr">
        <x:is>
          <x:t xml:space="preserve">RWA</x:t>
        </x:is>
      </x:c>
      <x:c r="B140" s="10" t="inlineStr">
        <x:is>
          <x:t xml:space="preserve">Rwanda</x:t>
        </x:is>
      </x:c>
      <x:c r="C140" s="10" t="inlineStr">
        <x:is>
          <x:t xml:space="preserve">Rwanda</x:t>
        </x:is>
      </x:c>
    </x:row>
    <x:row r="141">
      <x:c r="A141" s="10" t="inlineStr">
        <x:is>
          <x:t xml:space="preserve">SDN</x:t>
        </x:is>
      </x:c>
      <x:c r="B141" s="10" t="inlineStr">
        <x:is>
          <x:t xml:space="preserve">Soudan</x:t>
        </x:is>
      </x:c>
      <x:c r="C141" s="10" t="inlineStr">
        <x:is>
          <x:t xml:space="preserve">Sudan</x:t>
        </x:is>
      </x:c>
    </x:row>
    <x:row r="142">
      <x:c r="A142" s="10" t="inlineStr">
        <x:is>
          <x:t xml:space="preserve">SEN</x:t>
        </x:is>
      </x:c>
      <x:c r="B142" s="10" t="inlineStr">
        <x:is>
          <x:t xml:space="preserve">Sénégal</x:t>
        </x:is>
      </x:c>
      <x:c r="C142" s="10" t="inlineStr">
        <x:is>
          <x:t xml:space="preserve">Senegal</x:t>
        </x:is>
      </x:c>
    </x:row>
    <x:row r="143">
      <x:c r="A143" s="10" t="inlineStr">
        <x:is>
          <x:t xml:space="preserve">SLE</x:t>
        </x:is>
      </x:c>
      <x:c r="B143" s="10" t="inlineStr">
        <x:is>
          <x:t xml:space="preserve">Sierra Leone</x:t>
        </x:is>
      </x:c>
      <x:c r="C143" s="10" t="inlineStr">
        <x:is>
          <x:t xml:space="preserve">Sierra Leone</x:t>
        </x:is>
      </x:c>
    </x:row>
    <x:row r="144">
      <x:c r="A144" s="10" t="inlineStr">
        <x:is>
          <x:t xml:space="preserve">SOM</x:t>
        </x:is>
      </x:c>
      <x:c r="B144" s="10" t="inlineStr">
        <x:is>
          <x:t xml:space="preserve">Somalie</x:t>
        </x:is>
      </x:c>
      <x:c r="C144" s="10" t="inlineStr">
        <x:is>
          <x:t xml:space="preserve">Somalia</x:t>
        </x:is>
      </x:c>
    </x:row>
    <x:row r="145">
      <x:c r="A145" s="10" t="inlineStr">
        <x:is>
          <x:t xml:space="preserve">SSD</x:t>
        </x:is>
      </x:c>
      <x:c r="B145" s="10" t="inlineStr">
        <x:is>
          <x:t xml:space="preserve">Soudan du Sud</x:t>
        </x:is>
      </x:c>
      <x:c r="C145" s="10" t="inlineStr">
        <x:is>
          <x:t xml:space="preserve">South Sudan</x:t>
        </x:is>
      </x:c>
    </x:row>
    <x:row r="146">
      <x:c r="A146" s="10" t="inlineStr">
        <x:is>
          <x:t xml:space="preserve">STP</x:t>
        </x:is>
      </x:c>
      <x:c r="B146" s="10" t="inlineStr">
        <x:is>
          <x:t xml:space="preserve">Sao Tomé-et-Principe</x:t>
        </x:is>
      </x:c>
      <x:c r="C146" s="10" t="inlineStr">
        <x:is>
          <x:t xml:space="preserve">Sao Tome and Principe</x:t>
        </x:is>
      </x:c>
    </x:row>
    <x:row r="147">
      <x:c r="A147" s="10" t="inlineStr">
        <x:is>
          <x:t xml:space="preserve">SWZ</x:t>
        </x:is>
      </x:c>
      <x:c r="B147" s="10" t="inlineStr">
        <x:is>
          <x:t xml:space="preserve">Eswatini</x:t>
        </x:is>
      </x:c>
      <x:c r="C147" s="10" t="inlineStr">
        <x:is>
          <x:t xml:space="preserve">Eswatini</x:t>
        </x:is>
      </x:c>
    </x:row>
    <x:row r="148">
      <x:c r="A148" s="10" t="inlineStr">
        <x:is>
          <x:t xml:space="preserve">SYC</x:t>
        </x:is>
      </x:c>
      <x:c r="B148" s="10" t="inlineStr">
        <x:is>
          <x:t xml:space="preserve">Seychelles</x:t>
        </x:is>
      </x:c>
      <x:c r="C148" s="10" t="inlineStr">
        <x:is>
          <x:t xml:space="preserve">Seychelles</x:t>
        </x:is>
      </x:c>
    </x:row>
    <x:row r="149">
      <x:c r="A149" s="10" t="inlineStr">
        <x:is>
          <x:t xml:space="preserve">TCD</x:t>
        </x:is>
      </x:c>
      <x:c r="B149" s="10" t="inlineStr">
        <x:is>
          <x:t xml:space="preserve">Tchad</x:t>
        </x:is>
      </x:c>
      <x:c r="C149" s="10" t="inlineStr">
        <x:is>
          <x:t xml:space="preserve">Chad</x:t>
        </x:is>
      </x:c>
    </x:row>
    <x:row r="150">
      <x:c r="A150" s="10" t="inlineStr">
        <x:is>
          <x:t xml:space="preserve">TGO</x:t>
        </x:is>
      </x:c>
      <x:c r="B150" s="10" t="inlineStr">
        <x:is>
          <x:t xml:space="preserve">Togo</x:t>
        </x:is>
      </x:c>
      <x:c r="C150" s="10" t="inlineStr">
        <x:is>
          <x:t xml:space="preserve">Togo</x:t>
        </x:is>
      </x:c>
    </x:row>
    <x:row r="151">
      <x:c r="A151" s="10" t="inlineStr">
        <x:is>
          <x:t xml:space="preserve">TUN</x:t>
        </x:is>
      </x:c>
      <x:c r="B151" s="10" t="inlineStr">
        <x:is>
          <x:t xml:space="preserve">Tunisie</x:t>
        </x:is>
      </x:c>
      <x:c r="C151" s="10" t="inlineStr">
        <x:is>
          <x:t xml:space="preserve">Tunisia</x:t>
        </x:is>
      </x:c>
    </x:row>
    <x:row r="152">
      <x:c r="A152" s="10" t="inlineStr">
        <x:is>
          <x:t xml:space="preserve">TZA</x:t>
        </x:is>
      </x:c>
      <x:c r="B152" s="10" t="inlineStr">
        <x:is>
          <x:t xml:space="preserve">République-Unie de Tanzanie</x:t>
        </x:is>
      </x:c>
      <x:c r="C152" s="10" t="inlineStr">
        <x:is>
          <x:t xml:space="preserve">Tanzania</x:t>
        </x:is>
      </x:c>
    </x:row>
    <x:row r="153">
      <x:c r="A153" s="10" t="inlineStr">
        <x:is>
          <x:t xml:space="preserve">UGA</x:t>
        </x:is>
      </x:c>
      <x:c r="B153" s="10" t="inlineStr">
        <x:is>
          <x:t xml:space="preserve">Ouganda</x:t>
        </x:is>
      </x:c>
      <x:c r="C153" s="10" t="inlineStr">
        <x:is>
          <x:t xml:space="preserve">Uganda</x:t>
        </x:is>
      </x:c>
    </x:row>
    <x:row r="154">
      <x:c r="A154" s="10" t="inlineStr">
        <x:is>
          <x:t xml:space="preserve">ZAF</x:t>
        </x:is>
      </x:c>
      <x:c r="B154" s="10" t="inlineStr">
        <x:is>
          <x:t xml:space="preserve">Afrique du Sud</x:t>
        </x:is>
      </x:c>
      <x:c r="C154" s="10" t="inlineStr">
        <x:is>
          <x:t xml:space="preserve">South Africa</x:t>
        </x:is>
      </x:c>
    </x:row>
    <x:row r="155">
      <x:c r="A155" s="10" t="inlineStr">
        <x:is>
          <x:t xml:space="preserve">ZMB</x:t>
        </x:is>
      </x:c>
      <x:c r="B155" s="10" t="inlineStr">
        <x:is>
          <x:t xml:space="preserve">Zambie</x:t>
        </x:is>
      </x:c>
      <x:c r="C155" s="10" t="inlineStr">
        <x:is>
          <x:t xml:space="preserve">Zambia</x:t>
        </x:is>
      </x:c>
    </x:row>
    <x:row r="156">
      <x:c r="A156" s="10" t="inlineStr">
        <x:is>
          <x:t xml:space="preserve">ZWE</x:t>
        </x:is>
      </x:c>
      <x:c r="B156" s="10" t="inlineStr">
        <x:is>
          <x:t xml:space="preserve">Zimbabwe</x:t>
        </x:is>
      </x:c>
      <x:c r="C156" s="10" t="inlineStr">
        <x:is>
          <x:t xml:space="preserve">Zimbabwe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26" customWidth="1"/>
    <x:col min="3" max="3" width="52" customWidth="1"/>
    <x:col min="4" max="4" width="50" customWidth="1"/>
  </x:cols>
  <x:sheetData>
    <x:row r="1">
      <x:c r="A1" s="4" t="inlineStr">
        <x:is>
          <x:t xml:space="preserve">Dictionnaire des variables et codes</x:t>
        </x:is>
      </x:c>
    </x:row>
    <x:row r="3">
      <x:c r="A3" s="9" t="inlineStr">
        <x:is>
          <x:t xml:space="preserve">Bloc</x:t>
        </x:is>
      </x:c>
      <x:c r="B3" s="9" t="inlineStr">
        <x:is>
          <x:t xml:space="preserve">Variable</x:t>
        </x:is>
      </x:c>
      <x:c r="C3" s="9" t="inlineStr">
        <x:is>
          <x:t xml:space="preserve">Description</x:t>
        </x:is>
      </x:c>
      <x:c r="D3" s="9" t="inlineStr">
        <x:is>
          <x:t xml:space="preserve">Valeurs attendues / format</x:t>
        </x:is>
      </x:c>
    </x:row>
    <x:row r="4">
      <x:c r="A4" s="10" t="inlineStr">
        <x:is>
          <x:t xml:space="preserve">Répondants</x:t>
        </x:is>
      </x:c>
      <x:c r="B4" s="10" t="inlineStr">
        <x:is>
          <x:t xml:space="preserve">submission_id</x:t>
        </x:is>
      </x:c>
      <x:c r="C4" s="10" t="inlineStr">
        <x:is>
          <x:t xml:space="preserve">Identifiant unique de soumission</x:t>
        </x:is>
      </x:c>
      <x:c r="D4" s="10" t="inlineStr">
        <x:is>
          <x:t xml:space="preserve">Texte (unique)</x:t>
        </x:is>
      </x:c>
    </x:row>
    <x:row r="5">
      <x:c r="A5" s="10" t="inlineStr">
        <x:is>
          <x:t xml:space="preserve">Répondants</x:t>
        </x:is>
      </x:c>
      <x:c r="B5" s="10" t="inlineStr">
        <x:is>
          <x:t xml:space="preserve">submitted_at</x:t>
        </x:is>
      </x:c>
      <x:c r="C5" s="10" t="inlineStr">
        <x:is>
          <x:t xml:space="preserve">Date/heure (optionnel)</x:t>
        </x:is>
      </x:c>
      <x:c r="D5" s="10" t="inlineStr">
        <x:is>
          <x:t xml:space="preserve">Date/heure</x:t>
        </x:is>
      </x:c>
    </x:row>
    <x:row r="6">
      <x:c r="A6" s="10" t="inlineStr">
        <x:is>
          <x:t xml:space="preserve">Répondants</x:t>
        </x:is>
      </x:c>
      <x:c r="B6" s="10" t="inlineStr">
        <x:is>
          <x:t xml:space="preserve">email</x:t>
        </x:is>
      </x:c>
      <x:c r="C6" s="10" t="inlineStr">
        <x:is>
          <x:t xml:space="preserve">Email du répondant</x:t>
        </x:is>
      </x:c>
      <x:c r="D6" s="10" t="inlineStr">
        <x:is>
          <x:t xml:space="preserve">Texte (unique idéalement)</x:t>
        </x:is>
      </x:c>
    </x:row>
    <x:row r="7">
      <x:c r="A7" s="10" t="inlineStr">
        <x:is>
          <x:t xml:space="preserve">Répondants</x:t>
        </x:is>
      </x:c>
      <x:c r="B7" s="10" t="inlineStr">
        <x:is>
          <x:t xml:space="preserve">organisation</x:t>
        </x:is>
      </x:c>
      <x:c r="C7" s="10" t="inlineStr">
        <x:is>
          <x:t xml:space="preserve">Nom de l'organisation</x:t>
        </x:is>
      </x:c>
      <x:c r="D7" s="10" t="inlineStr">
        <x:is>
          <x:t xml:space="preserve">Texte</x:t>
        </x:is>
      </x:c>
    </x:row>
    <x:row r="8">
      <x:c r="A8" s="10" t="inlineStr">
        <x:is>
          <x:t xml:space="preserve">Répondants</x:t>
        </x:is>
      </x:c>
      <x:c r="B8" s="10" t="inlineStr">
        <x:is>
          <x:t xml:space="preserve">pays_iso3</x:t>
        </x:is>
      </x:c>
      <x:c r="C8" s="10" t="inlineStr">
        <x:is>
          <x:t xml:space="preserve">Pays ISO3</x:t>
        </x:is>
      </x:c>
      <x:c r="D8" s="10" t="inlineStr">
        <x:is>
          <x:t xml:space="preserve">Liste ISO3 (02_Referentiels)</x:t>
        </x:is>
      </x:c>
    </x:row>
    <x:row r="9">
      <x:c r="A9" s="10" t="inlineStr">
        <x:is>
          <x:t xml:space="preserve">Répondants</x:t>
        </x:is>
      </x:c>
      <x:c r="B9" s="10" t="inlineStr">
        <x:is>
          <x:t xml:space="preserve">type_acteur</x:t>
        </x:is>
      </x:c>
      <x:c r="C9" s="10" t="inlineStr">
        <x:is>
          <x:t xml:space="preserve">Type d'acteur</x:t>
        </x:is>
      </x:c>
      <x:c r="D9" s="10" t="inlineStr">
        <x:is>
          <x:t xml:space="preserve">NSO ; Ministry ; REC ; AU ; CivilSoc ; DevPartner ; Academia ; Other</x:t>
        </x:is>
      </x:c>
    </x:row>
    <x:row r="10">
      <x:c r="A10" s="10" t="inlineStr">
        <x:is>
          <x:t xml:space="preserve">Répondants</x:t>
        </x:is>
      </x:c>
      <x:c r="B10" s="10" t="inlineStr">
        <x:is>
          <x:t xml:space="preserve">fonction</x:t>
        </x:is>
      </x:c>
      <x:c r="C10" s="10" t="inlineStr">
        <x:is>
          <x:t xml:space="preserve">Fonction</x:t>
        </x:is>
      </x:c>
      <x:c r="D10" s="10" t="inlineStr">
        <x:is>
          <x:t xml:space="preserve">DG/DGA/SG ; Directeur ; Conseiller ; Chef de division ; Chef de bureau ; Autre</x:t>
        </x:is>
      </x:c>
    </x:row>
    <x:row r="11">
      <x:c r="A11" s="10" t="inlineStr">
        <x:is>
          <x:t xml:space="preserve">Répondants</x:t>
        </x:is>
      </x:c>
      <x:c r="B11" s="10" t="inlineStr">
        <x:is>
          <x:t xml:space="preserve">scope</x:t>
        </x:is>
      </x:c>
      <x:c r="C11" s="10" t="inlineStr">
        <x:is>
          <x:t xml:space="preserve">Portée</x:t>
        </x:is>
      </x:c>
      <x:c r="D11" s="10" t="inlineStr">
        <x:is>
          <x:t xml:space="preserve">National ; Regional ; Continental ; International ; Other</x:t>
        </x:is>
      </x:c>
    </x:row>
    <x:row r="12">
      <x:c r="A12" s="10" t="inlineStr">
        <x:is>
          <x:t xml:space="preserve">Répondants</x:t>
        </x:is>
      </x:c>
      <x:c r="B12" s="10" t="inlineStr">
        <x:is>
          <x:t xml:space="preserve">snds_status</x:t>
        </x:is>
      </x:c>
      <x:c r="C12" s="10" t="inlineStr">
        <x:is>
          <x:t xml:space="preserve">Statut SNDS/plan statistique</x:t>
        </x:is>
      </x:c>
      <x:c r="D12" s="10" t="inlineStr">
        <x:is>
          <x:t xml:space="preserve">Oui ; Non ; En préparation ; En mise en œuvre + nouveau en préparation ; NSP ; Autre</x:t>
        </x:is>
      </x:c>
    </x:row>
    <x:row r="13">
      <x:c r="A13" s="10" t="inlineStr">
        <x:is>
          <x:t xml:space="preserve">Domaines</x:t>
        </x:is>
      </x:c>
      <x:c r="B13" s="10" t="inlineStr">
        <x:is>
          <x:t xml:space="preserve">top_domain_1..5</x:t>
        </x:is>
      </x:c>
      <x:c r="C13" s="10" t="inlineStr">
        <x:is>
          <x:t xml:space="preserve">TOP 5 domaines (classement)</x:t>
        </x:is>
      </x:c>
      <x:c r="D13" s="10" t="inlineStr">
        <x:is>
          <x:t xml:space="preserve">Codes D01..D12</x:t>
        </x:is>
      </x:c>
    </x:row>
    <x:row r="14">
      <x:c r="A14" s="10" t="inlineStr">
        <x:is>
          <x:t xml:space="preserve">Stats</x:t>
        </x:is>
      </x:c>
      <x:c r="B14" s="10" t="inlineStr">
        <x:is>
          <x:t xml:space="preserve">(submission_id, stat_code)</x:t>
        </x:is>
      </x:c>
      <x:c r="C14" s="10" t="inlineStr">
        <x:is>
          <x:t xml:space="preserve">Clé de table notation</x:t>
        </x:is>
      </x:c>
      <x:c r="D14" s="10" t="inlineStr">
        <x:is>
          <x:t xml:space="preserve">1 ligne par statistique sélectionnée</x:t>
        </x:is>
      </x:c>
    </x:row>
    <x:row r="15">
      <x:c r="A15" s="10" t="inlineStr">
        <x:is>
          <x:t xml:space="preserve">Stats</x:t>
        </x:is>
      </x:c>
      <x:c r="B15" s="10" t="inlineStr">
        <x:is>
          <x:t xml:space="preserve">domain_code</x:t>
        </x:is>
      </x:c>
      <x:c r="C15" s="10" t="inlineStr">
        <x:is>
          <x:t xml:space="preserve">Domaine associé à la statistique</x:t>
        </x:is>
      </x:c>
      <x:c r="D15" s="10" t="inlineStr">
        <x:is>
          <x:t xml:space="preserve">Code D01..D12</x:t>
        </x:is>
      </x:c>
    </x:row>
    <x:row r="16">
      <x:c r="A16" s="10" t="inlineStr">
        <x:is>
          <x:t xml:space="preserve">Stats</x:t>
        </x:is>
      </x:c>
      <x:c r="B16" s="10" t="inlineStr">
        <x:is>
          <x:t xml:space="preserve">demand_score</x:t>
        </x:is>
      </x:c>
      <x:c r="C16" s="10" t="inlineStr">
        <x:is>
          <x:t xml:space="preserve">Demande politique</x:t>
        </x:is>
      </x:c>
      <x:c r="D16" s="10" t="inlineStr">
        <x:is>
          <x:t xml:space="preserve">0..3 (0=NSP)</x:t>
        </x:is>
      </x:c>
    </x:row>
    <x:row r="17">
      <x:c r="A17" s="10" t="inlineStr">
        <x:is>
          <x:t xml:space="preserve">Stats</x:t>
        </x:is>
      </x:c>
      <x:c r="B17" s="10" t="inlineStr">
        <x:is>
          <x:t xml:space="preserve">availability_score</x:t>
        </x:is>
      </x:c>
      <x:c r="C17" s="10" t="inlineStr">
        <x:is>
          <x:t xml:space="preserve">Disponibilité actuelle</x:t>
        </x:is>
      </x:c>
      <x:c r="D17" s="10" t="inlineStr">
        <x:is>
          <x:t xml:space="preserve">0..3 (0=NSP)</x:t>
        </x:is>
      </x:c>
    </x:row>
    <x:row r="18">
      <x:c r="A18" s="10" t="inlineStr">
        <x:is>
          <x:t xml:space="preserve">Stats</x:t>
        </x:is>
      </x:c>
      <x:c r="B18" s="10" t="inlineStr">
        <x:is>
          <x:t xml:space="preserve">feasibility_score</x:t>
        </x:is>
      </x:c>
      <x:c r="C18" s="10" t="inlineStr">
        <x:is>
          <x:t xml:space="preserve">Faisabilité</x:t>
        </x:is>
      </x:c>
      <x:c r="D18" s="10" t="inlineStr">
        <x:is>
          <x:t xml:space="preserve">0..3 (0=NSP)</x:t>
        </x:is>
      </x:c>
    </x:row>
    <x:row r="19">
      <x:c r="A19" s="10" t="inlineStr">
        <x:is>
          <x:t xml:space="preserve">Genre</x:t>
        </x:is>
      </x:c>
      <x:c r="B19" s="10" t="inlineStr">
        <x:is>
          <x:t xml:space="preserve">sexe, age, ...</x:t>
        </x:is>
      </x:c>
      <x:c r="C19" s="10" t="inlineStr">
        <x:is>
          <x:t xml:space="preserve">Table dimension genre</x:t>
        </x:is>
      </x:c>
      <x:c r="D19" s="10" t="inlineStr">
        <x:is>
          <x:t xml:space="preserve">YES ; NO ; DEP ; UK</x:t>
        </x:is>
      </x:c>
    </x:row>
    <x:row r="20">
      <x:c r="A20" s="10" t="inlineStr">
        <x:is>
          <x:t xml:space="preserve">Capacité</x:t>
        </x:is>
      </x:c>
      <x:c r="B20" s="10" t="inlineStr">
        <x:is>
          <x:t xml:space="preserve">comp_stats, ...</x:t>
        </x:is>
      </x:c>
      <x:c r="C20" s="10" t="inlineStr">
        <x:is>
          <x:t xml:space="preserve">Table capacité</x:t>
        </x:is>
      </x:c>
      <x:c r="D20" s="10" t="inlineStr">
        <x:is>
          <x:t xml:space="preserve">HIGH ; MED ; LOW ; UK</x:t>
        </x:is>
      </x:c>
    </x:row>
    <x:row r="21">
      <x:c r="A21" s="10" t="inlineStr">
        <x:is>
          <x:t xml:space="preserve">Sélections</x:t>
        </x:is>
      </x:c>
      <x:c r="B21" s="10" t="inlineStr">
        <x:is>
          <x:t xml:space="preserve">category</x:t>
        </x:is>
      </x:c>
      <x:c r="C21" s="10" t="inlineStr">
        <x:is>
          <x:t xml:space="preserve">Catégorie</x:t>
        </x:is>
      </x:c>
      <x:c r="D21" s="10" t="inlineStr">
        <x:is>
          <x:t xml:space="preserve">QUALITE ; DIFFUSION ; SOURCE</x:t>
        </x:is>
      </x:c>
    </x:row>
    <x:row r="22">
      <x:c r="A22" s="10" t="inlineStr">
        <x:is>
          <x:t xml:space="preserve">Sélections</x:t>
        </x:is>
      </x:c>
      <x:c r="B22" s="10" t="inlineStr">
        <x:is>
          <x:t xml:space="preserve">option</x:t>
        </x:is>
      </x:c>
      <x:c r="C22" s="10" t="inlineStr">
        <x:is>
          <x:t xml:space="preserve">Option choisie</x:t>
        </x:is>
      </x:c>
      <x:c r="D22" s="10" t="inlineStr">
        <x:is>
          <x:t xml:space="preserve">Texte</x:t>
        </x:is>
      </x:c>
    </x:row>
    <x:row r="23">
      <x:c r="A23" s="10" t="inlineStr">
        <x:is>
          <x:t xml:space="preserve">Sélections</x:t>
        </x:is>
      </x:c>
      <x:c r="B23" s="10" t="inlineStr">
        <x:is>
          <x:t xml:space="preserve">option_detail</x:t>
        </x:is>
      </x:c>
      <x:c r="C23" s="10" t="inlineStr">
        <x:is>
          <x:t xml:space="preserve">Précision si 'Autre'</x:t>
        </x:is>
      </x:c>
      <x:c r="D23" s="10" t="inlineStr">
        <x:is>
          <x:t xml:space="preserve">Texte libre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9" customWidth="1"/>
    <x:col min="3" max="3" width="28" customWidth="1"/>
    <x:col min="4" max="4" width="28" customWidth="1"/>
    <x:col min="5" max="5" width="12" customWidth="1"/>
    <x:col min="6" max="6" width="14" customWidth="1"/>
    <x:col min="7" max="7" width="16" customWidth="1"/>
    <x:col min="8" max="8" width="14" customWidth="1"/>
    <x:col min="9" max="9" width="28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4" customWidth="1"/>
    <x:col min="16" max="16" width="12" customWidth="1"/>
    <x:col min="17" max="17" width="16" customWidth="1"/>
    <x:col min="18" max="18" width="12" customWidth="1"/>
  </x:cols>
  <x:sheetData>
    <x:row r="1">
      <x:c r="A1" s="4" t="inlineStr">
        <x:is>
          <x:t xml:space="preserve">Entrées - Répondants (1 ligne = 1 soumission)</x:t>
        </x:is>
      </x:c>
    </x:row>
    <x:row r="2">
      <x:c r="A2" s="3" t="inlineStr">
        <x:is>
          <x:t xml:space="preserve">Collez ici vos soumissions. Champs essentiels : submission_id, pays_iso3, type_acteur, scope, top_domain_1..5.
Les colonnes qc_* sont calculées automatiquement (contrôles).</x:t>
        </x:is>
      </x:c>
    </x:row>
    <x:row r="4" ht="22" customHeight="1">
      <x:c r="A4" s="11" t="inlineStr">
        <x:is>
          <x:t xml:space="preserve">submission_id</x:t>
        </x:is>
      </x:c>
      <x:c r="B4" s="11" t="inlineStr">
        <x:is>
          <x:t xml:space="preserve">submitted_at</x:t>
        </x:is>
      </x:c>
      <x:c r="C4" s="11" t="inlineStr">
        <x:is>
          <x:t xml:space="preserve">email</x:t>
        </x:is>
      </x:c>
      <x:c r="D4" s="11" t="inlineStr">
        <x:is>
          <x:t xml:space="preserve">organisation</x:t>
        </x:is>
      </x:c>
      <x:c r="E4" s="11" t="inlineStr">
        <x:is>
          <x:t xml:space="preserve">pays_iso3</x:t>
        </x:is>
      </x:c>
      <x:c r="F4" s="11" t="inlineStr">
        <x:is>
          <x:t xml:space="preserve">type_acteur</x:t>
        </x:is>
      </x:c>
      <x:c r="G4" s="11" t="inlineStr">
        <x:is>
          <x:t xml:space="preserve">fonction</x:t>
        </x:is>
      </x:c>
      <x:c r="H4" s="11" t="inlineStr">
        <x:is>
          <x:t xml:space="preserve">scope</x:t>
        </x:is>
      </x:c>
      <x:c r="I4" s="11" t="inlineStr">
        <x:is>
          <x:t xml:space="preserve">snds_status</x:t>
        </x:is>
      </x:c>
      <x:c r="J4" s="11" t="inlineStr">
        <x:is>
          <x:t xml:space="preserve">top_domain_1</x:t>
        </x:is>
      </x:c>
      <x:c r="K4" s="11" t="inlineStr">
        <x:is>
          <x:t xml:space="preserve">top_domain_2</x:t>
        </x:is>
      </x:c>
      <x:c r="L4" s="11" t="inlineStr">
        <x:is>
          <x:t xml:space="preserve">top_domain_3</x:t>
        </x:is>
      </x:c>
      <x:c r="M4" s="11" t="inlineStr">
        <x:is>
          <x:t xml:space="preserve">top_domain_4</x:t>
        </x:is>
      </x:c>
      <x:c r="N4" s="11" t="inlineStr">
        <x:is>
          <x:t xml:space="preserve">top_domain_5</x:t>
        </x:is>
      </x:c>
      <x:c r="O4" s="11" t="inlineStr">
        <x:is>
          <x:t xml:space="preserve">poids_repondant</x:t>
        </x:is>
      </x:c>
      <x:c r="P4" s="11" t="inlineStr">
        <x:is>
          <x:t xml:space="preserve">qc_nb_top5</x:t>
        </x:is>
      </x:c>
      <x:c r="Q4" s="11" t="inlineStr">
        <x:is>
          <x:t xml:space="preserve">qc_top5_incomplet</x:t>
        </x:is>
      </x:c>
      <x:c r="R4" s="11" t="inlineStr">
        <x:is>
          <x:t xml:space="preserve">qc_dup_id</x:t>
        </x:is>
      </x:c>
    </x:row>
    <x:row r="5">
      <x:c r="A5" s="8" t="n"/>
      <x:c r="B5" s="12" t="n"/>
      <x:c r="C5" s="8" t="n"/>
      <x:c r="D5" s="8" t="n"/>
      <x:c r="E5" s="8" t="n"/>
      <x:c r="F5" s="8" t="n"/>
      <x:c r="G5" s="8" t="n"/>
      <x:c r="H5" s="8" t="n"/>
      <x:c r="I5" s="8" t="n"/>
      <x:c r="J5" s="8" t="n"/>
      <x:c r="K5" s="8" t="n"/>
      <x:c r="L5" s="8" t="n"/>
      <x:c r="M5" s="8" t="n"/>
      <x:c r="N5" s="8" t="n"/>
      <x:c r="O5" s="8" t="n"/>
      <x:c r="P5">
        <x:f>COUNTA(J5:N5)</x:f>
        <x:v>0</x:v>
      </x:c>
      <x:c r="Q5">
        <x:f>IF(A5="","",IF(P5&lt;&gt;5,1,0))</x:f>
      </x:c>
      <x:c r="R5">
        <x:f>IF(A5="","",IF(COUNTIF($A$5:$A$604,A5)&gt;1,1,0))</x:f>
      </x:c>
    </x:row>
    <x:row r="6">
      <x:c r="A6" s="8" t="n"/>
      <x:c r="B6" s="12" t="n"/>
      <x:c r="C6" s="8" t="n"/>
      <x:c r="D6" s="8" t="n"/>
      <x:c r="E6" s="8" t="n"/>
      <x:c r="F6" s="8" t="n"/>
      <x:c r="G6" s="8" t="n"/>
      <x:c r="H6" s="8" t="n"/>
      <x:c r="I6" s="8" t="n"/>
      <x:c r="J6" s="8" t="n"/>
      <x:c r="K6" s="8" t="n"/>
      <x:c r="L6" s="8" t="n"/>
      <x:c r="M6" s="8" t="n"/>
      <x:c r="N6" s="8" t="n"/>
      <x:c r="O6" s="8" t="n"/>
      <x:c r="P6">
        <x:f>COUNTA(J6:N6)</x:f>
        <x:v>0</x:v>
      </x:c>
      <x:c r="Q6">
        <x:f>IF(A6="","",IF(P6&lt;&gt;5,1,0))</x:f>
      </x:c>
      <x:c r="R6">
        <x:f>IF(A6="","",IF(COUNTIF($A$5:$A$604,A6)&gt;1,1,0))</x:f>
      </x:c>
    </x:row>
    <x:row r="7">
      <x:c r="A7" s="8" t="n"/>
      <x:c r="B7" s="12" t="n"/>
      <x:c r="C7" s="8" t="n"/>
      <x:c r="D7" s="8" t="n"/>
      <x:c r="E7" s="8" t="n"/>
      <x:c r="F7" s="8" t="n"/>
      <x:c r="G7" s="8" t="n"/>
      <x:c r="H7" s="8" t="n"/>
      <x:c r="I7" s="8" t="n"/>
      <x:c r="J7" s="8" t="n"/>
      <x:c r="K7" s="8" t="n"/>
      <x:c r="L7" s="8" t="n"/>
      <x:c r="M7" s="8" t="n"/>
      <x:c r="N7" s="8" t="n"/>
      <x:c r="O7" s="8" t="n"/>
      <x:c r="P7">
        <x:f>COUNTA(J7:N7)</x:f>
        <x:v>0</x:v>
      </x:c>
      <x:c r="Q7">
        <x:f>IF(A7="","",IF(P7&lt;&gt;5,1,0))</x:f>
      </x:c>
      <x:c r="R7">
        <x:f>IF(A7="","",IF(COUNTIF($A$5:$A$604,A7)&gt;1,1,0))</x:f>
      </x:c>
    </x:row>
    <x:row r="8">
      <x:c r="A8" s="8" t="n"/>
      <x:c r="B8" s="12" t="n"/>
      <x:c r="C8" s="8" t="n"/>
      <x:c r="D8" s="8" t="n"/>
      <x:c r="E8" s="8" t="n"/>
      <x:c r="F8" s="8" t="n"/>
      <x:c r="G8" s="8" t="n"/>
      <x:c r="H8" s="8" t="n"/>
      <x:c r="I8" s="8" t="n"/>
      <x:c r="J8" s="8" t="n"/>
      <x:c r="K8" s="8" t="n"/>
      <x:c r="L8" s="8" t="n"/>
      <x:c r="M8" s="8" t="n"/>
      <x:c r="N8" s="8" t="n"/>
      <x:c r="O8" s="8" t="n"/>
      <x:c r="P8">
        <x:f>COUNTA(J8:N8)</x:f>
        <x:v>0</x:v>
      </x:c>
      <x:c r="Q8">
        <x:f>IF(A8="","",IF(P8&lt;&gt;5,1,0))</x:f>
      </x:c>
      <x:c r="R8">
        <x:f>IF(A8="","",IF(COUNTIF($A$5:$A$604,A8)&gt;1,1,0))</x:f>
      </x:c>
    </x:row>
    <x:row r="9">
      <x:c r="A9" s="8" t="n"/>
      <x:c r="B9" s="12" t="n"/>
      <x:c r="C9" s="8" t="n"/>
      <x:c r="D9" s="8" t="n"/>
      <x:c r="E9" s="8" t="n"/>
      <x:c r="F9" s="8" t="n"/>
      <x:c r="G9" s="8" t="n"/>
      <x:c r="H9" s="8" t="n"/>
      <x:c r="I9" s="8" t="n"/>
      <x:c r="J9" s="8" t="n"/>
      <x:c r="K9" s="8" t="n"/>
      <x:c r="L9" s="8" t="n"/>
      <x:c r="M9" s="8" t="n"/>
      <x:c r="N9" s="8" t="n"/>
      <x:c r="O9" s="8" t="n"/>
      <x:c r="P9">
        <x:f>COUNTA(J9:N9)</x:f>
        <x:v>0</x:v>
      </x:c>
      <x:c r="Q9">
        <x:f>IF(A9="","",IF(P9&lt;&gt;5,1,0))</x:f>
      </x:c>
      <x:c r="R9">
        <x:f>IF(A9="","",IF(COUNTIF($A$5:$A$604,A9)&gt;1,1,0))</x:f>
      </x:c>
    </x:row>
    <x:row r="10">
      <x:c r="A10" s="8" t="n"/>
      <x:c r="B10" s="12" t="n"/>
      <x:c r="C10" s="8" t="n"/>
      <x:c r="D10" s="8" t="n"/>
      <x:c r="E10" s="8" t="n"/>
      <x:c r="F10" s="8" t="n"/>
      <x:c r="G10" s="8" t="n"/>
      <x:c r="H10" s="8" t="n"/>
      <x:c r="I10" s="8" t="n"/>
      <x:c r="J10" s="8" t="n"/>
      <x:c r="K10" s="8" t="n"/>
      <x:c r="L10" s="8" t="n"/>
      <x:c r="M10" s="8" t="n"/>
      <x:c r="N10" s="8" t="n"/>
      <x:c r="O10" s="8" t="n"/>
      <x:c r="P10">
        <x:f>COUNTA(J10:N10)</x:f>
        <x:v>0</x:v>
      </x:c>
      <x:c r="Q10">
        <x:f>IF(A10="","",IF(P10&lt;&gt;5,1,0))</x:f>
      </x:c>
      <x:c r="R10">
        <x:f>IF(A10="","",IF(COUNTIF($A$5:$A$604,A10)&gt;1,1,0))</x:f>
      </x:c>
    </x:row>
    <x:row r="11">
      <x:c r="A11" s="8" t="n"/>
      <x:c r="B11" s="12" t="n"/>
      <x:c r="C11" s="8" t="n"/>
      <x:c r="D11" s="8" t="n"/>
      <x:c r="E11" s="8" t="n"/>
      <x:c r="F11" s="8" t="n"/>
      <x:c r="G11" s="8" t="n"/>
      <x:c r="H11" s="8" t="n"/>
      <x:c r="I11" s="8" t="n"/>
      <x:c r="J11" s="8" t="n"/>
      <x:c r="K11" s="8" t="n"/>
      <x:c r="L11" s="8" t="n"/>
      <x:c r="M11" s="8" t="n"/>
      <x:c r="N11" s="8" t="n"/>
      <x:c r="O11" s="8" t="n"/>
      <x:c r="P11">
        <x:f>COUNTA(J11:N11)</x:f>
        <x:v>0</x:v>
      </x:c>
      <x:c r="Q11">
        <x:f>IF(A11="","",IF(P11&lt;&gt;5,1,0))</x:f>
      </x:c>
      <x:c r="R11">
        <x:f>IF(A11="","",IF(COUNTIF($A$5:$A$604,A11)&gt;1,1,0))</x:f>
      </x:c>
    </x:row>
    <x:row r="12">
      <x:c r="A12" s="8" t="n"/>
      <x:c r="B12" s="12" t="n"/>
      <x:c r="C12" s="8" t="n"/>
      <x:c r="D12" s="8" t="n"/>
      <x:c r="E12" s="8" t="n"/>
      <x:c r="F12" s="8" t="n"/>
      <x:c r="G12" s="8" t="n"/>
      <x:c r="H12" s="8" t="n"/>
      <x:c r="I12" s="8" t="n"/>
      <x:c r="J12" s="8" t="n"/>
      <x:c r="K12" s="8" t="n"/>
      <x:c r="L12" s="8" t="n"/>
      <x:c r="M12" s="8" t="n"/>
      <x:c r="N12" s="8" t="n"/>
      <x:c r="O12" s="8" t="n"/>
      <x:c r="P12">
        <x:f>COUNTA(J12:N12)</x:f>
        <x:v>0</x:v>
      </x:c>
      <x:c r="Q12">
        <x:f>IF(A12="","",IF(P12&lt;&gt;5,1,0))</x:f>
      </x:c>
      <x:c r="R12">
        <x:f>IF(A12="","",IF(COUNTIF($A$5:$A$604,A12)&gt;1,1,0))</x:f>
      </x:c>
    </x:row>
    <x:row r="13">
      <x:c r="A13" s="8" t="n"/>
      <x:c r="B13" s="12" t="n"/>
      <x:c r="C13" s="8" t="n"/>
      <x:c r="D13" s="8" t="n"/>
      <x:c r="E13" s="8" t="n"/>
      <x:c r="F13" s="8" t="n"/>
      <x:c r="G13" s="8" t="n"/>
      <x:c r="H13" s="8" t="n"/>
      <x:c r="I13" s="8" t="n"/>
      <x:c r="J13" s="8" t="n"/>
      <x:c r="K13" s="8" t="n"/>
      <x:c r="L13" s="8" t="n"/>
      <x:c r="M13" s="8" t="n"/>
      <x:c r="N13" s="8" t="n"/>
      <x:c r="O13" s="8" t="n"/>
      <x:c r="P13">
        <x:f>COUNTA(J13:N13)</x:f>
        <x:v>0</x:v>
      </x:c>
      <x:c r="Q13">
        <x:f>IF(A13="","",IF(P13&lt;&gt;5,1,0))</x:f>
      </x:c>
      <x:c r="R13">
        <x:f>IF(A13="","",IF(COUNTIF($A$5:$A$604,A13)&gt;1,1,0))</x:f>
      </x:c>
    </x:row>
    <x:row r="14">
      <x:c r="A14" s="8" t="n"/>
      <x:c r="B14" s="12" t="n"/>
      <x:c r="C14" s="8" t="n"/>
      <x:c r="D14" s="8" t="n"/>
      <x:c r="E14" s="8" t="n"/>
      <x:c r="F14" s="8" t="n"/>
      <x:c r="G14" s="8" t="n"/>
      <x:c r="H14" s="8" t="n"/>
      <x:c r="I14" s="8" t="n"/>
      <x:c r="J14" s="8" t="n"/>
      <x:c r="K14" s="8" t="n"/>
      <x:c r="L14" s="8" t="n"/>
      <x:c r="M14" s="8" t="n"/>
      <x:c r="N14" s="8" t="n"/>
      <x:c r="O14" s="8" t="n"/>
      <x:c r="P14">
        <x:f>COUNTA(J14:N14)</x:f>
        <x:v>0</x:v>
      </x:c>
      <x:c r="Q14">
        <x:f>IF(A14="","",IF(P14&lt;&gt;5,1,0))</x:f>
      </x:c>
      <x:c r="R14">
        <x:f>IF(A14="","",IF(COUNTIF($A$5:$A$604,A14)&gt;1,1,0))</x:f>
      </x:c>
    </x:row>
    <x:row r="15">
      <x:c r="A15" s="8" t="n"/>
      <x:c r="B15" s="12" t="n"/>
      <x:c r="C15" s="8" t="n"/>
      <x:c r="D15" s="8" t="n"/>
      <x:c r="E15" s="8" t="n"/>
      <x:c r="F15" s="8" t="n"/>
      <x:c r="G15" s="8" t="n"/>
      <x:c r="H15" s="8" t="n"/>
      <x:c r="I15" s="8" t="n"/>
      <x:c r="J15" s="8" t="n"/>
      <x:c r="K15" s="8" t="n"/>
      <x:c r="L15" s="8" t="n"/>
      <x:c r="M15" s="8" t="n"/>
      <x:c r="N15" s="8" t="n"/>
      <x:c r="O15" s="8" t="n"/>
      <x:c r="P15">
        <x:f>COUNTA(J15:N15)</x:f>
        <x:v>0</x:v>
      </x:c>
      <x:c r="Q15">
        <x:f>IF(A15="","",IF(P15&lt;&gt;5,1,0))</x:f>
      </x:c>
      <x:c r="R15">
        <x:f>IF(A15="","",IF(COUNTIF($A$5:$A$604,A15)&gt;1,1,0))</x:f>
      </x:c>
    </x:row>
    <x:row r="16">
      <x:c r="A16" s="8" t="n"/>
      <x:c r="B16" s="12" t="n"/>
      <x:c r="C16" s="8" t="n"/>
      <x:c r="D16" s="8" t="n"/>
      <x:c r="E16" s="8" t="n"/>
      <x:c r="F16" s="8" t="n"/>
      <x:c r="G16" s="8" t="n"/>
      <x:c r="H16" s="8" t="n"/>
      <x:c r="I16" s="8" t="n"/>
      <x:c r="J16" s="8" t="n"/>
      <x:c r="K16" s="8" t="n"/>
      <x:c r="L16" s="8" t="n"/>
      <x:c r="M16" s="8" t="n"/>
      <x:c r="N16" s="8" t="n"/>
      <x:c r="O16" s="8" t="n"/>
      <x:c r="P16">
        <x:f>COUNTA(J16:N16)</x:f>
        <x:v>0</x:v>
      </x:c>
      <x:c r="Q16">
        <x:f>IF(A16="","",IF(P16&lt;&gt;5,1,0))</x:f>
      </x:c>
      <x:c r="R16">
        <x:f>IF(A16="","",IF(COUNTIF($A$5:$A$604,A16)&gt;1,1,0))</x:f>
      </x:c>
    </x:row>
    <x:row r="17">
      <x:c r="A17" s="8" t="n"/>
      <x:c r="B17" s="12" t="n"/>
      <x:c r="C17" s="8" t="n"/>
      <x:c r="D17" s="8" t="n"/>
      <x:c r="E17" s="8" t="n"/>
      <x:c r="F17" s="8" t="n"/>
      <x:c r="G17" s="8" t="n"/>
      <x:c r="H17" s="8" t="n"/>
      <x:c r="I17" s="8" t="n"/>
      <x:c r="J17" s="8" t="n"/>
      <x:c r="K17" s="8" t="n"/>
      <x:c r="L17" s="8" t="n"/>
      <x:c r="M17" s="8" t="n"/>
      <x:c r="N17" s="8" t="n"/>
      <x:c r="O17" s="8" t="n"/>
      <x:c r="P17">
        <x:f>COUNTA(J17:N17)</x:f>
        <x:v>0</x:v>
      </x:c>
      <x:c r="Q17">
        <x:f>IF(A17="","",IF(P17&lt;&gt;5,1,0))</x:f>
      </x:c>
      <x:c r="R17">
        <x:f>IF(A17="","",IF(COUNTIF($A$5:$A$604,A17)&gt;1,1,0))</x:f>
      </x:c>
    </x:row>
    <x:row r="18">
      <x:c r="A18" s="8" t="n"/>
      <x:c r="B18" s="12" t="n"/>
      <x:c r="C18" s="8" t="n"/>
      <x:c r="D18" s="8" t="n"/>
      <x:c r="E18" s="8" t="n"/>
      <x:c r="F18" s="8" t="n"/>
      <x:c r="G18" s="8" t="n"/>
      <x:c r="H18" s="8" t="n"/>
      <x:c r="I18" s="8" t="n"/>
      <x:c r="J18" s="8" t="n"/>
      <x:c r="K18" s="8" t="n"/>
      <x:c r="L18" s="8" t="n"/>
      <x:c r="M18" s="8" t="n"/>
      <x:c r="N18" s="8" t="n"/>
      <x:c r="O18" s="8" t="n"/>
      <x:c r="P18">
        <x:f>COUNTA(J18:N18)</x:f>
        <x:v>0</x:v>
      </x:c>
      <x:c r="Q18">
        <x:f>IF(A18="","",IF(P18&lt;&gt;5,1,0))</x:f>
      </x:c>
      <x:c r="R18">
        <x:f>IF(A18="","",IF(COUNTIF($A$5:$A$604,A18)&gt;1,1,0))</x:f>
      </x:c>
    </x:row>
    <x:row r="19">
      <x:c r="A19" s="8" t="n"/>
      <x:c r="B19" s="12" t="n"/>
      <x:c r="C19" s="8" t="n"/>
      <x:c r="D19" s="8" t="n"/>
      <x:c r="E19" s="8" t="n"/>
      <x:c r="F19" s="8" t="n"/>
      <x:c r="G19" s="8" t="n"/>
      <x:c r="H19" s="8" t="n"/>
      <x:c r="I19" s="8" t="n"/>
      <x:c r="J19" s="8" t="n"/>
      <x:c r="K19" s="8" t="n"/>
      <x:c r="L19" s="8" t="n"/>
      <x:c r="M19" s="8" t="n"/>
      <x:c r="N19" s="8" t="n"/>
      <x:c r="O19" s="8" t="n"/>
      <x:c r="P19">
        <x:f>COUNTA(J19:N19)</x:f>
        <x:v>0</x:v>
      </x:c>
      <x:c r="Q19">
        <x:f>IF(A19="","",IF(P19&lt;&gt;5,1,0))</x:f>
      </x:c>
      <x:c r="R19">
        <x:f>IF(A19="","",IF(COUNTIF($A$5:$A$604,A19)&gt;1,1,0))</x:f>
      </x:c>
    </x:row>
    <x:row r="20">
      <x:c r="A20" s="8" t="n"/>
      <x:c r="B20" s="12" t="n"/>
      <x:c r="C20" s="8" t="n"/>
      <x:c r="D20" s="8" t="n"/>
      <x:c r="E20" s="8" t="n"/>
      <x:c r="F20" s="8" t="n"/>
      <x:c r="G20" s="8" t="n"/>
      <x:c r="H20" s="8" t="n"/>
      <x:c r="I20" s="8" t="n"/>
      <x:c r="J20" s="8" t="n"/>
      <x:c r="K20" s="8" t="n"/>
      <x:c r="L20" s="8" t="n"/>
      <x:c r="M20" s="8" t="n"/>
      <x:c r="N20" s="8" t="n"/>
      <x:c r="O20" s="8" t="n"/>
      <x:c r="P20">
        <x:f>COUNTA(J20:N20)</x:f>
        <x:v>0</x:v>
      </x:c>
      <x:c r="Q20">
        <x:f>IF(A20="","",IF(P20&lt;&gt;5,1,0))</x:f>
      </x:c>
      <x:c r="R20">
        <x:f>IF(A20="","",IF(COUNTIF($A$5:$A$604,A20)&gt;1,1,0))</x:f>
      </x:c>
    </x:row>
    <x:row r="21">
      <x:c r="A21" s="8" t="n"/>
      <x:c r="B21" s="12" t="n"/>
      <x:c r="C21" s="8" t="n"/>
      <x:c r="D21" s="8" t="n"/>
      <x:c r="E21" s="8" t="n"/>
      <x:c r="F21" s="8" t="n"/>
      <x:c r="G21" s="8" t="n"/>
      <x:c r="H21" s="8" t="n"/>
      <x:c r="I21" s="8" t="n"/>
      <x:c r="J21" s="8" t="n"/>
      <x:c r="K21" s="8" t="n"/>
      <x:c r="L21" s="8" t="n"/>
      <x:c r="M21" s="8" t="n"/>
      <x:c r="N21" s="8" t="n"/>
      <x:c r="O21" s="8" t="n"/>
      <x:c r="P21">
        <x:f>COUNTA(J21:N21)</x:f>
        <x:v>0</x:v>
      </x:c>
      <x:c r="Q21">
        <x:f>IF(A21="","",IF(P21&lt;&gt;5,1,0))</x:f>
      </x:c>
      <x:c r="R21">
        <x:f>IF(A21="","",IF(COUNTIF($A$5:$A$604,A21)&gt;1,1,0))</x:f>
      </x:c>
    </x:row>
    <x:row r="22">
      <x:c r="A22" s="8" t="n"/>
      <x:c r="B22" s="12" t="n"/>
      <x:c r="C22" s="8" t="n"/>
      <x:c r="D22" s="8" t="n"/>
      <x:c r="E22" s="8" t="n"/>
      <x:c r="F22" s="8" t="n"/>
      <x:c r="G22" s="8" t="n"/>
      <x:c r="H22" s="8" t="n"/>
      <x:c r="I22" s="8" t="n"/>
      <x:c r="J22" s="8" t="n"/>
      <x:c r="K22" s="8" t="n"/>
      <x:c r="L22" s="8" t="n"/>
      <x:c r="M22" s="8" t="n"/>
      <x:c r="N22" s="8" t="n"/>
      <x:c r="O22" s="8" t="n"/>
      <x:c r="P22">
        <x:f>COUNTA(J22:N22)</x:f>
        <x:v>0</x:v>
      </x:c>
      <x:c r="Q22">
        <x:f>IF(A22="","",IF(P22&lt;&gt;5,1,0))</x:f>
      </x:c>
      <x:c r="R22">
        <x:f>IF(A22="","",IF(COUNTIF($A$5:$A$604,A22)&gt;1,1,0))</x:f>
      </x:c>
    </x:row>
    <x:row r="23">
      <x:c r="A23" s="8" t="n"/>
      <x:c r="B23" s="12" t="n"/>
      <x:c r="C23" s="8" t="n"/>
      <x:c r="D23" s="8" t="n"/>
      <x:c r="E23" s="8" t="n"/>
      <x:c r="F23" s="8" t="n"/>
      <x:c r="G23" s="8" t="n"/>
      <x:c r="H23" s="8" t="n"/>
      <x:c r="I23" s="8" t="n"/>
      <x:c r="J23" s="8" t="n"/>
      <x:c r="K23" s="8" t="n"/>
      <x:c r="L23" s="8" t="n"/>
      <x:c r="M23" s="8" t="n"/>
      <x:c r="N23" s="8" t="n"/>
      <x:c r="O23" s="8" t="n"/>
      <x:c r="P23">
        <x:f>COUNTA(J23:N23)</x:f>
        <x:v>0</x:v>
      </x:c>
      <x:c r="Q23">
        <x:f>IF(A23="","",IF(P23&lt;&gt;5,1,0))</x:f>
      </x:c>
      <x:c r="R23">
        <x:f>IF(A23="","",IF(COUNTIF($A$5:$A$604,A23)&gt;1,1,0))</x:f>
      </x:c>
    </x:row>
    <x:row r="24">
      <x:c r="A24" s="8" t="n"/>
      <x:c r="B24" s="12" t="n"/>
      <x:c r="C24" s="8" t="n"/>
      <x:c r="D24" s="8" t="n"/>
      <x:c r="E24" s="8" t="n"/>
      <x:c r="F24" s="8" t="n"/>
      <x:c r="G24" s="8" t="n"/>
      <x:c r="H24" s="8" t="n"/>
      <x:c r="I24" s="8" t="n"/>
      <x:c r="J24" s="8" t="n"/>
      <x:c r="K24" s="8" t="n"/>
      <x:c r="L24" s="8" t="n"/>
      <x:c r="M24" s="8" t="n"/>
      <x:c r="N24" s="8" t="n"/>
      <x:c r="O24" s="8" t="n"/>
      <x:c r="P24">
        <x:f>COUNTA(J24:N24)</x:f>
        <x:v>0</x:v>
      </x:c>
      <x:c r="Q24">
        <x:f>IF(A24="","",IF(P24&lt;&gt;5,1,0))</x:f>
      </x:c>
      <x:c r="R24">
        <x:f>IF(A24="","",IF(COUNTIF($A$5:$A$604,A24)&gt;1,1,0))</x:f>
      </x:c>
    </x:row>
    <x:row r="25">
      <x:c r="A25" s="8" t="n"/>
      <x:c r="B25" s="12" t="n"/>
      <x:c r="C25" s="8" t="n"/>
      <x:c r="D25" s="8" t="n"/>
      <x:c r="E25" s="8" t="n"/>
      <x:c r="F25" s="8" t="n"/>
      <x:c r="G25" s="8" t="n"/>
      <x:c r="H25" s="8" t="n"/>
      <x:c r="I25" s="8" t="n"/>
      <x:c r="J25" s="8" t="n"/>
      <x:c r="K25" s="8" t="n"/>
      <x:c r="L25" s="8" t="n"/>
      <x:c r="M25" s="8" t="n"/>
      <x:c r="N25" s="8" t="n"/>
      <x:c r="O25" s="8" t="n"/>
      <x:c r="P25">
        <x:f>COUNTA(J25:N25)</x:f>
        <x:v>0</x:v>
      </x:c>
      <x:c r="Q25">
        <x:f>IF(A25="","",IF(P25&lt;&gt;5,1,0))</x:f>
      </x:c>
      <x:c r="R25">
        <x:f>IF(A25="","",IF(COUNTIF($A$5:$A$604,A25)&gt;1,1,0))</x:f>
      </x:c>
    </x:row>
    <x:row r="26">
      <x:c r="A26" s="8" t="n"/>
      <x:c r="B26" s="12" t="n"/>
      <x:c r="C26" s="8" t="n"/>
      <x:c r="D26" s="8" t="n"/>
      <x:c r="E26" s="8" t="n"/>
      <x:c r="F26" s="8" t="n"/>
      <x:c r="G26" s="8" t="n"/>
      <x:c r="H26" s="8" t="n"/>
      <x:c r="I26" s="8" t="n"/>
      <x:c r="J26" s="8" t="n"/>
      <x:c r="K26" s="8" t="n"/>
      <x:c r="L26" s="8" t="n"/>
      <x:c r="M26" s="8" t="n"/>
      <x:c r="N26" s="8" t="n"/>
      <x:c r="O26" s="8" t="n"/>
      <x:c r="P26">
        <x:f>COUNTA(J26:N26)</x:f>
        <x:v>0</x:v>
      </x:c>
      <x:c r="Q26">
        <x:f>IF(A26="","",IF(P26&lt;&gt;5,1,0))</x:f>
      </x:c>
      <x:c r="R26">
        <x:f>IF(A26="","",IF(COUNTIF($A$5:$A$604,A26)&gt;1,1,0))</x:f>
      </x:c>
    </x:row>
    <x:row r="27">
      <x:c r="A27" s="8" t="n"/>
      <x:c r="B27" s="12" t="n"/>
      <x:c r="C27" s="8" t="n"/>
      <x:c r="D27" s="8" t="n"/>
      <x:c r="E27" s="8" t="n"/>
      <x:c r="F27" s="8" t="n"/>
      <x:c r="G27" s="8" t="n"/>
      <x:c r="H27" s="8" t="n"/>
      <x:c r="I27" s="8" t="n"/>
      <x:c r="J27" s="8" t="n"/>
      <x:c r="K27" s="8" t="n"/>
      <x:c r="L27" s="8" t="n"/>
      <x:c r="M27" s="8" t="n"/>
      <x:c r="N27" s="8" t="n"/>
      <x:c r="O27" s="8" t="n"/>
      <x:c r="P27">
        <x:f>COUNTA(J27:N27)</x:f>
        <x:v>0</x:v>
      </x:c>
      <x:c r="Q27">
        <x:f>IF(A27="","",IF(P27&lt;&gt;5,1,0))</x:f>
      </x:c>
      <x:c r="R27">
        <x:f>IF(A27="","",IF(COUNTIF($A$5:$A$604,A27)&gt;1,1,0))</x:f>
      </x:c>
    </x:row>
    <x:row r="28">
      <x:c r="A28" s="8" t="n"/>
      <x:c r="B28" s="12" t="n"/>
      <x:c r="C28" s="8" t="n"/>
      <x:c r="D28" s="8" t="n"/>
      <x:c r="E28" s="8" t="n"/>
      <x:c r="F28" s="8" t="n"/>
      <x:c r="G28" s="8" t="n"/>
      <x:c r="H28" s="8" t="n"/>
      <x:c r="I28" s="8" t="n"/>
      <x:c r="J28" s="8" t="n"/>
      <x:c r="K28" s="8" t="n"/>
      <x:c r="L28" s="8" t="n"/>
      <x:c r="M28" s="8" t="n"/>
      <x:c r="N28" s="8" t="n"/>
      <x:c r="O28" s="8" t="n"/>
      <x:c r="P28">
        <x:f>COUNTA(J28:N28)</x:f>
        <x:v>0</x:v>
      </x:c>
      <x:c r="Q28">
        <x:f>IF(A28="","",IF(P28&lt;&gt;5,1,0))</x:f>
      </x:c>
      <x:c r="R28">
        <x:f>IF(A28="","",IF(COUNTIF($A$5:$A$604,A28)&gt;1,1,0))</x:f>
      </x:c>
    </x:row>
    <x:row r="29">
      <x:c r="A29" s="8" t="n"/>
      <x:c r="B29" s="12" t="n"/>
      <x:c r="C29" s="8" t="n"/>
      <x:c r="D29" s="8" t="n"/>
      <x:c r="E29" s="8" t="n"/>
      <x:c r="F29" s="8" t="n"/>
      <x:c r="G29" s="8" t="n"/>
      <x:c r="H29" s="8" t="n"/>
      <x:c r="I29" s="8" t="n"/>
      <x:c r="J29" s="8" t="n"/>
      <x:c r="K29" s="8" t="n"/>
      <x:c r="L29" s="8" t="n"/>
      <x:c r="M29" s="8" t="n"/>
      <x:c r="N29" s="8" t="n"/>
      <x:c r="O29" s="8" t="n"/>
      <x:c r="P29">
        <x:f>COUNTA(J29:N29)</x:f>
        <x:v>0</x:v>
      </x:c>
      <x:c r="Q29">
        <x:f>IF(A29="","",IF(P29&lt;&gt;5,1,0))</x:f>
      </x:c>
      <x:c r="R29">
        <x:f>IF(A29="","",IF(COUNTIF($A$5:$A$604,A29)&gt;1,1,0))</x:f>
      </x:c>
    </x:row>
    <x:row r="30">
      <x:c r="A30" s="8" t="n"/>
      <x:c r="B30" s="12" t="n"/>
      <x:c r="C30" s="8" t="n"/>
      <x:c r="D30" s="8" t="n"/>
      <x:c r="E30" s="8" t="n"/>
      <x:c r="F30" s="8" t="n"/>
      <x:c r="G30" s="8" t="n"/>
      <x:c r="H30" s="8" t="n"/>
      <x:c r="I30" s="8" t="n"/>
      <x:c r="J30" s="8" t="n"/>
      <x:c r="K30" s="8" t="n"/>
      <x:c r="L30" s="8" t="n"/>
      <x:c r="M30" s="8" t="n"/>
      <x:c r="N30" s="8" t="n"/>
      <x:c r="O30" s="8" t="n"/>
      <x:c r="P30">
        <x:f>COUNTA(J30:N30)</x:f>
        <x:v>0</x:v>
      </x:c>
      <x:c r="Q30">
        <x:f>IF(A30="","",IF(P30&lt;&gt;5,1,0))</x:f>
      </x:c>
      <x:c r="R30">
        <x:f>IF(A30="","",IF(COUNTIF($A$5:$A$604,A30)&gt;1,1,0))</x:f>
      </x:c>
    </x:row>
    <x:row r="31">
      <x:c r="A31" s="8" t="n"/>
      <x:c r="B31" s="12" t="n"/>
      <x:c r="C31" s="8" t="n"/>
      <x:c r="D31" s="8" t="n"/>
      <x:c r="E31" s="8" t="n"/>
      <x:c r="F31" s="8" t="n"/>
      <x:c r="G31" s="8" t="n"/>
      <x:c r="H31" s="8" t="n"/>
      <x:c r="I31" s="8" t="n"/>
      <x:c r="J31" s="8" t="n"/>
      <x:c r="K31" s="8" t="n"/>
      <x:c r="L31" s="8" t="n"/>
      <x:c r="M31" s="8" t="n"/>
      <x:c r="N31" s="8" t="n"/>
      <x:c r="O31" s="8" t="n"/>
      <x:c r="P31">
        <x:f>COUNTA(J31:N31)</x:f>
        <x:v>0</x:v>
      </x:c>
      <x:c r="Q31">
        <x:f>IF(A31="","",IF(P31&lt;&gt;5,1,0))</x:f>
      </x:c>
      <x:c r="R31">
        <x:f>IF(A31="","",IF(COUNTIF($A$5:$A$604,A31)&gt;1,1,0))</x:f>
      </x:c>
    </x:row>
    <x:row r="32">
      <x:c r="A32" s="8" t="n"/>
      <x:c r="B32" s="12" t="n"/>
      <x:c r="C32" s="8" t="n"/>
      <x:c r="D32" s="8" t="n"/>
      <x:c r="E32" s="8" t="n"/>
      <x:c r="F32" s="8" t="n"/>
      <x:c r="G32" s="8" t="n"/>
      <x:c r="H32" s="8" t="n"/>
      <x:c r="I32" s="8" t="n"/>
      <x:c r="J32" s="8" t="n"/>
      <x:c r="K32" s="8" t="n"/>
      <x:c r="L32" s="8" t="n"/>
      <x:c r="M32" s="8" t="n"/>
      <x:c r="N32" s="8" t="n"/>
      <x:c r="O32" s="8" t="n"/>
      <x:c r="P32">
        <x:f>COUNTA(J32:N32)</x:f>
        <x:v>0</x:v>
      </x:c>
      <x:c r="Q32">
        <x:f>IF(A32="","",IF(P32&lt;&gt;5,1,0))</x:f>
      </x:c>
      <x:c r="R32">
        <x:f>IF(A32="","",IF(COUNTIF($A$5:$A$604,A32)&gt;1,1,0))</x:f>
      </x:c>
    </x:row>
    <x:row r="33">
      <x:c r="A33" s="8" t="n"/>
      <x:c r="B33" s="12" t="n"/>
      <x:c r="C33" s="8" t="n"/>
      <x:c r="D33" s="8" t="n"/>
      <x:c r="E33" s="8" t="n"/>
      <x:c r="F33" s="8" t="n"/>
      <x:c r="G33" s="8" t="n"/>
      <x:c r="H33" s="8" t="n"/>
      <x:c r="I33" s="8" t="n"/>
      <x:c r="J33" s="8" t="n"/>
      <x:c r="K33" s="8" t="n"/>
      <x:c r="L33" s="8" t="n"/>
      <x:c r="M33" s="8" t="n"/>
      <x:c r="N33" s="8" t="n"/>
      <x:c r="O33" s="8" t="n"/>
      <x:c r="P33">
        <x:f>COUNTA(J33:N33)</x:f>
        <x:v>0</x:v>
      </x:c>
      <x:c r="Q33">
        <x:f>IF(A33="","",IF(P33&lt;&gt;5,1,0))</x:f>
      </x:c>
      <x:c r="R33">
        <x:f>IF(A33="","",IF(COUNTIF($A$5:$A$604,A33)&gt;1,1,0))</x:f>
      </x:c>
    </x:row>
    <x:row r="34">
      <x:c r="A34" s="8" t="n"/>
      <x:c r="B34" s="12" t="n"/>
      <x:c r="C34" s="8" t="n"/>
      <x:c r="D34" s="8" t="n"/>
      <x:c r="E34" s="8" t="n"/>
      <x:c r="F34" s="8" t="n"/>
      <x:c r="G34" s="8" t="n"/>
      <x:c r="H34" s="8" t="n"/>
      <x:c r="I34" s="8" t="n"/>
      <x:c r="J34" s="8" t="n"/>
      <x:c r="K34" s="8" t="n"/>
      <x:c r="L34" s="8" t="n"/>
      <x:c r="M34" s="8" t="n"/>
      <x:c r="N34" s="8" t="n"/>
      <x:c r="O34" s="8" t="n"/>
      <x:c r="P34">
        <x:f>COUNTA(J34:N34)</x:f>
        <x:v>0</x:v>
      </x:c>
      <x:c r="Q34">
        <x:f>IF(A34="","",IF(P34&lt;&gt;5,1,0))</x:f>
      </x:c>
      <x:c r="R34">
        <x:f>IF(A34="","",IF(COUNTIF($A$5:$A$604,A34)&gt;1,1,0))</x:f>
      </x:c>
    </x:row>
    <x:row r="35">
      <x:c r="A35" s="8" t="n"/>
      <x:c r="B35" s="12" t="n"/>
      <x:c r="C35" s="8" t="n"/>
      <x:c r="D35" s="8" t="n"/>
      <x:c r="E35" s="8" t="n"/>
      <x:c r="F35" s="8" t="n"/>
      <x:c r="G35" s="8" t="n"/>
      <x:c r="H35" s="8" t="n"/>
      <x:c r="I35" s="8" t="n"/>
      <x:c r="J35" s="8" t="n"/>
      <x:c r="K35" s="8" t="n"/>
      <x:c r="L35" s="8" t="n"/>
      <x:c r="M35" s="8" t="n"/>
      <x:c r="N35" s="8" t="n"/>
      <x:c r="O35" s="8" t="n"/>
      <x:c r="P35">
        <x:f>COUNTA(J35:N35)</x:f>
        <x:v>0</x:v>
      </x:c>
      <x:c r="Q35">
        <x:f>IF(A35="","",IF(P35&lt;&gt;5,1,0))</x:f>
      </x:c>
      <x:c r="R35">
        <x:f>IF(A35="","",IF(COUNTIF($A$5:$A$604,A35)&gt;1,1,0))</x:f>
      </x:c>
    </x:row>
    <x:row r="36">
      <x:c r="A36" s="8" t="n"/>
      <x:c r="B36" s="12" t="n"/>
      <x:c r="C36" s="8" t="n"/>
      <x:c r="D36" s="8" t="n"/>
      <x:c r="E36" s="8" t="n"/>
      <x:c r="F36" s="8" t="n"/>
      <x:c r="G36" s="8" t="n"/>
      <x:c r="H36" s="8" t="n"/>
      <x:c r="I36" s="8" t="n"/>
      <x:c r="J36" s="8" t="n"/>
      <x:c r="K36" s="8" t="n"/>
      <x:c r="L36" s="8" t="n"/>
      <x:c r="M36" s="8" t="n"/>
      <x:c r="N36" s="8" t="n"/>
      <x:c r="O36" s="8" t="n"/>
      <x:c r="P36">
        <x:f>COUNTA(J36:N36)</x:f>
        <x:v>0</x:v>
      </x:c>
      <x:c r="Q36">
        <x:f>IF(A36="","",IF(P36&lt;&gt;5,1,0))</x:f>
      </x:c>
      <x:c r="R36">
        <x:f>IF(A36="","",IF(COUNTIF($A$5:$A$604,A36)&gt;1,1,0))</x:f>
      </x:c>
    </x:row>
    <x:row r="37">
      <x:c r="A37" s="8" t="n"/>
      <x:c r="B37" s="12" t="n"/>
      <x:c r="C37" s="8" t="n"/>
      <x:c r="D37" s="8" t="n"/>
      <x:c r="E37" s="8" t="n"/>
      <x:c r="F37" s="8" t="n"/>
      <x:c r="G37" s="8" t="n"/>
      <x:c r="H37" s="8" t="n"/>
      <x:c r="I37" s="8" t="n"/>
      <x:c r="J37" s="8" t="n"/>
      <x:c r="K37" s="8" t="n"/>
      <x:c r="L37" s="8" t="n"/>
      <x:c r="M37" s="8" t="n"/>
      <x:c r="N37" s="8" t="n"/>
      <x:c r="O37" s="8" t="n"/>
      <x:c r="P37">
        <x:f>COUNTA(J37:N37)</x:f>
        <x:v>0</x:v>
      </x:c>
      <x:c r="Q37">
        <x:f>IF(A37="","",IF(P37&lt;&gt;5,1,0))</x:f>
      </x:c>
      <x:c r="R37">
        <x:f>IF(A37="","",IF(COUNTIF($A$5:$A$604,A37)&gt;1,1,0))</x:f>
      </x:c>
    </x:row>
    <x:row r="38">
      <x:c r="A38" s="8" t="n"/>
      <x:c r="B38" s="12" t="n"/>
      <x:c r="C38" s="8" t="n"/>
      <x:c r="D38" s="8" t="n"/>
      <x:c r="E38" s="8" t="n"/>
      <x:c r="F38" s="8" t="n"/>
      <x:c r="G38" s="8" t="n"/>
      <x:c r="H38" s="8" t="n"/>
      <x:c r="I38" s="8" t="n"/>
      <x:c r="J38" s="8" t="n"/>
      <x:c r="K38" s="8" t="n"/>
      <x:c r="L38" s="8" t="n"/>
      <x:c r="M38" s="8" t="n"/>
      <x:c r="N38" s="8" t="n"/>
      <x:c r="O38" s="8" t="n"/>
      <x:c r="P38">
        <x:f>COUNTA(J38:N38)</x:f>
        <x:v>0</x:v>
      </x:c>
      <x:c r="Q38">
        <x:f>IF(A38="","",IF(P38&lt;&gt;5,1,0))</x:f>
      </x:c>
      <x:c r="R38">
        <x:f>IF(A38="","",IF(COUNTIF($A$5:$A$604,A38)&gt;1,1,0))</x:f>
      </x:c>
    </x:row>
    <x:row r="39">
      <x:c r="A39" s="8" t="n"/>
      <x:c r="B39" s="12" t="n"/>
      <x:c r="C39" s="8" t="n"/>
      <x:c r="D39" s="8" t="n"/>
      <x:c r="E39" s="8" t="n"/>
      <x:c r="F39" s="8" t="n"/>
      <x:c r="G39" s="8" t="n"/>
      <x:c r="H39" s="8" t="n"/>
      <x:c r="I39" s="8" t="n"/>
      <x:c r="J39" s="8" t="n"/>
      <x:c r="K39" s="8" t="n"/>
      <x:c r="L39" s="8" t="n"/>
      <x:c r="M39" s="8" t="n"/>
      <x:c r="N39" s="8" t="n"/>
      <x:c r="O39" s="8" t="n"/>
      <x:c r="P39">
        <x:f>COUNTA(J39:N39)</x:f>
        <x:v>0</x:v>
      </x:c>
      <x:c r="Q39">
        <x:f>IF(A39="","",IF(P39&lt;&gt;5,1,0))</x:f>
      </x:c>
      <x:c r="R39">
        <x:f>IF(A39="","",IF(COUNTIF($A$5:$A$604,A39)&gt;1,1,0))</x:f>
      </x:c>
    </x:row>
    <x:row r="40">
      <x:c r="A40" s="8" t="n"/>
      <x:c r="B40" s="12" t="n"/>
      <x:c r="C40" s="8" t="n"/>
      <x:c r="D40" s="8" t="n"/>
      <x:c r="E40" s="8" t="n"/>
      <x:c r="F40" s="8" t="n"/>
      <x:c r="G40" s="8" t="n"/>
      <x:c r="H40" s="8" t="n"/>
      <x:c r="I40" s="8" t="n"/>
      <x:c r="J40" s="8" t="n"/>
      <x:c r="K40" s="8" t="n"/>
      <x:c r="L40" s="8" t="n"/>
      <x:c r="M40" s="8" t="n"/>
      <x:c r="N40" s="8" t="n"/>
      <x:c r="O40" s="8" t="n"/>
      <x:c r="P40">
        <x:f>COUNTA(J40:N40)</x:f>
        <x:v>0</x:v>
      </x:c>
      <x:c r="Q40">
        <x:f>IF(A40="","",IF(P40&lt;&gt;5,1,0))</x:f>
      </x:c>
      <x:c r="R40">
        <x:f>IF(A40="","",IF(COUNTIF($A$5:$A$604,A40)&gt;1,1,0))</x:f>
      </x:c>
    </x:row>
    <x:row r="41">
      <x:c r="A41" s="8" t="n"/>
      <x:c r="B41" s="12" t="n"/>
      <x:c r="C41" s="8" t="n"/>
      <x:c r="D41" s="8" t="n"/>
      <x:c r="E41" s="8" t="n"/>
      <x:c r="F41" s="8" t="n"/>
      <x:c r="G41" s="8" t="n"/>
      <x:c r="H41" s="8" t="n"/>
      <x:c r="I41" s="8" t="n"/>
      <x:c r="J41" s="8" t="n"/>
      <x:c r="K41" s="8" t="n"/>
      <x:c r="L41" s="8" t="n"/>
      <x:c r="M41" s="8" t="n"/>
      <x:c r="N41" s="8" t="n"/>
      <x:c r="O41" s="8" t="n"/>
      <x:c r="P41">
        <x:f>COUNTA(J41:N41)</x:f>
        <x:v>0</x:v>
      </x:c>
      <x:c r="Q41">
        <x:f>IF(A41="","",IF(P41&lt;&gt;5,1,0))</x:f>
      </x:c>
      <x:c r="R41">
        <x:f>IF(A41="","",IF(COUNTIF($A$5:$A$604,A41)&gt;1,1,0))</x:f>
      </x:c>
    </x:row>
    <x:row r="42">
      <x:c r="A42" s="8" t="n"/>
      <x:c r="B42" s="12" t="n"/>
      <x:c r="C42" s="8" t="n"/>
      <x:c r="D42" s="8" t="n"/>
      <x:c r="E42" s="8" t="n"/>
      <x:c r="F42" s="8" t="n"/>
      <x:c r="G42" s="8" t="n"/>
      <x:c r="H42" s="8" t="n"/>
      <x:c r="I42" s="8" t="n"/>
      <x:c r="J42" s="8" t="n"/>
      <x:c r="K42" s="8" t="n"/>
      <x:c r="L42" s="8" t="n"/>
      <x:c r="M42" s="8" t="n"/>
      <x:c r="N42" s="8" t="n"/>
      <x:c r="O42" s="8" t="n"/>
      <x:c r="P42">
        <x:f>COUNTA(J42:N42)</x:f>
        <x:v>0</x:v>
      </x:c>
      <x:c r="Q42">
        <x:f>IF(A42="","",IF(P42&lt;&gt;5,1,0))</x:f>
      </x:c>
      <x:c r="R42">
        <x:f>IF(A42="","",IF(COUNTIF($A$5:$A$604,A42)&gt;1,1,0))</x:f>
      </x:c>
    </x:row>
    <x:row r="43">
      <x:c r="A43" s="8" t="n"/>
      <x:c r="B43" s="12" t="n"/>
      <x:c r="C43" s="8" t="n"/>
      <x:c r="D43" s="8" t="n"/>
      <x:c r="E43" s="8" t="n"/>
      <x:c r="F43" s="8" t="n"/>
      <x:c r="G43" s="8" t="n"/>
      <x:c r="H43" s="8" t="n"/>
      <x:c r="I43" s="8" t="n"/>
      <x:c r="J43" s="8" t="n"/>
      <x:c r="K43" s="8" t="n"/>
      <x:c r="L43" s="8" t="n"/>
      <x:c r="M43" s="8" t="n"/>
      <x:c r="N43" s="8" t="n"/>
      <x:c r="O43" s="8" t="n"/>
      <x:c r="P43">
        <x:f>COUNTA(J43:N43)</x:f>
        <x:v>0</x:v>
      </x:c>
      <x:c r="Q43">
        <x:f>IF(A43="","",IF(P43&lt;&gt;5,1,0))</x:f>
      </x:c>
      <x:c r="R43">
        <x:f>IF(A43="","",IF(COUNTIF($A$5:$A$604,A43)&gt;1,1,0))</x:f>
      </x:c>
    </x:row>
    <x:row r="44">
      <x:c r="A44" s="8" t="n"/>
      <x:c r="B44" s="12" t="n"/>
      <x:c r="C44" s="8" t="n"/>
      <x:c r="D44" s="8" t="n"/>
      <x:c r="E44" s="8" t="n"/>
      <x:c r="F44" s="8" t="n"/>
      <x:c r="G44" s="8" t="n"/>
      <x:c r="H44" s="8" t="n"/>
      <x:c r="I44" s="8" t="n"/>
      <x:c r="J44" s="8" t="n"/>
      <x:c r="K44" s="8" t="n"/>
      <x:c r="L44" s="8" t="n"/>
      <x:c r="M44" s="8" t="n"/>
      <x:c r="N44" s="8" t="n"/>
      <x:c r="O44" s="8" t="n"/>
      <x:c r="P44">
        <x:f>COUNTA(J44:N44)</x:f>
        <x:v>0</x:v>
      </x:c>
      <x:c r="Q44">
        <x:f>IF(A44="","",IF(P44&lt;&gt;5,1,0))</x:f>
      </x:c>
      <x:c r="R44">
        <x:f>IF(A44="","",IF(COUNTIF($A$5:$A$604,A44)&gt;1,1,0))</x:f>
      </x:c>
    </x:row>
    <x:row r="45">
      <x:c r="A45" s="8" t="n"/>
      <x:c r="B45" s="12" t="n"/>
      <x:c r="C45" s="8" t="n"/>
      <x:c r="D45" s="8" t="n"/>
      <x:c r="E45" s="8" t="n"/>
      <x:c r="F45" s="8" t="n"/>
      <x:c r="G45" s="8" t="n"/>
      <x:c r="H45" s="8" t="n"/>
      <x:c r="I45" s="8" t="n"/>
      <x:c r="J45" s="8" t="n"/>
      <x:c r="K45" s="8" t="n"/>
      <x:c r="L45" s="8" t="n"/>
      <x:c r="M45" s="8" t="n"/>
      <x:c r="N45" s="8" t="n"/>
      <x:c r="O45" s="8" t="n"/>
      <x:c r="P45">
        <x:f>COUNTA(J45:N45)</x:f>
        <x:v>0</x:v>
      </x:c>
      <x:c r="Q45">
        <x:f>IF(A45="","",IF(P45&lt;&gt;5,1,0))</x:f>
      </x:c>
      <x:c r="R45">
        <x:f>IF(A45="","",IF(COUNTIF($A$5:$A$604,A45)&gt;1,1,0))</x:f>
      </x:c>
    </x:row>
    <x:row r="46">
      <x:c r="A46" s="8" t="n"/>
      <x:c r="B46" s="12" t="n"/>
      <x:c r="C46" s="8" t="n"/>
      <x:c r="D46" s="8" t="n"/>
      <x:c r="E46" s="8" t="n"/>
      <x:c r="F46" s="8" t="n"/>
      <x:c r="G46" s="8" t="n"/>
      <x:c r="H46" s="8" t="n"/>
      <x:c r="I46" s="8" t="n"/>
      <x:c r="J46" s="8" t="n"/>
      <x:c r="K46" s="8" t="n"/>
      <x:c r="L46" s="8" t="n"/>
      <x:c r="M46" s="8" t="n"/>
      <x:c r="N46" s="8" t="n"/>
      <x:c r="O46" s="8" t="n"/>
      <x:c r="P46">
        <x:f>COUNTA(J46:N46)</x:f>
        <x:v>0</x:v>
      </x:c>
      <x:c r="Q46">
        <x:f>IF(A46="","",IF(P46&lt;&gt;5,1,0))</x:f>
      </x:c>
      <x:c r="R46">
        <x:f>IF(A46="","",IF(COUNTIF($A$5:$A$604,A46)&gt;1,1,0))</x:f>
      </x:c>
    </x:row>
    <x:row r="47">
      <x:c r="A47" s="8" t="n"/>
      <x:c r="B47" s="12" t="n"/>
      <x:c r="C47" s="8" t="n"/>
      <x:c r="D47" s="8" t="n"/>
      <x:c r="E47" s="8" t="n"/>
      <x:c r="F47" s="8" t="n"/>
      <x:c r="G47" s="8" t="n"/>
      <x:c r="H47" s="8" t="n"/>
      <x:c r="I47" s="8" t="n"/>
      <x:c r="J47" s="8" t="n"/>
      <x:c r="K47" s="8" t="n"/>
      <x:c r="L47" s="8" t="n"/>
      <x:c r="M47" s="8" t="n"/>
      <x:c r="N47" s="8" t="n"/>
      <x:c r="O47" s="8" t="n"/>
      <x:c r="P47">
        <x:f>COUNTA(J47:N47)</x:f>
        <x:v>0</x:v>
      </x:c>
      <x:c r="Q47">
        <x:f>IF(A47="","",IF(P47&lt;&gt;5,1,0))</x:f>
      </x:c>
      <x:c r="R47">
        <x:f>IF(A47="","",IF(COUNTIF($A$5:$A$604,A47)&gt;1,1,0))</x:f>
      </x:c>
    </x:row>
    <x:row r="48">
      <x:c r="A48" s="8" t="n"/>
      <x:c r="B48" s="12" t="n"/>
      <x:c r="C48" s="8" t="n"/>
      <x:c r="D48" s="8" t="n"/>
      <x:c r="E48" s="8" t="n"/>
      <x:c r="F48" s="8" t="n"/>
      <x:c r="G48" s="8" t="n"/>
      <x:c r="H48" s="8" t="n"/>
      <x:c r="I48" s="8" t="n"/>
      <x:c r="J48" s="8" t="n"/>
      <x:c r="K48" s="8" t="n"/>
      <x:c r="L48" s="8" t="n"/>
      <x:c r="M48" s="8" t="n"/>
      <x:c r="N48" s="8" t="n"/>
      <x:c r="O48" s="8" t="n"/>
      <x:c r="P48">
        <x:f>COUNTA(J48:N48)</x:f>
        <x:v>0</x:v>
      </x:c>
      <x:c r="Q48">
        <x:f>IF(A48="","",IF(P48&lt;&gt;5,1,0))</x:f>
      </x:c>
      <x:c r="R48">
        <x:f>IF(A48="","",IF(COUNTIF($A$5:$A$604,A48)&gt;1,1,0))</x:f>
      </x:c>
    </x:row>
    <x:row r="49">
      <x:c r="A49" s="8" t="n"/>
      <x:c r="B49" s="12" t="n"/>
      <x:c r="C49" s="8" t="n"/>
      <x:c r="D49" s="8" t="n"/>
      <x:c r="E49" s="8" t="n"/>
      <x:c r="F49" s="8" t="n"/>
      <x:c r="G49" s="8" t="n"/>
      <x:c r="H49" s="8" t="n"/>
      <x:c r="I49" s="8" t="n"/>
      <x:c r="J49" s="8" t="n"/>
      <x:c r="K49" s="8" t="n"/>
      <x:c r="L49" s="8" t="n"/>
      <x:c r="M49" s="8" t="n"/>
      <x:c r="N49" s="8" t="n"/>
      <x:c r="O49" s="8" t="n"/>
      <x:c r="P49">
        <x:f>COUNTA(J49:N49)</x:f>
        <x:v>0</x:v>
      </x:c>
      <x:c r="Q49">
        <x:f>IF(A49="","",IF(P49&lt;&gt;5,1,0))</x:f>
      </x:c>
      <x:c r="R49">
        <x:f>IF(A49="","",IF(COUNTIF($A$5:$A$604,A49)&gt;1,1,0))</x:f>
      </x:c>
    </x:row>
    <x:row r="50">
      <x:c r="A50" s="8" t="n"/>
      <x:c r="B50" s="12" t="n"/>
      <x:c r="C50" s="8" t="n"/>
      <x:c r="D50" s="8" t="n"/>
      <x:c r="E50" s="8" t="n"/>
      <x:c r="F50" s="8" t="n"/>
      <x:c r="G50" s="8" t="n"/>
      <x:c r="H50" s="8" t="n"/>
      <x:c r="I50" s="8" t="n"/>
      <x:c r="J50" s="8" t="n"/>
      <x:c r="K50" s="8" t="n"/>
      <x:c r="L50" s="8" t="n"/>
      <x:c r="M50" s="8" t="n"/>
      <x:c r="N50" s="8" t="n"/>
      <x:c r="O50" s="8" t="n"/>
      <x:c r="P50">
        <x:f>COUNTA(J50:N50)</x:f>
        <x:v>0</x:v>
      </x:c>
      <x:c r="Q50">
        <x:f>IF(A50="","",IF(P50&lt;&gt;5,1,0))</x:f>
      </x:c>
      <x:c r="R50">
        <x:f>IF(A50="","",IF(COUNTIF($A$5:$A$604,A50)&gt;1,1,0))</x:f>
      </x:c>
    </x:row>
    <x:row r="51">
      <x:c r="A51" s="8" t="n"/>
      <x:c r="B51" s="12" t="n"/>
      <x:c r="C51" s="8" t="n"/>
      <x:c r="D51" s="8" t="n"/>
      <x:c r="E51" s="8" t="n"/>
      <x:c r="F51" s="8" t="n"/>
      <x:c r="G51" s="8" t="n"/>
      <x:c r="H51" s="8" t="n"/>
      <x:c r="I51" s="8" t="n"/>
      <x:c r="J51" s="8" t="n"/>
      <x:c r="K51" s="8" t="n"/>
      <x:c r="L51" s="8" t="n"/>
      <x:c r="M51" s="8" t="n"/>
      <x:c r="N51" s="8" t="n"/>
      <x:c r="O51" s="8" t="n"/>
      <x:c r="P51">
        <x:f>COUNTA(J51:N51)</x:f>
      </x:c>
      <x:c r="Q51">
        <x:f>IF(A51="","",IF(P51&lt;&gt;5,1,0))</x:f>
      </x:c>
      <x:c r="R51">
        <x:f>IF(A51="","",IF(COUNTIF($A$5:$A$604,A51)&gt;1,1,0))</x:f>
      </x:c>
    </x:row>
    <x:row r="52">
      <x:c r="A52" s="8" t="n"/>
      <x:c r="B52" s="12" t="n"/>
      <x:c r="C52" s="8" t="n"/>
      <x:c r="D52" s="8" t="n"/>
      <x:c r="E52" s="8" t="n"/>
      <x:c r="F52" s="8" t="n"/>
      <x:c r="G52" s="8" t="n"/>
      <x:c r="H52" s="8" t="n"/>
      <x:c r="I52" s="8" t="n"/>
      <x:c r="J52" s="8" t="n"/>
      <x:c r="K52" s="8" t="n"/>
      <x:c r="L52" s="8" t="n"/>
      <x:c r="M52" s="8" t="n"/>
      <x:c r="N52" s="8" t="n"/>
      <x:c r="O52" s="8" t="n"/>
      <x:c r="P52">
        <x:f>COUNTA(J52:N52)</x:f>
      </x:c>
      <x:c r="Q52">
        <x:f>IF(A52="","",IF(P52&lt;&gt;5,1,0))</x:f>
      </x:c>
      <x:c r="R52">
        <x:f>IF(A52="","",IF(COUNTIF($A$5:$A$604,A52)&gt;1,1,0))</x:f>
      </x:c>
    </x:row>
    <x:row r="53">
      <x:c r="A53" s="8" t="n"/>
      <x:c r="B53" s="12" t="n"/>
      <x:c r="C53" s="8" t="n"/>
      <x:c r="D53" s="8" t="n"/>
      <x:c r="E53" s="8" t="n"/>
      <x:c r="F53" s="8" t="n"/>
      <x:c r="G53" s="8" t="n"/>
      <x:c r="H53" s="8" t="n"/>
      <x:c r="I53" s="8" t="n"/>
      <x:c r="J53" s="8" t="n"/>
      <x:c r="K53" s="8" t="n"/>
      <x:c r="L53" s="8" t="n"/>
      <x:c r="M53" s="8" t="n"/>
      <x:c r="N53" s="8" t="n"/>
      <x:c r="O53" s="8" t="n"/>
      <x:c r="P53">
        <x:f>COUNTA(J53:N53)</x:f>
      </x:c>
      <x:c r="Q53">
        <x:f>IF(A53="","",IF(P53&lt;&gt;5,1,0))</x:f>
      </x:c>
      <x:c r="R53">
        <x:f>IF(A53="","",IF(COUNTIF($A$5:$A$604,A53)&gt;1,1,0))</x:f>
      </x:c>
    </x:row>
    <x:row r="54">
      <x:c r="A54" s="8" t="n"/>
      <x:c r="B54" s="12" t="n"/>
      <x:c r="C54" s="8" t="n"/>
      <x:c r="D54" s="8" t="n"/>
      <x:c r="E54" s="8" t="n"/>
      <x:c r="F54" s="8" t="n"/>
      <x:c r="G54" s="8" t="n"/>
      <x:c r="H54" s="8" t="n"/>
      <x:c r="I54" s="8" t="n"/>
      <x:c r="J54" s="8" t="n"/>
      <x:c r="K54" s="8" t="n"/>
      <x:c r="L54" s="8" t="n"/>
      <x:c r="M54" s="8" t="n"/>
      <x:c r="N54" s="8" t="n"/>
      <x:c r="O54" s="8" t="n"/>
      <x:c r="P54">
        <x:f>COUNTA(J54:N54)</x:f>
      </x:c>
      <x:c r="Q54">
        <x:f>IF(A54="","",IF(P54&lt;&gt;5,1,0))</x:f>
      </x:c>
      <x:c r="R54">
        <x:f>IF(A54="","",IF(COUNTIF($A$5:$A$604,A54)&gt;1,1,0))</x:f>
      </x:c>
    </x:row>
    <x:row r="55">
      <x:c r="A55" s="8" t="n"/>
      <x:c r="B55" s="12" t="n"/>
      <x:c r="C55" s="8" t="n"/>
      <x:c r="D55" s="8" t="n"/>
      <x:c r="E55" s="8" t="n"/>
      <x:c r="F55" s="8" t="n"/>
      <x:c r="G55" s="8" t="n"/>
      <x:c r="H55" s="8" t="n"/>
      <x:c r="I55" s="8" t="n"/>
      <x:c r="J55" s="8" t="n"/>
      <x:c r="K55" s="8" t="n"/>
      <x:c r="L55" s="8" t="n"/>
      <x:c r="M55" s="8" t="n"/>
      <x:c r="N55" s="8" t="n"/>
      <x:c r="O55" s="8" t="n"/>
      <x:c r="P55">
        <x:f>COUNTA(J55:N55)</x:f>
      </x:c>
      <x:c r="Q55">
        <x:f>IF(A55="","",IF(P55&lt;&gt;5,1,0))</x:f>
      </x:c>
      <x:c r="R55">
        <x:f>IF(A55="","",IF(COUNTIF($A$5:$A$604,A55)&gt;1,1,0))</x:f>
      </x:c>
    </x:row>
    <x:row r="56">
      <x:c r="A56" s="8" t="n"/>
      <x:c r="B56" s="12" t="n"/>
      <x:c r="C56" s="8" t="n"/>
      <x:c r="D56" s="8" t="n"/>
      <x:c r="E56" s="8" t="n"/>
      <x:c r="F56" s="8" t="n"/>
      <x:c r="G56" s="8" t="n"/>
      <x:c r="H56" s="8" t="n"/>
      <x:c r="I56" s="8" t="n"/>
      <x:c r="J56" s="8" t="n"/>
      <x:c r="K56" s="8" t="n"/>
      <x:c r="L56" s="8" t="n"/>
      <x:c r="M56" s="8" t="n"/>
      <x:c r="N56" s="8" t="n"/>
      <x:c r="O56" s="8" t="n"/>
      <x:c r="P56">
        <x:f>COUNTA(J56:N56)</x:f>
      </x:c>
      <x:c r="Q56">
        <x:f>IF(A56="","",IF(P56&lt;&gt;5,1,0))</x:f>
      </x:c>
      <x:c r="R56">
        <x:f>IF(A56="","",IF(COUNTIF($A$5:$A$604,A56)&gt;1,1,0))</x:f>
      </x:c>
    </x:row>
    <x:row r="57">
      <x:c r="A57" s="8" t="n"/>
      <x:c r="B57" s="12" t="n"/>
      <x:c r="C57" s="8" t="n"/>
      <x:c r="D57" s="8" t="n"/>
      <x:c r="E57" s="8" t="n"/>
      <x:c r="F57" s="8" t="n"/>
      <x:c r="G57" s="8" t="n"/>
      <x:c r="H57" s="8" t="n"/>
      <x:c r="I57" s="8" t="n"/>
      <x:c r="J57" s="8" t="n"/>
      <x:c r="K57" s="8" t="n"/>
      <x:c r="L57" s="8" t="n"/>
      <x:c r="M57" s="8" t="n"/>
      <x:c r="N57" s="8" t="n"/>
      <x:c r="O57" s="8" t="n"/>
      <x:c r="P57">
        <x:f>COUNTA(J57:N57)</x:f>
      </x:c>
      <x:c r="Q57">
        <x:f>IF(A57="","",IF(P57&lt;&gt;5,1,0))</x:f>
      </x:c>
      <x:c r="R57">
        <x:f>IF(A57="","",IF(COUNTIF($A$5:$A$604,A57)&gt;1,1,0))</x:f>
      </x:c>
    </x:row>
    <x:row r="58">
      <x:c r="A58" s="8" t="n"/>
      <x:c r="B58" s="12" t="n"/>
      <x:c r="C58" s="8" t="n"/>
      <x:c r="D58" s="8" t="n"/>
      <x:c r="E58" s="8" t="n"/>
      <x:c r="F58" s="8" t="n"/>
      <x:c r="G58" s="8" t="n"/>
      <x:c r="H58" s="8" t="n"/>
      <x:c r="I58" s="8" t="n"/>
      <x:c r="J58" s="8" t="n"/>
      <x:c r="K58" s="8" t="n"/>
      <x:c r="L58" s="8" t="n"/>
      <x:c r="M58" s="8" t="n"/>
      <x:c r="N58" s="8" t="n"/>
      <x:c r="O58" s="8" t="n"/>
      <x:c r="P58">
        <x:f>COUNTA(J58:N58)</x:f>
      </x:c>
      <x:c r="Q58">
        <x:f>IF(A58="","",IF(P58&lt;&gt;5,1,0))</x:f>
      </x:c>
      <x:c r="R58">
        <x:f>IF(A58="","",IF(COUNTIF($A$5:$A$604,A58)&gt;1,1,0))</x:f>
      </x:c>
    </x:row>
    <x:row r="59">
      <x:c r="A59" s="8" t="n"/>
      <x:c r="B59" s="12" t="n"/>
      <x:c r="C59" s="8" t="n"/>
      <x:c r="D59" s="8" t="n"/>
      <x:c r="E59" s="8" t="n"/>
      <x:c r="F59" s="8" t="n"/>
      <x:c r="G59" s="8" t="n"/>
      <x:c r="H59" s="8" t="n"/>
      <x:c r="I59" s="8" t="n"/>
      <x:c r="J59" s="8" t="n"/>
      <x:c r="K59" s="8" t="n"/>
      <x:c r="L59" s="8" t="n"/>
      <x:c r="M59" s="8" t="n"/>
      <x:c r="N59" s="8" t="n"/>
      <x:c r="O59" s="8" t="n"/>
      <x:c r="P59">
        <x:f>COUNTA(J59:N59)</x:f>
      </x:c>
      <x:c r="Q59">
        <x:f>IF(A59="","",IF(P59&lt;&gt;5,1,0))</x:f>
      </x:c>
      <x:c r="R59">
        <x:f>IF(A59="","",IF(COUNTIF($A$5:$A$604,A59)&gt;1,1,0))</x:f>
      </x:c>
    </x:row>
    <x:row r="60">
      <x:c r="A60" s="8" t="n"/>
      <x:c r="B60" s="12" t="n"/>
      <x:c r="C60" s="8" t="n"/>
      <x:c r="D60" s="8" t="n"/>
      <x:c r="E60" s="8" t="n"/>
      <x:c r="F60" s="8" t="n"/>
      <x:c r="G60" s="8" t="n"/>
      <x:c r="H60" s="8" t="n"/>
      <x:c r="I60" s="8" t="n"/>
      <x:c r="J60" s="8" t="n"/>
      <x:c r="K60" s="8" t="n"/>
      <x:c r="L60" s="8" t="n"/>
      <x:c r="M60" s="8" t="n"/>
      <x:c r="N60" s="8" t="n"/>
      <x:c r="O60" s="8" t="n"/>
      <x:c r="P60">
        <x:f>COUNTA(J60:N60)</x:f>
      </x:c>
      <x:c r="Q60">
        <x:f>IF(A60="","",IF(P60&lt;&gt;5,1,0))</x:f>
      </x:c>
      <x:c r="R60">
        <x:f>IF(A60="","",IF(COUNTIF($A$5:$A$604,A60)&gt;1,1,0))</x:f>
      </x:c>
    </x:row>
    <x:row r="61">
      <x:c r="A61" s="8" t="n"/>
      <x:c r="B61" s="12" t="n"/>
      <x:c r="C61" s="8" t="n"/>
      <x:c r="D61" s="8" t="n"/>
      <x:c r="E61" s="8" t="n"/>
      <x:c r="F61" s="8" t="n"/>
      <x:c r="G61" s="8" t="n"/>
      <x:c r="H61" s="8" t="n"/>
      <x:c r="I61" s="8" t="n"/>
      <x:c r="J61" s="8" t="n"/>
      <x:c r="K61" s="8" t="n"/>
      <x:c r="L61" s="8" t="n"/>
      <x:c r="M61" s="8" t="n"/>
      <x:c r="N61" s="8" t="n"/>
      <x:c r="O61" s="8" t="n"/>
      <x:c r="P61">
        <x:f>COUNTA(J61:N61)</x:f>
      </x:c>
      <x:c r="Q61">
        <x:f>IF(A61="","",IF(P61&lt;&gt;5,1,0))</x:f>
      </x:c>
      <x:c r="R61">
        <x:f>IF(A61="","",IF(COUNTIF($A$5:$A$604,A61)&gt;1,1,0))</x:f>
      </x:c>
    </x:row>
    <x:row r="62">
      <x:c r="A62" s="8" t="n"/>
      <x:c r="B62" s="12" t="n"/>
      <x:c r="C62" s="8" t="n"/>
      <x:c r="D62" s="8" t="n"/>
      <x:c r="E62" s="8" t="n"/>
      <x:c r="F62" s="8" t="n"/>
      <x:c r="G62" s="8" t="n"/>
      <x:c r="H62" s="8" t="n"/>
      <x:c r="I62" s="8" t="n"/>
      <x:c r="J62" s="8" t="n"/>
      <x:c r="K62" s="8" t="n"/>
      <x:c r="L62" s="8" t="n"/>
      <x:c r="M62" s="8" t="n"/>
      <x:c r="N62" s="8" t="n"/>
      <x:c r="O62" s="8" t="n"/>
      <x:c r="P62">
        <x:f>COUNTA(J62:N62)</x:f>
      </x:c>
      <x:c r="Q62">
        <x:f>IF(A62="","",IF(P62&lt;&gt;5,1,0))</x:f>
      </x:c>
      <x:c r="R62">
        <x:f>IF(A62="","",IF(COUNTIF($A$5:$A$604,A62)&gt;1,1,0))</x:f>
      </x:c>
    </x:row>
    <x:row r="63">
      <x:c r="A63" s="8" t="n"/>
      <x:c r="B63" s="12" t="n"/>
      <x:c r="C63" s="8" t="n"/>
      <x:c r="D63" s="8" t="n"/>
      <x:c r="E63" s="8" t="n"/>
      <x:c r="F63" s="8" t="n"/>
      <x:c r="G63" s="8" t="n"/>
      <x:c r="H63" s="8" t="n"/>
      <x:c r="I63" s="8" t="n"/>
      <x:c r="J63" s="8" t="n"/>
      <x:c r="K63" s="8" t="n"/>
      <x:c r="L63" s="8" t="n"/>
      <x:c r="M63" s="8" t="n"/>
      <x:c r="N63" s="8" t="n"/>
      <x:c r="O63" s="8" t="n"/>
      <x:c r="P63">
        <x:f>COUNTA(J63:N63)</x:f>
      </x:c>
      <x:c r="Q63">
        <x:f>IF(A63="","",IF(P63&lt;&gt;5,1,0))</x:f>
      </x:c>
      <x:c r="R63">
        <x:f>IF(A63="","",IF(COUNTIF($A$5:$A$604,A63)&gt;1,1,0))</x:f>
      </x:c>
    </x:row>
    <x:row r="64">
      <x:c r="A64" s="8" t="n"/>
      <x:c r="B64" s="12" t="n"/>
      <x:c r="C64" s="8" t="n"/>
      <x:c r="D64" s="8" t="n"/>
      <x:c r="E64" s="8" t="n"/>
      <x:c r="F64" s="8" t="n"/>
      <x:c r="G64" s="8" t="n"/>
      <x:c r="H64" s="8" t="n"/>
      <x:c r="I64" s="8" t="n"/>
      <x:c r="J64" s="8" t="n"/>
      <x:c r="K64" s="8" t="n"/>
      <x:c r="L64" s="8" t="n"/>
      <x:c r="M64" s="8" t="n"/>
      <x:c r="N64" s="8" t="n"/>
      <x:c r="O64" s="8" t="n"/>
      <x:c r="P64">
        <x:f>COUNTA(J64:N64)</x:f>
      </x:c>
      <x:c r="Q64">
        <x:f>IF(A64="","",IF(P64&lt;&gt;5,1,0))</x:f>
      </x:c>
      <x:c r="R64">
        <x:f>IF(A64="","",IF(COUNTIF($A$5:$A$604,A64)&gt;1,1,0))</x:f>
      </x:c>
    </x:row>
    <x:row r="65">
      <x:c r="A65" s="8" t="n"/>
      <x:c r="B65" s="12" t="n"/>
      <x:c r="C65" s="8" t="n"/>
      <x:c r="D65" s="8" t="n"/>
      <x:c r="E65" s="8" t="n"/>
      <x:c r="F65" s="8" t="n"/>
      <x:c r="G65" s="8" t="n"/>
      <x:c r="H65" s="8" t="n"/>
      <x:c r="I65" s="8" t="n"/>
      <x:c r="J65" s="8" t="n"/>
      <x:c r="K65" s="8" t="n"/>
      <x:c r="L65" s="8" t="n"/>
      <x:c r="M65" s="8" t="n"/>
      <x:c r="N65" s="8" t="n"/>
      <x:c r="O65" s="8" t="n"/>
      <x:c r="P65">
        <x:f>COUNTA(J65:N65)</x:f>
      </x:c>
      <x:c r="Q65">
        <x:f>IF(A65="","",IF(P65&lt;&gt;5,1,0))</x:f>
      </x:c>
      <x:c r="R65">
        <x:f>IF(A65="","",IF(COUNTIF($A$5:$A$604,A65)&gt;1,1,0))</x:f>
      </x:c>
    </x:row>
    <x:row r="66">
      <x:c r="A66" s="8" t="n"/>
      <x:c r="B66" s="12" t="n"/>
      <x:c r="C66" s="8" t="n"/>
      <x:c r="D66" s="8" t="n"/>
      <x:c r="E66" s="8" t="n"/>
      <x:c r="F66" s="8" t="n"/>
      <x:c r="G66" s="8" t="n"/>
      <x:c r="H66" s="8" t="n"/>
      <x:c r="I66" s="8" t="n"/>
      <x:c r="J66" s="8" t="n"/>
      <x:c r="K66" s="8" t="n"/>
      <x:c r="L66" s="8" t="n"/>
      <x:c r="M66" s="8" t="n"/>
      <x:c r="N66" s="8" t="n"/>
      <x:c r="O66" s="8" t="n"/>
      <x:c r="P66">
        <x:f>COUNTA(J66:N66)</x:f>
      </x:c>
      <x:c r="Q66">
        <x:f>IF(A66="","",IF(P66&lt;&gt;5,1,0))</x:f>
      </x:c>
      <x:c r="R66">
        <x:f>IF(A66="","",IF(COUNTIF($A$5:$A$604,A66)&gt;1,1,0))</x:f>
      </x:c>
    </x:row>
    <x:row r="67">
      <x:c r="A67" s="8" t="n"/>
      <x:c r="B67" s="12" t="n"/>
      <x:c r="C67" s="8" t="n"/>
      <x:c r="D67" s="8" t="n"/>
      <x:c r="E67" s="8" t="n"/>
      <x:c r="F67" s="8" t="n"/>
      <x:c r="G67" s="8" t="n"/>
      <x:c r="H67" s="8" t="n"/>
      <x:c r="I67" s="8" t="n"/>
      <x:c r="J67" s="8" t="n"/>
      <x:c r="K67" s="8" t="n"/>
      <x:c r="L67" s="8" t="n"/>
      <x:c r="M67" s="8" t="n"/>
      <x:c r="N67" s="8" t="n"/>
      <x:c r="O67" s="8" t="n"/>
      <x:c r="P67">
        <x:f>COUNTA(J67:N67)</x:f>
      </x:c>
      <x:c r="Q67">
        <x:f>IF(A67="","",IF(P67&lt;&gt;5,1,0))</x:f>
      </x:c>
      <x:c r="R67">
        <x:f>IF(A67="","",IF(COUNTIF($A$5:$A$604,A67)&gt;1,1,0))</x:f>
      </x:c>
    </x:row>
    <x:row r="68">
      <x:c r="A68" s="8" t="n"/>
      <x:c r="B68" s="12" t="n"/>
      <x:c r="C68" s="8" t="n"/>
      <x:c r="D68" s="8" t="n"/>
      <x:c r="E68" s="8" t="n"/>
      <x:c r="F68" s="8" t="n"/>
      <x:c r="G68" s="8" t="n"/>
      <x:c r="H68" s="8" t="n"/>
      <x:c r="I68" s="8" t="n"/>
      <x:c r="J68" s="8" t="n"/>
      <x:c r="K68" s="8" t="n"/>
      <x:c r="L68" s="8" t="n"/>
      <x:c r="M68" s="8" t="n"/>
      <x:c r="N68" s="8" t="n"/>
      <x:c r="O68" s="8" t="n"/>
      <x:c r="P68">
        <x:f>COUNTA(J68:N68)</x:f>
      </x:c>
      <x:c r="Q68">
        <x:f>IF(A68="","",IF(P68&lt;&gt;5,1,0))</x:f>
      </x:c>
      <x:c r="R68">
        <x:f>IF(A68="","",IF(COUNTIF($A$5:$A$604,A68)&gt;1,1,0))</x:f>
      </x:c>
    </x:row>
    <x:row r="69">
      <x:c r="A69" s="8" t="n"/>
      <x:c r="B69" s="12" t="n"/>
      <x:c r="C69" s="8" t="n"/>
      <x:c r="D69" s="8" t="n"/>
      <x:c r="E69" s="8" t="n"/>
      <x:c r="F69" s="8" t="n"/>
      <x:c r="G69" s="8" t="n"/>
      <x:c r="H69" s="8" t="n"/>
      <x:c r="I69" s="8" t="n"/>
      <x:c r="J69" s="8" t="n"/>
      <x:c r="K69" s="8" t="n"/>
      <x:c r="L69" s="8" t="n"/>
      <x:c r="M69" s="8" t="n"/>
      <x:c r="N69" s="8" t="n"/>
      <x:c r="O69" s="8" t="n"/>
      <x:c r="P69">
        <x:f>COUNTA(J69:N69)</x:f>
      </x:c>
      <x:c r="Q69">
        <x:f>IF(A69="","",IF(P69&lt;&gt;5,1,0))</x:f>
      </x:c>
      <x:c r="R69">
        <x:f>IF(A69="","",IF(COUNTIF($A$5:$A$604,A69)&gt;1,1,0))</x:f>
      </x:c>
    </x:row>
    <x:row r="70">
      <x:c r="A70" s="8" t="n"/>
      <x:c r="B70" s="12" t="n"/>
      <x:c r="C70" s="8" t="n"/>
      <x:c r="D70" s="8" t="n"/>
      <x:c r="E70" s="8" t="n"/>
      <x:c r="F70" s="8" t="n"/>
      <x:c r="G70" s="8" t="n"/>
      <x:c r="H70" s="8" t="n"/>
      <x:c r="I70" s="8" t="n"/>
      <x:c r="J70" s="8" t="n"/>
      <x:c r="K70" s="8" t="n"/>
      <x:c r="L70" s="8" t="n"/>
      <x:c r="M70" s="8" t="n"/>
      <x:c r="N70" s="8" t="n"/>
      <x:c r="O70" s="8" t="n"/>
      <x:c r="P70">
        <x:f>COUNTA(J70:N70)</x:f>
      </x:c>
      <x:c r="Q70">
        <x:f>IF(A70="","",IF(P70&lt;&gt;5,1,0))</x:f>
      </x:c>
      <x:c r="R70">
        <x:f>IF(A70="","",IF(COUNTIF($A$5:$A$604,A70)&gt;1,1,0))</x:f>
      </x:c>
    </x:row>
    <x:row r="71">
      <x:c r="A71" s="8" t="n"/>
      <x:c r="B71" s="12" t="n"/>
      <x:c r="C71" s="8" t="n"/>
      <x:c r="D71" s="8" t="n"/>
      <x:c r="E71" s="8" t="n"/>
      <x:c r="F71" s="8" t="n"/>
      <x:c r="G71" s="8" t="n"/>
      <x:c r="H71" s="8" t="n"/>
      <x:c r="I71" s="8" t="n"/>
      <x:c r="J71" s="8" t="n"/>
      <x:c r="K71" s="8" t="n"/>
      <x:c r="L71" s="8" t="n"/>
      <x:c r="M71" s="8" t="n"/>
      <x:c r="N71" s="8" t="n"/>
      <x:c r="O71" s="8" t="n"/>
      <x:c r="P71">
        <x:f>COUNTA(J71:N71)</x:f>
      </x:c>
      <x:c r="Q71">
        <x:f>IF(A71="","",IF(P71&lt;&gt;5,1,0))</x:f>
      </x:c>
      <x:c r="R71">
        <x:f>IF(A71="","",IF(COUNTIF($A$5:$A$604,A71)&gt;1,1,0))</x:f>
      </x:c>
    </x:row>
    <x:row r="72">
      <x:c r="A72" s="8" t="n"/>
      <x:c r="B72" s="12" t="n"/>
      <x:c r="C72" s="8" t="n"/>
      <x:c r="D72" s="8" t="n"/>
      <x:c r="E72" s="8" t="n"/>
      <x:c r="F72" s="8" t="n"/>
      <x:c r="G72" s="8" t="n"/>
      <x:c r="H72" s="8" t="n"/>
      <x:c r="I72" s="8" t="n"/>
      <x:c r="J72" s="8" t="n"/>
      <x:c r="K72" s="8" t="n"/>
      <x:c r="L72" s="8" t="n"/>
      <x:c r="M72" s="8" t="n"/>
      <x:c r="N72" s="8" t="n"/>
      <x:c r="O72" s="8" t="n"/>
      <x:c r="P72">
        <x:f>COUNTA(J72:N72)</x:f>
      </x:c>
      <x:c r="Q72">
        <x:f>IF(A72="","",IF(P72&lt;&gt;5,1,0))</x:f>
      </x:c>
      <x:c r="R72">
        <x:f>IF(A72="","",IF(COUNTIF($A$5:$A$604,A72)&gt;1,1,0))</x:f>
      </x:c>
    </x:row>
    <x:row r="73">
      <x:c r="A73" s="8" t="n"/>
      <x:c r="B73" s="12" t="n"/>
      <x:c r="C73" s="8" t="n"/>
      <x:c r="D73" s="8" t="n"/>
      <x:c r="E73" s="8" t="n"/>
      <x:c r="F73" s="8" t="n"/>
      <x:c r="G73" s="8" t="n"/>
      <x:c r="H73" s="8" t="n"/>
      <x:c r="I73" s="8" t="n"/>
      <x:c r="J73" s="8" t="n"/>
      <x:c r="K73" s="8" t="n"/>
      <x:c r="L73" s="8" t="n"/>
      <x:c r="M73" s="8" t="n"/>
      <x:c r="N73" s="8" t="n"/>
      <x:c r="O73" s="8" t="n"/>
      <x:c r="P73">
        <x:f>COUNTA(J73:N73)</x:f>
      </x:c>
      <x:c r="Q73">
        <x:f>IF(A73="","",IF(P73&lt;&gt;5,1,0))</x:f>
      </x:c>
      <x:c r="R73">
        <x:f>IF(A73="","",IF(COUNTIF($A$5:$A$604,A73)&gt;1,1,0))</x:f>
      </x:c>
    </x:row>
    <x:row r="74">
      <x:c r="A74" s="8" t="n"/>
      <x:c r="B74" s="12" t="n"/>
      <x:c r="C74" s="8" t="n"/>
      <x:c r="D74" s="8" t="n"/>
      <x:c r="E74" s="8" t="n"/>
      <x:c r="F74" s="8" t="n"/>
      <x:c r="G74" s="8" t="n"/>
      <x:c r="H74" s="8" t="n"/>
      <x:c r="I74" s="8" t="n"/>
      <x:c r="J74" s="8" t="n"/>
      <x:c r="K74" s="8" t="n"/>
      <x:c r="L74" s="8" t="n"/>
      <x:c r="M74" s="8" t="n"/>
      <x:c r="N74" s="8" t="n"/>
      <x:c r="O74" s="8" t="n"/>
      <x:c r="P74">
        <x:f>COUNTA(J74:N74)</x:f>
      </x:c>
      <x:c r="Q74">
        <x:f>IF(A74="","",IF(P74&lt;&gt;5,1,0))</x:f>
      </x:c>
      <x:c r="R74">
        <x:f>IF(A74="","",IF(COUNTIF($A$5:$A$604,A74)&gt;1,1,0))</x:f>
      </x:c>
    </x:row>
    <x:row r="75">
      <x:c r="A75" s="8" t="n"/>
      <x:c r="B75" s="12" t="n"/>
      <x:c r="C75" s="8" t="n"/>
      <x:c r="D75" s="8" t="n"/>
      <x:c r="E75" s="8" t="n"/>
      <x:c r="F75" s="8" t="n"/>
      <x:c r="G75" s="8" t="n"/>
      <x:c r="H75" s="8" t="n"/>
      <x:c r="I75" s="8" t="n"/>
      <x:c r="J75" s="8" t="n"/>
      <x:c r="K75" s="8" t="n"/>
      <x:c r="L75" s="8" t="n"/>
      <x:c r="M75" s="8" t="n"/>
      <x:c r="N75" s="8" t="n"/>
      <x:c r="O75" s="8" t="n"/>
      <x:c r="P75">
        <x:f>COUNTA(J75:N75)</x:f>
      </x:c>
      <x:c r="Q75">
        <x:f>IF(A75="","",IF(P75&lt;&gt;5,1,0))</x:f>
      </x:c>
      <x:c r="R75">
        <x:f>IF(A75="","",IF(COUNTIF($A$5:$A$604,A75)&gt;1,1,0))</x:f>
      </x:c>
    </x:row>
    <x:row r="76">
      <x:c r="A76" s="8" t="n"/>
      <x:c r="B76" s="12" t="n"/>
      <x:c r="C76" s="8" t="n"/>
      <x:c r="D76" s="8" t="n"/>
      <x:c r="E76" s="8" t="n"/>
      <x:c r="F76" s="8" t="n"/>
      <x:c r="G76" s="8" t="n"/>
      <x:c r="H76" s="8" t="n"/>
      <x:c r="I76" s="8" t="n"/>
      <x:c r="J76" s="8" t="n"/>
      <x:c r="K76" s="8" t="n"/>
      <x:c r="L76" s="8" t="n"/>
      <x:c r="M76" s="8" t="n"/>
      <x:c r="N76" s="8" t="n"/>
      <x:c r="O76" s="8" t="n"/>
      <x:c r="P76">
        <x:f>COUNTA(J76:N76)</x:f>
      </x:c>
      <x:c r="Q76">
        <x:f>IF(A76="","",IF(P76&lt;&gt;5,1,0))</x:f>
      </x:c>
      <x:c r="R76">
        <x:f>IF(A76="","",IF(COUNTIF($A$5:$A$604,A76)&gt;1,1,0))</x:f>
      </x:c>
    </x:row>
    <x:row r="77">
      <x:c r="A77" s="8" t="n"/>
      <x:c r="B77" s="12" t="n"/>
      <x:c r="C77" s="8" t="n"/>
      <x:c r="D77" s="8" t="n"/>
      <x:c r="E77" s="8" t="n"/>
      <x:c r="F77" s="8" t="n"/>
      <x:c r="G77" s="8" t="n"/>
      <x:c r="H77" s="8" t="n"/>
      <x:c r="I77" s="8" t="n"/>
      <x:c r="J77" s="8" t="n"/>
      <x:c r="K77" s="8" t="n"/>
      <x:c r="L77" s="8" t="n"/>
      <x:c r="M77" s="8" t="n"/>
      <x:c r="N77" s="8" t="n"/>
      <x:c r="O77" s="8" t="n"/>
      <x:c r="P77">
        <x:f>COUNTA(J77:N77)</x:f>
      </x:c>
      <x:c r="Q77">
        <x:f>IF(A77="","",IF(P77&lt;&gt;5,1,0))</x:f>
      </x:c>
      <x:c r="R77">
        <x:f>IF(A77="","",IF(COUNTIF($A$5:$A$604,A77)&gt;1,1,0))</x:f>
      </x:c>
    </x:row>
    <x:row r="78">
      <x:c r="A78" s="8" t="n"/>
      <x:c r="B78" s="12" t="n"/>
      <x:c r="C78" s="8" t="n"/>
      <x:c r="D78" s="8" t="n"/>
      <x:c r="E78" s="8" t="n"/>
      <x:c r="F78" s="8" t="n"/>
      <x:c r="G78" s="8" t="n"/>
      <x:c r="H78" s="8" t="n"/>
      <x:c r="I78" s="8" t="n"/>
      <x:c r="J78" s="8" t="n"/>
      <x:c r="K78" s="8" t="n"/>
      <x:c r="L78" s="8" t="n"/>
      <x:c r="M78" s="8" t="n"/>
      <x:c r="N78" s="8" t="n"/>
      <x:c r="O78" s="8" t="n"/>
      <x:c r="P78">
        <x:f>COUNTA(J78:N78)</x:f>
      </x:c>
      <x:c r="Q78">
        <x:f>IF(A78="","",IF(P78&lt;&gt;5,1,0))</x:f>
      </x:c>
      <x:c r="R78">
        <x:f>IF(A78="","",IF(COUNTIF($A$5:$A$604,A78)&gt;1,1,0))</x:f>
      </x:c>
    </x:row>
    <x:row r="79">
      <x:c r="A79" s="8" t="n"/>
      <x:c r="B79" s="12" t="n"/>
      <x:c r="C79" s="8" t="n"/>
      <x:c r="D79" s="8" t="n"/>
      <x:c r="E79" s="8" t="n"/>
      <x:c r="F79" s="8" t="n"/>
      <x:c r="G79" s="8" t="n"/>
      <x:c r="H79" s="8" t="n"/>
      <x:c r="I79" s="8" t="n"/>
      <x:c r="J79" s="8" t="n"/>
      <x:c r="K79" s="8" t="n"/>
      <x:c r="L79" s="8" t="n"/>
      <x:c r="M79" s="8" t="n"/>
      <x:c r="N79" s="8" t="n"/>
      <x:c r="O79" s="8" t="n"/>
      <x:c r="P79">
        <x:f>COUNTA(J79:N79)</x:f>
      </x:c>
      <x:c r="Q79">
        <x:f>IF(A79="","",IF(P79&lt;&gt;5,1,0))</x:f>
      </x:c>
      <x:c r="R79">
        <x:f>IF(A79="","",IF(COUNTIF($A$5:$A$604,A79)&gt;1,1,0))</x:f>
      </x:c>
    </x:row>
    <x:row r="80">
      <x:c r="A80" s="8" t="n"/>
      <x:c r="B80" s="12" t="n"/>
      <x:c r="C80" s="8" t="n"/>
      <x:c r="D80" s="8" t="n"/>
      <x:c r="E80" s="8" t="n"/>
      <x:c r="F80" s="8" t="n"/>
      <x:c r="G80" s="8" t="n"/>
      <x:c r="H80" s="8" t="n"/>
      <x:c r="I80" s="8" t="n"/>
      <x:c r="J80" s="8" t="n"/>
      <x:c r="K80" s="8" t="n"/>
      <x:c r="L80" s="8" t="n"/>
      <x:c r="M80" s="8" t="n"/>
      <x:c r="N80" s="8" t="n"/>
      <x:c r="O80" s="8" t="n"/>
      <x:c r="P80">
        <x:f>COUNTA(J80:N80)</x:f>
      </x:c>
      <x:c r="Q80">
        <x:f>IF(A80="","",IF(P80&lt;&gt;5,1,0))</x:f>
      </x:c>
      <x:c r="R80">
        <x:f>IF(A80="","",IF(COUNTIF($A$5:$A$604,A80)&gt;1,1,0))</x:f>
      </x:c>
    </x:row>
    <x:row r="81">
      <x:c r="A81" s="8" t="n"/>
      <x:c r="B81" s="12" t="n"/>
      <x:c r="C81" s="8" t="n"/>
      <x:c r="D81" s="8" t="n"/>
      <x:c r="E81" s="8" t="n"/>
      <x:c r="F81" s="8" t="n"/>
      <x:c r="G81" s="8" t="n"/>
      <x:c r="H81" s="8" t="n"/>
      <x:c r="I81" s="8" t="n"/>
      <x:c r="J81" s="8" t="n"/>
      <x:c r="K81" s="8" t="n"/>
      <x:c r="L81" s="8" t="n"/>
      <x:c r="M81" s="8" t="n"/>
      <x:c r="N81" s="8" t="n"/>
      <x:c r="O81" s="8" t="n"/>
      <x:c r="P81">
        <x:f>COUNTA(J81:N81)</x:f>
      </x:c>
      <x:c r="Q81">
        <x:f>IF(A81="","",IF(P81&lt;&gt;5,1,0))</x:f>
      </x:c>
      <x:c r="R81">
        <x:f>IF(A81="","",IF(COUNTIF($A$5:$A$604,A81)&gt;1,1,0))</x:f>
      </x:c>
    </x:row>
    <x:row r="82">
      <x:c r="A82" s="8" t="n"/>
      <x:c r="B82" s="12" t="n"/>
      <x:c r="C82" s="8" t="n"/>
      <x:c r="D82" s="8" t="n"/>
      <x:c r="E82" s="8" t="n"/>
      <x:c r="F82" s="8" t="n"/>
      <x:c r="G82" s="8" t="n"/>
      <x:c r="H82" s="8" t="n"/>
      <x:c r="I82" s="8" t="n"/>
      <x:c r="J82" s="8" t="n"/>
      <x:c r="K82" s="8" t="n"/>
      <x:c r="L82" s="8" t="n"/>
      <x:c r="M82" s="8" t="n"/>
      <x:c r="N82" s="8" t="n"/>
      <x:c r="O82" s="8" t="n"/>
      <x:c r="P82">
        <x:f>COUNTA(J82:N82)</x:f>
      </x:c>
      <x:c r="Q82">
        <x:f>IF(A82="","",IF(P82&lt;&gt;5,1,0))</x:f>
      </x:c>
      <x:c r="R82">
        <x:f>IF(A82="","",IF(COUNTIF($A$5:$A$604,A82)&gt;1,1,0))</x:f>
      </x:c>
    </x:row>
    <x:row r="83">
      <x:c r="A83" s="8" t="n"/>
      <x:c r="B83" s="12" t="n"/>
      <x:c r="C83" s="8" t="n"/>
      <x:c r="D83" s="8" t="n"/>
      <x:c r="E83" s="8" t="n"/>
      <x:c r="F83" s="8" t="n"/>
      <x:c r="G83" s="8" t="n"/>
      <x:c r="H83" s="8" t="n"/>
      <x:c r="I83" s="8" t="n"/>
      <x:c r="J83" s="8" t="n"/>
      <x:c r="K83" s="8" t="n"/>
      <x:c r="L83" s="8" t="n"/>
      <x:c r="M83" s="8" t="n"/>
      <x:c r="N83" s="8" t="n"/>
      <x:c r="O83" s="8" t="n"/>
      <x:c r="P83">
        <x:f>COUNTA(J83:N83)</x:f>
      </x:c>
      <x:c r="Q83">
        <x:f>IF(A83="","",IF(P83&lt;&gt;5,1,0))</x:f>
      </x:c>
      <x:c r="R83">
        <x:f>IF(A83="","",IF(COUNTIF($A$5:$A$604,A83)&gt;1,1,0))</x:f>
      </x:c>
    </x:row>
    <x:row r="84">
      <x:c r="A84" s="8" t="n"/>
      <x:c r="B84" s="12" t="n"/>
      <x:c r="C84" s="8" t="n"/>
      <x:c r="D84" s="8" t="n"/>
      <x:c r="E84" s="8" t="n"/>
      <x:c r="F84" s="8" t="n"/>
      <x:c r="G84" s="8" t="n"/>
      <x:c r="H84" s="8" t="n"/>
      <x:c r="I84" s="8" t="n"/>
      <x:c r="J84" s="8" t="n"/>
      <x:c r="K84" s="8" t="n"/>
      <x:c r="L84" s="8" t="n"/>
      <x:c r="M84" s="8" t="n"/>
      <x:c r="N84" s="8" t="n"/>
      <x:c r="O84" s="8" t="n"/>
      <x:c r="P84">
        <x:f>COUNTA(J84:N84)</x:f>
      </x:c>
      <x:c r="Q84">
        <x:f>IF(A84="","",IF(P84&lt;&gt;5,1,0))</x:f>
      </x:c>
      <x:c r="R84">
        <x:f>IF(A84="","",IF(COUNTIF($A$5:$A$604,A84)&gt;1,1,0))</x:f>
      </x:c>
    </x:row>
    <x:row r="85">
      <x:c r="A85" s="8" t="n"/>
      <x:c r="B85" s="12" t="n"/>
      <x:c r="C85" s="8" t="n"/>
      <x:c r="D85" s="8" t="n"/>
      <x:c r="E85" s="8" t="n"/>
      <x:c r="F85" s="8" t="n"/>
      <x:c r="G85" s="8" t="n"/>
      <x:c r="H85" s="8" t="n"/>
      <x:c r="I85" s="8" t="n"/>
      <x:c r="J85" s="8" t="n"/>
      <x:c r="K85" s="8" t="n"/>
      <x:c r="L85" s="8" t="n"/>
      <x:c r="M85" s="8" t="n"/>
      <x:c r="N85" s="8" t="n"/>
      <x:c r="O85" s="8" t="n"/>
      <x:c r="P85">
        <x:f>COUNTA(J85:N85)</x:f>
      </x:c>
      <x:c r="Q85">
        <x:f>IF(A85="","",IF(P85&lt;&gt;5,1,0))</x:f>
      </x:c>
      <x:c r="R85">
        <x:f>IF(A85="","",IF(COUNTIF($A$5:$A$604,A85)&gt;1,1,0))</x:f>
      </x:c>
    </x:row>
    <x:row r="86">
      <x:c r="A86" s="8" t="n"/>
      <x:c r="B86" s="12" t="n"/>
      <x:c r="C86" s="8" t="n"/>
      <x:c r="D86" s="8" t="n"/>
      <x:c r="E86" s="8" t="n"/>
      <x:c r="F86" s="8" t="n"/>
      <x:c r="G86" s="8" t="n"/>
      <x:c r="H86" s="8" t="n"/>
      <x:c r="I86" s="8" t="n"/>
      <x:c r="J86" s="8" t="n"/>
      <x:c r="K86" s="8" t="n"/>
      <x:c r="L86" s="8" t="n"/>
      <x:c r="M86" s="8" t="n"/>
      <x:c r="N86" s="8" t="n"/>
      <x:c r="O86" s="8" t="n"/>
      <x:c r="P86">
        <x:f>COUNTA(J86:N86)</x:f>
      </x:c>
      <x:c r="Q86">
        <x:f>IF(A86="","",IF(P86&lt;&gt;5,1,0))</x:f>
      </x:c>
      <x:c r="R86">
        <x:f>IF(A86="","",IF(COUNTIF($A$5:$A$604,A86)&gt;1,1,0))</x:f>
      </x:c>
    </x:row>
    <x:row r="87">
      <x:c r="A87" s="8" t="n"/>
      <x:c r="B87" s="12" t="n"/>
      <x:c r="C87" s="8" t="n"/>
      <x:c r="D87" s="8" t="n"/>
      <x:c r="E87" s="8" t="n"/>
      <x:c r="F87" s="8" t="n"/>
      <x:c r="G87" s="8" t="n"/>
      <x:c r="H87" s="8" t="n"/>
      <x:c r="I87" s="8" t="n"/>
      <x:c r="J87" s="8" t="n"/>
      <x:c r="K87" s="8" t="n"/>
      <x:c r="L87" s="8" t="n"/>
      <x:c r="M87" s="8" t="n"/>
      <x:c r="N87" s="8" t="n"/>
      <x:c r="O87" s="8" t="n"/>
      <x:c r="P87">
        <x:f>COUNTA(J87:N87)</x:f>
      </x:c>
      <x:c r="Q87">
        <x:f>IF(A87="","",IF(P87&lt;&gt;5,1,0))</x:f>
      </x:c>
      <x:c r="R87">
        <x:f>IF(A87="","",IF(COUNTIF($A$5:$A$604,A87)&gt;1,1,0))</x:f>
      </x:c>
    </x:row>
    <x:row r="88">
      <x:c r="A88" s="8" t="n"/>
      <x:c r="B88" s="12" t="n"/>
      <x:c r="C88" s="8" t="n"/>
      <x:c r="D88" s="8" t="n"/>
      <x:c r="E88" s="8" t="n"/>
      <x:c r="F88" s="8" t="n"/>
      <x:c r="G88" s="8" t="n"/>
      <x:c r="H88" s="8" t="n"/>
      <x:c r="I88" s="8" t="n"/>
      <x:c r="J88" s="8" t="n"/>
      <x:c r="K88" s="8" t="n"/>
      <x:c r="L88" s="8" t="n"/>
      <x:c r="M88" s="8" t="n"/>
      <x:c r="N88" s="8" t="n"/>
      <x:c r="O88" s="8" t="n"/>
      <x:c r="P88">
        <x:f>COUNTA(J88:N88)</x:f>
      </x:c>
      <x:c r="Q88">
        <x:f>IF(A88="","",IF(P88&lt;&gt;5,1,0))</x:f>
      </x:c>
      <x:c r="R88">
        <x:f>IF(A88="","",IF(COUNTIF($A$5:$A$604,A88)&gt;1,1,0))</x:f>
      </x:c>
    </x:row>
    <x:row r="89">
      <x:c r="A89" s="8" t="n"/>
      <x:c r="B89" s="12" t="n"/>
      <x:c r="C89" s="8" t="n"/>
      <x:c r="D89" s="8" t="n"/>
      <x:c r="E89" s="8" t="n"/>
      <x:c r="F89" s="8" t="n"/>
      <x:c r="G89" s="8" t="n"/>
      <x:c r="H89" s="8" t="n"/>
      <x:c r="I89" s="8" t="n"/>
      <x:c r="J89" s="8" t="n"/>
      <x:c r="K89" s="8" t="n"/>
      <x:c r="L89" s="8" t="n"/>
      <x:c r="M89" s="8" t="n"/>
      <x:c r="N89" s="8" t="n"/>
      <x:c r="O89" s="8" t="n"/>
      <x:c r="P89">
        <x:f>COUNTA(J89:N89)</x:f>
      </x:c>
      <x:c r="Q89">
        <x:f>IF(A89="","",IF(P89&lt;&gt;5,1,0))</x:f>
      </x:c>
      <x:c r="R89">
        <x:f>IF(A89="","",IF(COUNTIF($A$5:$A$604,A89)&gt;1,1,0))</x:f>
      </x:c>
    </x:row>
    <x:row r="90">
      <x:c r="A90" s="8" t="n"/>
      <x:c r="B90" s="12" t="n"/>
      <x:c r="C90" s="8" t="n"/>
      <x:c r="D90" s="8" t="n"/>
      <x:c r="E90" s="8" t="n"/>
      <x:c r="F90" s="8" t="n"/>
      <x:c r="G90" s="8" t="n"/>
      <x:c r="H90" s="8" t="n"/>
      <x:c r="I90" s="8" t="n"/>
      <x:c r="J90" s="8" t="n"/>
      <x:c r="K90" s="8" t="n"/>
      <x:c r="L90" s="8" t="n"/>
      <x:c r="M90" s="8" t="n"/>
      <x:c r="N90" s="8" t="n"/>
      <x:c r="O90" s="8" t="n"/>
      <x:c r="P90">
        <x:f>COUNTA(J90:N90)</x:f>
      </x:c>
      <x:c r="Q90">
        <x:f>IF(A90="","",IF(P90&lt;&gt;5,1,0))</x:f>
      </x:c>
      <x:c r="R90">
        <x:f>IF(A90="","",IF(COUNTIF($A$5:$A$604,A90)&gt;1,1,0))</x:f>
      </x:c>
    </x:row>
    <x:row r="91">
      <x:c r="A91" s="8" t="n"/>
      <x:c r="B91" s="12" t="n"/>
      <x:c r="C91" s="8" t="n"/>
      <x:c r="D91" s="8" t="n"/>
      <x:c r="E91" s="8" t="n"/>
      <x:c r="F91" s="8" t="n"/>
      <x:c r="G91" s="8" t="n"/>
      <x:c r="H91" s="8" t="n"/>
      <x:c r="I91" s="8" t="n"/>
      <x:c r="J91" s="8" t="n"/>
      <x:c r="K91" s="8" t="n"/>
      <x:c r="L91" s="8" t="n"/>
      <x:c r="M91" s="8" t="n"/>
      <x:c r="N91" s="8" t="n"/>
      <x:c r="O91" s="8" t="n"/>
      <x:c r="P91">
        <x:f>COUNTA(J91:N91)</x:f>
      </x:c>
      <x:c r="Q91">
        <x:f>IF(A91="","",IF(P91&lt;&gt;5,1,0))</x:f>
      </x:c>
      <x:c r="R91">
        <x:f>IF(A91="","",IF(COUNTIF($A$5:$A$604,A91)&gt;1,1,0))</x:f>
      </x:c>
    </x:row>
    <x:row r="92">
      <x:c r="A92" s="8" t="n"/>
      <x:c r="B92" s="12" t="n"/>
      <x:c r="C92" s="8" t="n"/>
      <x:c r="D92" s="8" t="n"/>
      <x:c r="E92" s="8" t="n"/>
      <x:c r="F92" s="8" t="n"/>
      <x:c r="G92" s="8" t="n"/>
      <x:c r="H92" s="8" t="n"/>
      <x:c r="I92" s="8" t="n"/>
      <x:c r="J92" s="8" t="n"/>
      <x:c r="K92" s="8" t="n"/>
      <x:c r="L92" s="8" t="n"/>
      <x:c r="M92" s="8" t="n"/>
      <x:c r="N92" s="8" t="n"/>
      <x:c r="O92" s="8" t="n"/>
      <x:c r="P92">
        <x:f>COUNTA(J92:N92)</x:f>
      </x:c>
      <x:c r="Q92">
        <x:f>IF(A92="","",IF(P92&lt;&gt;5,1,0))</x:f>
      </x:c>
      <x:c r="R92">
        <x:f>IF(A92="","",IF(COUNTIF($A$5:$A$604,A92)&gt;1,1,0))</x:f>
      </x:c>
    </x:row>
    <x:row r="93">
      <x:c r="A93" s="8" t="n"/>
      <x:c r="B93" s="12" t="n"/>
      <x:c r="C93" s="8" t="n"/>
      <x:c r="D93" s="8" t="n"/>
      <x:c r="E93" s="8" t="n"/>
      <x:c r="F93" s="8" t="n"/>
      <x:c r="G93" s="8" t="n"/>
      <x:c r="H93" s="8" t="n"/>
      <x:c r="I93" s="8" t="n"/>
      <x:c r="J93" s="8" t="n"/>
      <x:c r="K93" s="8" t="n"/>
      <x:c r="L93" s="8" t="n"/>
      <x:c r="M93" s="8" t="n"/>
      <x:c r="N93" s="8" t="n"/>
      <x:c r="O93" s="8" t="n"/>
      <x:c r="P93">
        <x:f>COUNTA(J93:N93)</x:f>
      </x:c>
      <x:c r="Q93">
        <x:f>IF(A93="","",IF(P93&lt;&gt;5,1,0))</x:f>
      </x:c>
      <x:c r="R93">
        <x:f>IF(A93="","",IF(COUNTIF($A$5:$A$604,A93)&gt;1,1,0))</x:f>
      </x:c>
    </x:row>
    <x:row r="94">
      <x:c r="A94" s="8" t="n"/>
      <x:c r="B94" s="12" t="n"/>
      <x:c r="C94" s="8" t="n"/>
      <x:c r="D94" s="8" t="n"/>
      <x:c r="E94" s="8" t="n"/>
      <x:c r="F94" s="8" t="n"/>
      <x:c r="G94" s="8" t="n"/>
      <x:c r="H94" s="8" t="n"/>
      <x:c r="I94" s="8" t="n"/>
      <x:c r="J94" s="8" t="n"/>
      <x:c r="K94" s="8" t="n"/>
      <x:c r="L94" s="8" t="n"/>
      <x:c r="M94" s="8" t="n"/>
      <x:c r="N94" s="8" t="n"/>
      <x:c r="O94" s="8" t="n"/>
      <x:c r="P94">
        <x:f>COUNTA(J94:N94)</x:f>
      </x:c>
      <x:c r="Q94">
        <x:f>IF(A94="","",IF(P94&lt;&gt;5,1,0))</x:f>
      </x:c>
      <x:c r="R94">
        <x:f>IF(A94="","",IF(COUNTIF($A$5:$A$604,A94)&gt;1,1,0))</x:f>
      </x:c>
    </x:row>
    <x:row r="95">
      <x:c r="A95" s="8" t="n"/>
      <x:c r="B95" s="12" t="n"/>
      <x:c r="C95" s="8" t="n"/>
      <x:c r="D95" s="8" t="n"/>
      <x:c r="E95" s="8" t="n"/>
      <x:c r="F95" s="8" t="n"/>
      <x:c r="G95" s="8" t="n"/>
      <x:c r="H95" s="8" t="n"/>
      <x:c r="I95" s="8" t="n"/>
      <x:c r="J95" s="8" t="n"/>
      <x:c r="K95" s="8" t="n"/>
      <x:c r="L95" s="8" t="n"/>
      <x:c r="M95" s="8" t="n"/>
      <x:c r="N95" s="8" t="n"/>
      <x:c r="O95" s="8" t="n"/>
      <x:c r="P95">
        <x:f>COUNTA(J95:N95)</x:f>
      </x:c>
      <x:c r="Q95">
        <x:f>IF(A95="","",IF(P95&lt;&gt;5,1,0))</x:f>
      </x:c>
      <x:c r="R95">
        <x:f>IF(A95="","",IF(COUNTIF($A$5:$A$604,A95)&gt;1,1,0))</x:f>
      </x:c>
    </x:row>
    <x:row r="96">
      <x:c r="A96" s="8" t="n"/>
      <x:c r="B96" s="12" t="n"/>
      <x:c r="C96" s="8" t="n"/>
      <x:c r="D96" s="8" t="n"/>
      <x:c r="E96" s="8" t="n"/>
      <x:c r="F96" s="8" t="n"/>
      <x:c r="G96" s="8" t="n"/>
      <x:c r="H96" s="8" t="n"/>
      <x:c r="I96" s="8" t="n"/>
      <x:c r="J96" s="8" t="n"/>
      <x:c r="K96" s="8" t="n"/>
      <x:c r="L96" s="8" t="n"/>
      <x:c r="M96" s="8" t="n"/>
      <x:c r="N96" s="8" t="n"/>
      <x:c r="O96" s="8" t="n"/>
      <x:c r="P96">
        <x:f>COUNTA(J96:N96)</x:f>
      </x:c>
      <x:c r="Q96">
        <x:f>IF(A96="","",IF(P96&lt;&gt;5,1,0))</x:f>
      </x:c>
      <x:c r="R96">
        <x:f>IF(A96="","",IF(COUNTIF($A$5:$A$604,A96)&gt;1,1,0))</x:f>
      </x:c>
    </x:row>
    <x:row r="97">
      <x:c r="A97" s="8" t="n"/>
      <x:c r="B97" s="12" t="n"/>
      <x:c r="C97" s="8" t="n"/>
      <x:c r="D97" s="8" t="n"/>
      <x:c r="E97" s="8" t="n"/>
      <x:c r="F97" s="8" t="n"/>
      <x:c r="G97" s="8" t="n"/>
      <x:c r="H97" s="8" t="n"/>
      <x:c r="I97" s="8" t="n"/>
      <x:c r="J97" s="8" t="n"/>
      <x:c r="K97" s="8" t="n"/>
      <x:c r="L97" s="8" t="n"/>
      <x:c r="M97" s="8" t="n"/>
      <x:c r="N97" s="8" t="n"/>
      <x:c r="O97" s="8" t="n"/>
      <x:c r="P97">
        <x:f>COUNTA(J97:N97)</x:f>
      </x:c>
      <x:c r="Q97">
        <x:f>IF(A97="","",IF(P97&lt;&gt;5,1,0))</x:f>
      </x:c>
      <x:c r="R97">
        <x:f>IF(A97="","",IF(COUNTIF($A$5:$A$604,A97)&gt;1,1,0))</x:f>
      </x:c>
    </x:row>
    <x:row r="98">
      <x:c r="A98" s="8" t="n"/>
      <x:c r="B98" s="12" t="n"/>
      <x:c r="C98" s="8" t="n"/>
      <x:c r="D98" s="8" t="n"/>
      <x:c r="E98" s="8" t="n"/>
      <x:c r="F98" s="8" t="n"/>
      <x:c r="G98" s="8" t="n"/>
      <x:c r="H98" s="8" t="n"/>
      <x:c r="I98" s="8" t="n"/>
      <x:c r="J98" s="8" t="n"/>
      <x:c r="K98" s="8" t="n"/>
      <x:c r="L98" s="8" t="n"/>
      <x:c r="M98" s="8" t="n"/>
      <x:c r="N98" s="8" t="n"/>
      <x:c r="O98" s="8" t="n"/>
      <x:c r="P98">
        <x:f>COUNTA(J98:N98)</x:f>
      </x:c>
      <x:c r="Q98">
        <x:f>IF(A98="","",IF(P98&lt;&gt;5,1,0))</x:f>
      </x:c>
      <x:c r="R98">
        <x:f>IF(A98="","",IF(COUNTIF($A$5:$A$604,A98)&gt;1,1,0))</x:f>
      </x:c>
    </x:row>
    <x:row r="99">
      <x:c r="A99" s="8" t="n"/>
      <x:c r="B99" s="12" t="n"/>
      <x:c r="C99" s="8" t="n"/>
      <x:c r="D99" s="8" t="n"/>
      <x:c r="E99" s="8" t="n"/>
      <x:c r="F99" s="8" t="n"/>
      <x:c r="G99" s="8" t="n"/>
      <x:c r="H99" s="8" t="n"/>
      <x:c r="I99" s="8" t="n"/>
      <x:c r="J99" s="8" t="n"/>
      <x:c r="K99" s="8" t="n"/>
      <x:c r="L99" s="8" t="n"/>
      <x:c r="M99" s="8" t="n"/>
      <x:c r="N99" s="8" t="n"/>
      <x:c r="O99" s="8" t="n"/>
      <x:c r="P99">
        <x:f>COUNTA(J99:N99)</x:f>
      </x:c>
      <x:c r="Q99">
        <x:f>IF(A99="","",IF(P99&lt;&gt;5,1,0))</x:f>
      </x:c>
      <x:c r="R99">
        <x:f>IF(A99="","",IF(COUNTIF($A$5:$A$604,A99)&gt;1,1,0))</x:f>
      </x:c>
    </x:row>
    <x:row r="100">
      <x:c r="A100" s="8" t="n"/>
      <x:c r="B100" s="12" t="n"/>
      <x:c r="C100" s="8" t="n"/>
      <x:c r="D100" s="8" t="n"/>
      <x:c r="E100" s="8" t="n"/>
      <x:c r="F100" s="8" t="n"/>
      <x:c r="G100" s="8" t="n"/>
      <x:c r="H100" s="8" t="n"/>
      <x:c r="I100" s="8" t="n"/>
      <x:c r="J100" s="8" t="n"/>
      <x:c r="K100" s="8" t="n"/>
      <x:c r="L100" s="8" t="n"/>
      <x:c r="M100" s="8" t="n"/>
      <x:c r="N100" s="8" t="n"/>
      <x:c r="O100" s="8" t="n"/>
      <x:c r="P100">
        <x:f>COUNTA(J100:N100)</x:f>
      </x:c>
      <x:c r="Q100">
        <x:f>IF(A100="","",IF(P100&lt;&gt;5,1,0))</x:f>
      </x:c>
      <x:c r="R100">
        <x:f>IF(A100="","",IF(COUNTIF($A$5:$A$604,A100)&gt;1,1,0))</x:f>
      </x:c>
    </x:row>
    <x:row r="101">
      <x:c r="A101" s="8" t="n"/>
      <x:c r="B101" s="12" t="n"/>
      <x:c r="C101" s="8" t="n"/>
      <x:c r="D101" s="8" t="n"/>
      <x:c r="E101" s="8" t="n"/>
      <x:c r="F101" s="8" t="n"/>
      <x:c r="G101" s="8" t="n"/>
      <x:c r="H101" s="8" t="n"/>
      <x:c r="I101" s="8" t="n"/>
      <x:c r="J101" s="8" t="n"/>
      <x:c r="K101" s="8" t="n"/>
      <x:c r="L101" s="8" t="n"/>
      <x:c r="M101" s="8" t="n"/>
      <x:c r="N101" s="8" t="n"/>
      <x:c r="O101" s="8" t="n"/>
      <x:c r="P101">
        <x:f>COUNTA(J101:N101)</x:f>
      </x:c>
      <x:c r="Q101">
        <x:f>IF(A101="","",IF(P101&lt;&gt;5,1,0))</x:f>
      </x:c>
      <x:c r="R101">
        <x:f>IF(A101="","",IF(COUNTIF($A$5:$A$604,A101)&gt;1,1,0))</x:f>
      </x:c>
    </x:row>
    <x:row r="102">
      <x:c r="A102" s="8" t="n"/>
      <x:c r="B102" s="12" t="n"/>
      <x:c r="C102" s="8" t="n"/>
      <x:c r="D102" s="8" t="n"/>
      <x:c r="E102" s="8" t="n"/>
      <x:c r="F102" s="8" t="n"/>
      <x:c r="G102" s="8" t="n"/>
      <x:c r="H102" s="8" t="n"/>
      <x:c r="I102" s="8" t="n"/>
      <x:c r="J102" s="8" t="n"/>
      <x:c r="K102" s="8" t="n"/>
      <x:c r="L102" s="8" t="n"/>
      <x:c r="M102" s="8" t="n"/>
      <x:c r="N102" s="8" t="n"/>
      <x:c r="O102" s="8" t="n"/>
      <x:c r="P102">
        <x:f>COUNTA(J102:N102)</x:f>
      </x:c>
      <x:c r="Q102">
        <x:f>IF(A102="","",IF(P102&lt;&gt;5,1,0))</x:f>
      </x:c>
      <x:c r="R102">
        <x:f>IF(A102="","",IF(COUNTIF($A$5:$A$604,A102)&gt;1,1,0))</x:f>
      </x:c>
    </x:row>
    <x:row r="103">
      <x:c r="A103" s="8" t="n"/>
      <x:c r="B103" s="12" t="n"/>
      <x:c r="C103" s="8" t="n"/>
      <x:c r="D103" s="8" t="n"/>
      <x:c r="E103" s="8" t="n"/>
      <x:c r="F103" s="8" t="n"/>
      <x:c r="G103" s="8" t="n"/>
      <x:c r="H103" s="8" t="n"/>
      <x:c r="I103" s="8" t="n"/>
      <x:c r="J103" s="8" t="n"/>
      <x:c r="K103" s="8" t="n"/>
      <x:c r="L103" s="8" t="n"/>
      <x:c r="M103" s="8" t="n"/>
      <x:c r="N103" s="8" t="n"/>
      <x:c r="O103" s="8" t="n"/>
      <x:c r="P103">
        <x:f>COUNTA(J103:N103)</x:f>
      </x:c>
      <x:c r="Q103">
        <x:f>IF(A103="","",IF(P103&lt;&gt;5,1,0))</x:f>
      </x:c>
      <x:c r="R103">
        <x:f>IF(A103="","",IF(COUNTIF($A$5:$A$604,A103)&gt;1,1,0))</x:f>
      </x:c>
    </x:row>
    <x:row r="104">
      <x:c r="A104" s="8" t="n"/>
      <x:c r="B104" s="12" t="n"/>
      <x:c r="C104" s="8" t="n"/>
      <x:c r="D104" s="8" t="n"/>
      <x:c r="E104" s="8" t="n"/>
      <x:c r="F104" s="8" t="n"/>
      <x:c r="G104" s="8" t="n"/>
      <x:c r="H104" s="8" t="n"/>
      <x:c r="I104" s="8" t="n"/>
      <x:c r="J104" s="8" t="n"/>
      <x:c r="K104" s="8" t="n"/>
      <x:c r="L104" s="8" t="n"/>
      <x:c r="M104" s="8" t="n"/>
      <x:c r="N104" s="8" t="n"/>
      <x:c r="O104" s="8" t="n"/>
      <x:c r="P104">
        <x:f>COUNTA(J104:N104)</x:f>
      </x:c>
      <x:c r="Q104">
        <x:f>IF(A104="","",IF(P104&lt;&gt;5,1,0))</x:f>
      </x:c>
      <x:c r="R104">
        <x:f>IF(A104="","",IF(COUNTIF($A$5:$A$604,A104)&gt;1,1,0))</x:f>
      </x:c>
    </x:row>
    <x:row r="105">
      <x:c r="A105" s="8" t="n"/>
      <x:c r="B105" s="12" t="n"/>
      <x:c r="C105" s="8" t="n"/>
      <x:c r="D105" s="8" t="n"/>
      <x:c r="E105" s="8" t="n"/>
      <x:c r="F105" s="8" t="n"/>
      <x:c r="G105" s="8" t="n"/>
      <x:c r="H105" s="8" t="n"/>
      <x:c r="I105" s="8" t="n"/>
      <x:c r="J105" s="8" t="n"/>
      <x:c r="K105" s="8" t="n"/>
      <x:c r="L105" s="8" t="n"/>
      <x:c r="M105" s="8" t="n"/>
      <x:c r="N105" s="8" t="n"/>
      <x:c r="O105" s="8" t="n"/>
      <x:c r="P105">
        <x:f>COUNTA(J105:N105)</x:f>
      </x:c>
      <x:c r="Q105">
        <x:f>IF(A105="","",IF(P105&lt;&gt;5,1,0))</x:f>
      </x:c>
      <x:c r="R105">
        <x:f>IF(A105="","",IF(COUNTIF($A$5:$A$604,A105)&gt;1,1,0))</x:f>
      </x:c>
    </x:row>
    <x:row r="106">
      <x:c r="A106" s="8" t="n"/>
      <x:c r="B106" s="12" t="n"/>
      <x:c r="C106" s="8" t="n"/>
      <x:c r="D106" s="8" t="n"/>
      <x:c r="E106" s="8" t="n"/>
      <x:c r="F106" s="8" t="n"/>
      <x:c r="G106" s="8" t="n"/>
      <x:c r="H106" s="8" t="n"/>
      <x:c r="I106" s="8" t="n"/>
      <x:c r="J106" s="8" t="n"/>
      <x:c r="K106" s="8" t="n"/>
      <x:c r="L106" s="8" t="n"/>
      <x:c r="M106" s="8" t="n"/>
      <x:c r="N106" s="8" t="n"/>
      <x:c r="O106" s="8" t="n"/>
      <x:c r="P106">
        <x:f>COUNTA(J106:N106)</x:f>
      </x:c>
      <x:c r="Q106">
        <x:f>IF(A106="","",IF(P106&lt;&gt;5,1,0))</x:f>
      </x:c>
      <x:c r="R106">
        <x:f>IF(A106="","",IF(COUNTIF($A$5:$A$604,A106)&gt;1,1,0))</x:f>
      </x:c>
    </x:row>
    <x:row r="107">
      <x:c r="A107" s="8" t="n"/>
      <x:c r="B107" s="12" t="n"/>
      <x:c r="C107" s="8" t="n"/>
      <x:c r="D107" s="8" t="n"/>
      <x:c r="E107" s="8" t="n"/>
      <x:c r="F107" s="8" t="n"/>
      <x:c r="G107" s="8" t="n"/>
      <x:c r="H107" s="8" t="n"/>
      <x:c r="I107" s="8" t="n"/>
      <x:c r="J107" s="8" t="n"/>
      <x:c r="K107" s="8" t="n"/>
      <x:c r="L107" s="8" t="n"/>
      <x:c r="M107" s="8" t="n"/>
      <x:c r="N107" s="8" t="n"/>
      <x:c r="O107" s="8" t="n"/>
      <x:c r="P107">
        <x:f>COUNTA(J107:N107)</x:f>
      </x:c>
      <x:c r="Q107">
        <x:f>IF(A107="","",IF(P107&lt;&gt;5,1,0))</x:f>
      </x:c>
      <x:c r="R107">
        <x:f>IF(A107="","",IF(COUNTIF($A$5:$A$604,A107)&gt;1,1,0))</x:f>
      </x:c>
    </x:row>
    <x:row r="108">
      <x:c r="A108" s="8" t="n"/>
      <x:c r="B108" s="12" t="n"/>
      <x:c r="C108" s="8" t="n"/>
      <x:c r="D108" s="8" t="n"/>
      <x:c r="E108" s="8" t="n"/>
      <x:c r="F108" s="8" t="n"/>
      <x:c r="G108" s="8" t="n"/>
      <x:c r="H108" s="8" t="n"/>
      <x:c r="I108" s="8" t="n"/>
      <x:c r="J108" s="8" t="n"/>
      <x:c r="K108" s="8" t="n"/>
      <x:c r="L108" s="8" t="n"/>
      <x:c r="M108" s="8" t="n"/>
      <x:c r="N108" s="8" t="n"/>
      <x:c r="O108" s="8" t="n"/>
      <x:c r="P108">
        <x:f>COUNTA(J108:N108)</x:f>
      </x:c>
      <x:c r="Q108">
        <x:f>IF(A108="","",IF(P108&lt;&gt;5,1,0))</x:f>
      </x:c>
      <x:c r="R108">
        <x:f>IF(A108="","",IF(COUNTIF($A$5:$A$604,A108)&gt;1,1,0))</x:f>
      </x:c>
    </x:row>
    <x:row r="109">
      <x:c r="A109" s="8" t="n"/>
      <x:c r="B109" s="12" t="n"/>
      <x:c r="C109" s="8" t="n"/>
      <x:c r="D109" s="8" t="n"/>
      <x:c r="E109" s="8" t="n"/>
      <x:c r="F109" s="8" t="n"/>
      <x:c r="G109" s="8" t="n"/>
      <x:c r="H109" s="8" t="n"/>
      <x:c r="I109" s="8" t="n"/>
      <x:c r="J109" s="8" t="n"/>
      <x:c r="K109" s="8" t="n"/>
      <x:c r="L109" s="8" t="n"/>
      <x:c r="M109" s="8" t="n"/>
      <x:c r="N109" s="8" t="n"/>
      <x:c r="O109" s="8" t="n"/>
      <x:c r="P109">
        <x:f>COUNTA(J109:N109)</x:f>
      </x:c>
      <x:c r="Q109">
        <x:f>IF(A109="","",IF(P109&lt;&gt;5,1,0))</x:f>
      </x:c>
      <x:c r="R109">
        <x:f>IF(A109="","",IF(COUNTIF($A$5:$A$604,A109)&gt;1,1,0))</x:f>
      </x:c>
    </x:row>
    <x:row r="110">
      <x:c r="A110" s="8" t="n"/>
      <x:c r="B110" s="12" t="n"/>
      <x:c r="C110" s="8" t="n"/>
      <x:c r="D110" s="8" t="n"/>
      <x:c r="E110" s="8" t="n"/>
      <x:c r="F110" s="8" t="n"/>
      <x:c r="G110" s="8" t="n"/>
      <x:c r="H110" s="8" t="n"/>
      <x:c r="I110" s="8" t="n"/>
      <x:c r="J110" s="8" t="n"/>
      <x:c r="K110" s="8" t="n"/>
      <x:c r="L110" s="8" t="n"/>
      <x:c r="M110" s="8" t="n"/>
      <x:c r="N110" s="8" t="n"/>
      <x:c r="O110" s="8" t="n"/>
      <x:c r="P110">
        <x:f>COUNTA(J110:N110)</x:f>
      </x:c>
      <x:c r="Q110">
        <x:f>IF(A110="","",IF(P110&lt;&gt;5,1,0))</x:f>
      </x:c>
      <x:c r="R110">
        <x:f>IF(A110="","",IF(COUNTIF($A$5:$A$604,A110)&gt;1,1,0))</x:f>
      </x:c>
    </x:row>
    <x:row r="111">
      <x:c r="A111" s="8" t="n"/>
      <x:c r="B111" s="12" t="n"/>
      <x:c r="C111" s="8" t="n"/>
      <x:c r="D111" s="8" t="n"/>
      <x:c r="E111" s="8" t="n"/>
      <x:c r="F111" s="8" t="n"/>
      <x:c r="G111" s="8" t="n"/>
      <x:c r="H111" s="8" t="n"/>
      <x:c r="I111" s="8" t="n"/>
      <x:c r="J111" s="8" t="n"/>
      <x:c r="K111" s="8" t="n"/>
      <x:c r="L111" s="8" t="n"/>
      <x:c r="M111" s="8" t="n"/>
      <x:c r="N111" s="8" t="n"/>
      <x:c r="O111" s="8" t="n"/>
      <x:c r="P111">
        <x:f>COUNTA(J111:N111)</x:f>
      </x:c>
      <x:c r="Q111">
        <x:f>IF(A111="","",IF(P111&lt;&gt;5,1,0))</x:f>
      </x:c>
      <x:c r="R111">
        <x:f>IF(A111="","",IF(COUNTIF($A$5:$A$604,A111)&gt;1,1,0))</x:f>
      </x:c>
    </x:row>
    <x:row r="112">
      <x:c r="A112" s="8" t="n"/>
      <x:c r="B112" s="12" t="n"/>
      <x:c r="C112" s="8" t="n"/>
      <x:c r="D112" s="8" t="n"/>
      <x:c r="E112" s="8" t="n"/>
      <x:c r="F112" s="8" t="n"/>
      <x:c r="G112" s="8" t="n"/>
      <x:c r="H112" s="8" t="n"/>
      <x:c r="I112" s="8" t="n"/>
      <x:c r="J112" s="8" t="n"/>
      <x:c r="K112" s="8" t="n"/>
      <x:c r="L112" s="8" t="n"/>
      <x:c r="M112" s="8" t="n"/>
      <x:c r="N112" s="8" t="n"/>
      <x:c r="O112" s="8" t="n"/>
      <x:c r="P112">
        <x:f>COUNTA(J112:N112)</x:f>
      </x:c>
      <x:c r="Q112">
        <x:f>IF(A112="","",IF(P112&lt;&gt;5,1,0))</x:f>
      </x:c>
      <x:c r="R112">
        <x:f>IF(A112="","",IF(COUNTIF($A$5:$A$604,A112)&gt;1,1,0))</x:f>
      </x:c>
    </x:row>
    <x:row r="113">
      <x:c r="A113" s="8" t="n"/>
      <x:c r="B113" s="12" t="n"/>
      <x:c r="C113" s="8" t="n"/>
      <x:c r="D113" s="8" t="n"/>
      <x:c r="E113" s="8" t="n"/>
      <x:c r="F113" s="8" t="n"/>
      <x:c r="G113" s="8" t="n"/>
      <x:c r="H113" s="8" t="n"/>
      <x:c r="I113" s="8" t="n"/>
      <x:c r="J113" s="8" t="n"/>
      <x:c r="K113" s="8" t="n"/>
      <x:c r="L113" s="8" t="n"/>
      <x:c r="M113" s="8" t="n"/>
      <x:c r="N113" s="8" t="n"/>
      <x:c r="O113" s="8" t="n"/>
      <x:c r="P113">
        <x:f>COUNTA(J113:N113)</x:f>
      </x:c>
      <x:c r="Q113">
        <x:f>IF(A113="","",IF(P113&lt;&gt;5,1,0))</x:f>
      </x:c>
      <x:c r="R113">
        <x:f>IF(A113="","",IF(COUNTIF($A$5:$A$604,A113)&gt;1,1,0))</x:f>
      </x:c>
    </x:row>
    <x:row r="114">
      <x:c r="A114" s="8" t="n"/>
      <x:c r="B114" s="12" t="n"/>
      <x:c r="C114" s="8" t="n"/>
      <x:c r="D114" s="8" t="n"/>
      <x:c r="E114" s="8" t="n"/>
      <x:c r="F114" s="8" t="n"/>
      <x:c r="G114" s="8" t="n"/>
      <x:c r="H114" s="8" t="n"/>
      <x:c r="I114" s="8" t="n"/>
      <x:c r="J114" s="8" t="n"/>
      <x:c r="K114" s="8" t="n"/>
      <x:c r="L114" s="8" t="n"/>
      <x:c r="M114" s="8" t="n"/>
      <x:c r="N114" s="8" t="n"/>
      <x:c r="O114" s="8" t="n"/>
      <x:c r="P114">
        <x:f>COUNTA(J114:N114)</x:f>
      </x:c>
      <x:c r="Q114">
        <x:f>IF(A114="","",IF(P114&lt;&gt;5,1,0))</x:f>
      </x:c>
      <x:c r="R114">
        <x:f>IF(A114="","",IF(COUNTIF($A$5:$A$604,A114)&gt;1,1,0))</x:f>
      </x:c>
    </x:row>
    <x:row r="115">
      <x:c r="A115" s="8" t="n"/>
      <x:c r="B115" s="12" t="n"/>
      <x:c r="C115" s="8" t="n"/>
      <x:c r="D115" s="8" t="n"/>
      <x:c r="E115" s="8" t="n"/>
      <x:c r="F115" s="8" t="n"/>
      <x:c r="G115" s="8" t="n"/>
      <x:c r="H115" s="8" t="n"/>
      <x:c r="I115" s="8" t="n"/>
      <x:c r="J115" s="8" t="n"/>
      <x:c r="K115" s="8" t="n"/>
      <x:c r="L115" s="8" t="n"/>
      <x:c r="M115" s="8" t="n"/>
      <x:c r="N115" s="8" t="n"/>
      <x:c r="O115" s="8" t="n"/>
      <x:c r="P115">
        <x:f>COUNTA(J115:N115)</x:f>
      </x:c>
      <x:c r="Q115">
        <x:f>IF(A115="","",IF(P115&lt;&gt;5,1,0))</x:f>
      </x:c>
      <x:c r="R115">
        <x:f>IF(A115="","",IF(COUNTIF($A$5:$A$604,A115)&gt;1,1,0))</x:f>
      </x:c>
    </x:row>
    <x:row r="116">
      <x:c r="A116" s="8" t="n"/>
      <x:c r="B116" s="12" t="n"/>
      <x:c r="C116" s="8" t="n"/>
      <x:c r="D116" s="8" t="n"/>
      <x:c r="E116" s="8" t="n"/>
      <x:c r="F116" s="8" t="n"/>
      <x:c r="G116" s="8" t="n"/>
      <x:c r="H116" s="8" t="n"/>
      <x:c r="I116" s="8" t="n"/>
      <x:c r="J116" s="8" t="n"/>
      <x:c r="K116" s="8" t="n"/>
      <x:c r="L116" s="8" t="n"/>
      <x:c r="M116" s="8" t="n"/>
      <x:c r="N116" s="8" t="n"/>
      <x:c r="O116" s="8" t="n"/>
      <x:c r="P116">
        <x:f>COUNTA(J116:N116)</x:f>
      </x:c>
      <x:c r="Q116">
        <x:f>IF(A116="","",IF(P116&lt;&gt;5,1,0))</x:f>
      </x:c>
      <x:c r="R116">
        <x:f>IF(A116="","",IF(COUNTIF($A$5:$A$604,A116)&gt;1,1,0))</x:f>
      </x:c>
    </x:row>
    <x:row r="117">
      <x:c r="A117" s="8" t="n"/>
      <x:c r="B117" s="12" t="n"/>
      <x:c r="C117" s="8" t="n"/>
      <x:c r="D117" s="8" t="n"/>
      <x:c r="E117" s="8" t="n"/>
      <x:c r="F117" s="8" t="n"/>
      <x:c r="G117" s="8" t="n"/>
      <x:c r="H117" s="8" t="n"/>
      <x:c r="I117" s="8" t="n"/>
      <x:c r="J117" s="8" t="n"/>
      <x:c r="K117" s="8" t="n"/>
      <x:c r="L117" s="8" t="n"/>
      <x:c r="M117" s="8" t="n"/>
      <x:c r="N117" s="8" t="n"/>
      <x:c r="O117" s="8" t="n"/>
      <x:c r="P117">
        <x:f>COUNTA(J117:N117)</x:f>
      </x:c>
      <x:c r="Q117">
        <x:f>IF(A117="","",IF(P117&lt;&gt;5,1,0))</x:f>
      </x:c>
      <x:c r="R117">
        <x:f>IF(A117="","",IF(COUNTIF($A$5:$A$604,A117)&gt;1,1,0))</x:f>
      </x:c>
    </x:row>
    <x:row r="118">
      <x:c r="A118" s="8" t="n"/>
      <x:c r="B118" s="12" t="n"/>
      <x:c r="C118" s="8" t="n"/>
      <x:c r="D118" s="8" t="n"/>
      <x:c r="E118" s="8" t="n"/>
      <x:c r="F118" s="8" t="n"/>
      <x:c r="G118" s="8" t="n"/>
      <x:c r="H118" s="8" t="n"/>
      <x:c r="I118" s="8" t="n"/>
      <x:c r="J118" s="8" t="n"/>
      <x:c r="K118" s="8" t="n"/>
      <x:c r="L118" s="8" t="n"/>
      <x:c r="M118" s="8" t="n"/>
      <x:c r="N118" s="8" t="n"/>
      <x:c r="O118" s="8" t="n"/>
      <x:c r="P118">
        <x:f>COUNTA(J118:N118)</x:f>
      </x:c>
      <x:c r="Q118">
        <x:f>IF(A118="","",IF(P118&lt;&gt;5,1,0))</x:f>
      </x:c>
      <x:c r="R118">
        <x:f>IF(A118="","",IF(COUNTIF($A$5:$A$604,A118)&gt;1,1,0))</x:f>
      </x:c>
    </x:row>
    <x:row r="119">
      <x:c r="A119" s="8" t="n"/>
      <x:c r="B119" s="12" t="n"/>
      <x:c r="C119" s="8" t="n"/>
      <x:c r="D119" s="8" t="n"/>
      <x:c r="E119" s="8" t="n"/>
      <x:c r="F119" s="8" t="n"/>
      <x:c r="G119" s="8" t="n"/>
      <x:c r="H119" s="8" t="n"/>
      <x:c r="I119" s="8" t="n"/>
      <x:c r="J119" s="8" t="n"/>
      <x:c r="K119" s="8" t="n"/>
      <x:c r="L119" s="8" t="n"/>
      <x:c r="M119" s="8" t="n"/>
      <x:c r="N119" s="8" t="n"/>
      <x:c r="O119" s="8" t="n"/>
      <x:c r="P119">
        <x:f>COUNTA(J119:N119)</x:f>
      </x:c>
      <x:c r="Q119">
        <x:f>IF(A119="","",IF(P119&lt;&gt;5,1,0))</x:f>
      </x:c>
      <x:c r="R119">
        <x:f>IF(A119="","",IF(COUNTIF($A$5:$A$604,A119)&gt;1,1,0))</x:f>
      </x:c>
    </x:row>
    <x:row r="120">
      <x:c r="A120" s="8" t="n"/>
      <x:c r="B120" s="12" t="n"/>
      <x:c r="C120" s="8" t="n"/>
      <x:c r="D120" s="8" t="n"/>
      <x:c r="E120" s="8" t="n"/>
      <x:c r="F120" s="8" t="n"/>
      <x:c r="G120" s="8" t="n"/>
      <x:c r="H120" s="8" t="n"/>
      <x:c r="I120" s="8" t="n"/>
      <x:c r="J120" s="8" t="n"/>
      <x:c r="K120" s="8" t="n"/>
      <x:c r="L120" s="8" t="n"/>
      <x:c r="M120" s="8" t="n"/>
      <x:c r="N120" s="8" t="n"/>
      <x:c r="O120" s="8" t="n"/>
      <x:c r="P120">
        <x:f>COUNTA(J120:N120)</x:f>
      </x:c>
      <x:c r="Q120">
        <x:f>IF(A120="","",IF(P120&lt;&gt;5,1,0))</x:f>
      </x:c>
      <x:c r="R120">
        <x:f>IF(A120="","",IF(COUNTIF($A$5:$A$604,A120)&gt;1,1,0))</x:f>
      </x:c>
    </x:row>
    <x:row r="121">
      <x:c r="A121" s="8" t="n"/>
      <x:c r="B121" s="12" t="n"/>
      <x:c r="C121" s="8" t="n"/>
      <x:c r="D121" s="8" t="n"/>
      <x:c r="E121" s="8" t="n"/>
      <x:c r="F121" s="8" t="n"/>
      <x:c r="G121" s="8" t="n"/>
      <x:c r="H121" s="8" t="n"/>
      <x:c r="I121" s="8" t="n"/>
      <x:c r="J121" s="8" t="n"/>
      <x:c r="K121" s="8" t="n"/>
      <x:c r="L121" s="8" t="n"/>
      <x:c r="M121" s="8" t="n"/>
      <x:c r="N121" s="8" t="n"/>
      <x:c r="O121" s="8" t="n"/>
      <x:c r="P121">
        <x:f>COUNTA(J121:N121)</x:f>
      </x:c>
      <x:c r="Q121">
        <x:f>IF(A121="","",IF(P121&lt;&gt;5,1,0))</x:f>
      </x:c>
      <x:c r="R121">
        <x:f>IF(A121="","",IF(COUNTIF($A$5:$A$604,A121)&gt;1,1,0))</x:f>
      </x:c>
    </x:row>
    <x:row r="122">
      <x:c r="A122" s="8" t="n"/>
      <x:c r="B122" s="12" t="n"/>
      <x:c r="C122" s="8" t="n"/>
      <x:c r="D122" s="8" t="n"/>
      <x:c r="E122" s="8" t="n"/>
      <x:c r="F122" s="8" t="n"/>
      <x:c r="G122" s="8" t="n"/>
      <x:c r="H122" s="8" t="n"/>
      <x:c r="I122" s="8" t="n"/>
      <x:c r="J122" s="8" t="n"/>
      <x:c r="K122" s="8" t="n"/>
      <x:c r="L122" s="8" t="n"/>
      <x:c r="M122" s="8" t="n"/>
      <x:c r="N122" s="8" t="n"/>
      <x:c r="O122" s="8" t="n"/>
      <x:c r="P122">
        <x:f>COUNTA(J122:N122)</x:f>
      </x:c>
      <x:c r="Q122">
        <x:f>IF(A122="","",IF(P122&lt;&gt;5,1,0))</x:f>
      </x:c>
      <x:c r="R122">
        <x:f>IF(A122="","",IF(COUNTIF($A$5:$A$604,A122)&gt;1,1,0))</x:f>
      </x:c>
    </x:row>
    <x:row r="123">
      <x:c r="A123" s="8" t="n"/>
      <x:c r="B123" s="12" t="n"/>
      <x:c r="C123" s="8" t="n"/>
      <x:c r="D123" s="8" t="n"/>
      <x:c r="E123" s="8" t="n"/>
      <x:c r="F123" s="8" t="n"/>
      <x:c r="G123" s="8" t="n"/>
      <x:c r="H123" s="8" t="n"/>
      <x:c r="I123" s="8" t="n"/>
      <x:c r="J123" s="8" t="n"/>
      <x:c r="K123" s="8" t="n"/>
      <x:c r="L123" s="8" t="n"/>
      <x:c r="M123" s="8" t="n"/>
      <x:c r="N123" s="8" t="n"/>
      <x:c r="O123" s="8" t="n"/>
      <x:c r="P123">
        <x:f>COUNTA(J123:N123)</x:f>
      </x:c>
      <x:c r="Q123">
        <x:f>IF(A123="","",IF(P123&lt;&gt;5,1,0))</x:f>
      </x:c>
      <x:c r="R123">
        <x:f>IF(A123="","",IF(COUNTIF($A$5:$A$604,A123)&gt;1,1,0))</x:f>
      </x:c>
    </x:row>
    <x:row r="124">
      <x:c r="A124" s="8" t="n"/>
      <x:c r="B124" s="12" t="n"/>
      <x:c r="C124" s="8" t="n"/>
      <x:c r="D124" s="8" t="n"/>
      <x:c r="E124" s="8" t="n"/>
      <x:c r="F124" s="8" t="n"/>
      <x:c r="G124" s="8" t="n"/>
      <x:c r="H124" s="8" t="n"/>
      <x:c r="I124" s="8" t="n"/>
      <x:c r="J124" s="8" t="n"/>
      <x:c r="K124" s="8" t="n"/>
      <x:c r="L124" s="8" t="n"/>
      <x:c r="M124" s="8" t="n"/>
      <x:c r="N124" s="8" t="n"/>
      <x:c r="O124" s="8" t="n"/>
      <x:c r="P124">
        <x:f>COUNTA(J124:N124)</x:f>
      </x:c>
      <x:c r="Q124">
        <x:f>IF(A124="","",IF(P124&lt;&gt;5,1,0))</x:f>
      </x:c>
      <x:c r="R124">
        <x:f>IF(A124="","",IF(COUNTIF($A$5:$A$604,A124)&gt;1,1,0))</x:f>
      </x:c>
    </x:row>
    <x:row r="125">
      <x:c r="A125" s="8" t="n"/>
      <x:c r="B125" s="12" t="n"/>
      <x:c r="C125" s="8" t="n"/>
      <x:c r="D125" s="8" t="n"/>
      <x:c r="E125" s="8" t="n"/>
      <x:c r="F125" s="8" t="n"/>
      <x:c r="G125" s="8" t="n"/>
      <x:c r="H125" s="8" t="n"/>
      <x:c r="I125" s="8" t="n"/>
      <x:c r="J125" s="8" t="n"/>
      <x:c r="K125" s="8" t="n"/>
      <x:c r="L125" s="8" t="n"/>
      <x:c r="M125" s="8" t="n"/>
      <x:c r="N125" s="8" t="n"/>
      <x:c r="O125" s="8" t="n"/>
      <x:c r="P125">
        <x:f>COUNTA(J125:N125)</x:f>
      </x:c>
      <x:c r="Q125">
        <x:f>IF(A125="","",IF(P125&lt;&gt;5,1,0))</x:f>
      </x:c>
      <x:c r="R125">
        <x:f>IF(A125="","",IF(COUNTIF($A$5:$A$604,A125)&gt;1,1,0))</x:f>
      </x:c>
    </x:row>
    <x:row r="126">
      <x:c r="A126" s="8" t="n"/>
      <x:c r="B126" s="12" t="n"/>
      <x:c r="C126" s="8" t="n"/>
      <x:c r="D126" s="8" t="n"/>
      <x:c r="E126" s="8" t="n"/>
      <x:c r="F126" s="8" t="n"/>
      <x:c r="G126" s="8" t="n"/>
      <x:c r="H126" s="8" t="n"/>
      <x:c r="I126" s="8" t="n"/>
      <x:c r="J126" s="8" t="n"/>
      <x:c r="K126" s="8" t="n"/>
      <x:c r="L126" s="8" t="n"/>
      <x:c r="M126" s="8" t="n"/>
      <x:c r="N126" s="8" t="n"/>
      <x:c r="O126" s="8" t="n"/>
      <x:c r="P126">
        <x:f>COUNTA(J126:N126)</x:f>
      </x:c>
      <x:c r="Q126">
        <x:f>IF(A126="","",IF(P126&lt;&gt;5,1,0))</x:f>
      </x:c>
      <x:c r="R126">
        <x:f>IF(A126="","",IF(COUNTIF($A$5:$A$604,A126)&gt;1,1,0))</x:f>
      </x:c>
    </x:row>
    <x:row r="127">
      <x:c r="A127" s="8" t="n"/>
      <x:c r="B127" s="12" t="n"/>
      <x:c r="C127" s="8" t="n"/>
      <x:c r="D127" s="8" t="n"/>
      <x:c r="E127" s="8" t="n"/>
      <x:c r="F127" s="8" t="n"/>
      <x:c r="G127" s="8" t="n"/>
      <x:c r="H127" s="8" t="n"/>
      <x:c r="I127" s="8" t="n"/>
      <x:c r="J127" s="8" t="n"/>
      <x:c r="K127" s="8" t="n"/>
      <x:c r="L127" s="8" t="n"/>
      <x:c r="M127" s="8" t="n"/>
      <x:c r="N127" s="8" t="n"/>
      <x:c r="O127" s="8" t="n"/>
      <x:c r="P127">
        <x:f>COUNTA(J127:N127)</x:f>
      </x:c>
      <x:c r="Q127">
        <x:f>IF(A127="","",IF(P127&lt;&gt;5,1,0))</x:f>
      </x:c>
      <x:c r="R127">
        <x:f>IF(A127="","",IF(COUNTIF($A$5:$A$604,A127)&gt;1,1,0))</x:f>
      </x:c>
    </x:row>
    <x:row r="128">
      <x:c r="A128" s="8" t="n"/>
      <x:c r="B128" s="12" t="n"/>
      <x:c r="C128" s="8" t="n"/>
      <x:c r="D128" s="8" t="n"/>
      <x:c r="E128" s="8" t="n"/>
      <x:c r="F128" s="8" t="n"/>
      <x:c r="G128" s="8" t="n"/>
      <x:c r="H128" s="8" t="n"/>
      <x:c r="I128" s="8" t="n"/>
      <x:c r="J128" s="8" t="n"/>
      <x:c r="K128" s="8" t="n"/>
      <x:c r="L128" s="8" t="n"/>
      <x:c r="M128" s="8" t="n"/>
      <x:c r="N128" s="8" t="n"/>
      <x:c r="O128" s="8" t="n"/>
      <x:c r="P128">
        <x:f>COUNTA(J128:N128)</x:f>
      </x:c>
      <x:c r="Q128">
        <x:f>IF(A128="","",IF(P128&lt;&gt;5,1,0))</x:f>
      </x:c>
      <x:c r="R128">
        <x:f>IF(A128="","",IF(COUNTIF($A$5:$A$604,A128)&gt;1,1,0))</x:f>
      </x:c>
    </x:row>
    <x:row r="129">
      <x:c r="A129" s="8" t="n"/>
      <x:c r="B129" s="12" t="n"/>
      <x:c r="C129" s="8" t="n"/>
      <x:c r="D129" s="8" t="n"/>
      <x:c r="E129" s="8" t="n"/>
      <x:c r="F129" s="8" t="n"/>
      <x:c r="G129" s="8" t="n"/>
      <x:c r="H129" s="8" t="n"/>
      <x:c r="I129" s="8" t="n"/>
      <x:c r="J129" s="8" t="n"/>
      <x:c r="K129" s="8" t="n"/>
      <x:c r="L129" s="8" t="n"/>
      <x:c r="M129" s="8" t="n"/>
      <x:c r="N129" s="8" t="n"/>
      <x:c r="O129" s="8" t="n"/>
      <x:c r="P129">
        <x:f>COUNTA(J129:N129)</x:f>
      </x:c>
      <x:c r="Q129">
        <x:f>IF(A129="","",IF(P129&lt;&gt;5,1,0))</x:f>
      </x:c>
      <x:c r="R129">
        <x:f>IF(A129="","",IF(COUNTIF($A$5:$A$604,A129)&gt;1,1,0))</x:f>
      </x:c>
    </x:row>
    <x:row r="130">
      <x:c r="A130" s="8" t="n"/>
      <x:c r="B130" s="12" t="n"/>
      <x:c r="C130" s="8" t="n"/>
      <x:c r="D130" s="8" t="n"/>
      <x:c r="E130" s="8" t="n"/>
      <x:c r="F130" s="8" t="n"/>
      <x:c r="G130" s="8" t="n"/>
      <x:c r="H130" s="8" t="n"/>
      <x:c r="I130" s="8" t="n"/>
      <x:c r="J130" s="8" t="n"/>
      <x:c r="K130" s="8" t="n"/>
      <x:c r="L130" s="8" t="n"/>
      <x:c r="M130" s="8" t="n"/>
      <x:c r="N130" s="8" t="n"/>
      <x:c r="O130" s="8" t="n"/>
      <x:c r="P130">
        <x:f>COUNTA(J130:N130)</x:f>
      </x:c>
      <x:c r="Q130">
        <x:f>IF(A130="","",IF(P130&lt;&gt;5,1,0))</x:f>
      </x:c>
      <x:c r="R130">
        <x:f>IF(A130="","",IF(COUNTIF($A$5:$A$604,A130)&gt;1,1,0))</x:f>
      </x:c>
    </x:row>
    <x:row r="131">
      <x:c r="A131" s="8" t="n"/>
      <x:c r="B131" s="12" t="n"/>
      <x:c r="C131" s="8" t="n"/>
      <x:c r="D131" s="8" t="n"/>
      <x:c r="E131" s="8" t="n"/>
      <x:c r="F131" s="8" t="n"/>
      <x:c r="G131" s="8" t="n"/>
      <x:c r="H131" s="8" t="n"/>
      <x:c r="I131" s="8" t="n"/>
      <x:c r="J131" s="8" t="n"/>
      <x:c r="K131" s="8" t="n"/>
      <x:c r="L131" s="8" t="n"/>
      <x:c r="M131" s="8" t="n"/>
      <x:c r="N131" s="8" t="n"/>
      <x:c r="O131" s="8" t="n"/>
      <x:c r="P131">
        <x:f>COUNTA(J131:N131)</x:f>
      </x:c>
      <x:c r="Q131">
        <x:f>IF(A131="","",IF(P131&lt;&gt;5,1,0))</x:f>
      </x:c>
      <x:c r="R131">
        <x:f>IF(A131="","",IF(COUNTIF($A$5:$A$604,A131)&gt;1,1,0))</x:f>
      </x:c>
    </x:row>
    <x:row r="132">
      <x:c r="A132" s="8" t="n"/>
      <x:c r="B132" s="12" t="n"/>
      <x:c r="C132" s="8" t="n"/>
      <x:c r="D132" s="8" t="n"/>
      <x:c r="E132" s="8" t="n"/>
      <x:c r="F132" s="8" t="n"/>
      <x:c r="G132" s="8" t="n"/>
      <x:c r="H132" s="8" t="n"/>
      <x:c r="I132" s="8" t="n"/>
      <x:c r="J132" s="8" t="n"/>
      <x:c r="K132" s="8" t="n"/>
      <x:c r="L132" s="8" t="n"/>
      <x:c r="M132" s="8" t="n"/>
      <x:c r="N132" s="8" t="n"/>
      <x:c r="O132" s="8" t="n"/>
      <x:c r="P132">
        <x:f>COUNTA(J132:N132)</x:f>
      </x:c>
      <x:c r="Q132">
        <x:f>IF(A132="","",IF(P132&lt;&gt;5,1,0))</x:f>
      </x:c>
      <x:c r="R132">
        <x:f>IF(A132="","",IF(COUNTIF($A$5:$A$604,A132)&gt;1,1,0))</x:f>
      </x:c>
    </x:row>
    <x:row r="133">
      <x:c r="A133" s="8" t="n"/>
      <x:c r="B133" s="12" t="n"/>
      <x:c r="C133" s="8" t="n"/>
      <x:c r="D133" s="8" t="n"/>
      <x:c r="E133" s="8" t="n"/>
      <x:c r="F133" s="8" t="n"/>
      <x:c r="G133" s="8" t="n"/>
      <x:c r="H133" s="8" t="n"/>
      <x:c r="I133" s="8" t="n"/>
      <x:c r="J133" s="8" t="n"/>
      <x:c r="K133" s="8" t="n"/>
      <x:c r="L133" s="8" t="n"/>
      <x:c r="M133" s="8" t="n"/>
      <x:c r="N133" s="8" t="n"/>
      <x:c r="O133" s="8" t="n"/>
      <x:c r="P133">
        <x:f>COUNTA(J133:N133)</x:f>
      </x:c>
      <x:c r="Q133">
        <x:f>IF(A133="","",IF(P133&lt;&gt;5,1,0))</x:f>
      </x:c>
      <x:c r="R133">
        <x:f>IF(A133="","",IF(COUNTIF($A$5:$A$604,A133)&gt;1,1,0))</x:f>
      </x:c>
    </x:row>
    <x:row r="134">
      <x:c r="A134" s="8" t="n"/>
      <x:c r="B134" s="12" t="n"/>
      <x:c r="C134" s="8" t="n"/>
      <x:c r="D134" s="8" t="n"/>
      <x:c r="E134" s="8" t="n"/>
      <x:c r="F134" s="8" t="n"/>
      <x:c r="G134" s="8" t="n"/>
      <x:c r="H134" s="8" t="n"/>
      <x:c r="I134" s="8" t="n"/>
      <x:c r="J134" s="8" t="n"/>
      <x:c r="K134" s="8" t="n"/>
      <x:c r="L134" s="8" t="n"/>
      <x:c r="M134" s="8" t="n"/>
      <x:c r="N134" s="8" t="n"/>
      <x:c r="O134" s="8" t="n"/>
      <x:c r="P134">
        <x:f>COUNTA(J134:N134)</x:f>
      </x:c>
      <x:c r="Q134">
        <x:f>IF(A134="","",IF(P134&lt;&gt;5,1,0))</x:f>
      </x:c>
      <x:c r="R134">
        <x:f>IF(A134="","",IF(COUNTIF($A$5:$A$604,A134)&gt;1,1,0))</x:f>
      </x:c>
    </x:row>
    <x:row r="135">
      <x:c r="A135" s="8" t="n"/>
      <x:c r="B135" s="12" t="n"/>
      <x:c r="C135" s="8" t="n"/>
      <x:c r="D135" s="8" t="n"/>
      <x:c r="E135" s="8" t="n"/>
      <x:c r="F135" s="8" t="n"/>
      <x:c r="G135" s="8" t="n"/>
      <x:c r="H135" s="8" t="n"/>
      <x:c r="I135" s="8" t="n"/>
      <x:c r="J135" s="8" t="n"/>
      <x:c r="K135" s="8" t="n"/>
      <x:c r="L135" s="8" t="n"/>
      <x:c r="M135" s="8" t="n"/>
      <x:c r="N135" s="8" t="n"/>
      <x:c r="O135" s="8" t="n"/>
      <x:c r="P135">
        <x:f>COUNTA(J135:N135)</x:f>
      </x:c>
      <x:c r="Q135">
        <x:f>IF(A135="","",IF(P135&lt;&gt;5,1,0))</x:f>
      </x:c>
      <x:c r="R135">
        <x:f>IF(A135="","",IF(COUNTIF($A$5:$A$604,A135)&gt;1,1,0))</x:f>
      </x:c>
    </x:row>
    <x:row r="136">
      <x:c r="A136" s="8" t="n"/>
      <x:c r="B136" s="12" t="n"/>
      <x:c r="C136" s="8" t="n"/>
      <x:c r="D136" s="8" t="n"/>
      <x:c r="E136" s="8" t="n"/>
      <x:c r="F136" s="8" t="n"/>
      <x:c r="G136" s="8" t="n"/>
      <x:c r="H136" s="8" t="n"/>
      <x:c r="I136" s="8" t="n"/>
      <x:c r="J136" s="8" t="n"/>
      <x:c r="K136" s="8" t="n"/>
      <x:c r="L136" s="8" t="n"/>
      <x:c r="M136" s="8" t="n"/>
      <x:c r="N136" s="8" t="n"/>
      <x:c r="O136" s="8" t="n"/>
      <x:c r="P136">
        <x:f>COUNTA(J136:N136)</x:f>
      </x:c>
      <x:c r="Q136">
        <x:f>IF(A136="","",IF(P136&lt;&gt;5,1,0))</x:f>
      </x:c>
      <x:c r="R136">
        <x:f>IF(A136="","",IF(COUNTIF($A$5:$A$604,A136)&gt;1,1,0))</x:f>
      </x:c>
    </x:row>
    <x:row r="137">
      <x:c r="A137" s="8" t="n"/>
      <x:c r="B137" s="12" t="n"/>
      <x:c r="C137" s="8" t="n"/>
      <x:c r="D137" s="8" t="n"/>
      <x:c r="E137" s="8" t="n"/>
      <x:c r="F137" s="8" t="n"/>
      <x:c r="G137" s="8" t="n"/>
      <x:c r="H137" s="8" t="n"/>
      <x:c r="I137" s="8" t="n"/>
      <x:c r="J137" s="8" t="n"/>
      <x:c r="K137" s="8" t="n"/>
      <x:c r="L137" s="8" t="n"/>
      <x:c r="M137" s="8" t="n"/>
      <x:c r="N137" s="8" t="n"/>
      <x:c r="O137" s="8" t="n"/>
      <x:c r="P137">
        <x:f>COUNTA(J137:N137)</x:f>
      </x:c>
      <x:c r="Q137">
        <x:f>IF(A137="","",IF(P137&lt;&gt;5,1,0))</x:f>
      </x:c>
      <x:c r="R137">
        <x:f>IF(A137="","",IF(COUNTIF($A$5:$A$604,A137)&gt;1,1,0))</x:f>
      </x:c>
    </x:row>
    <x:row r="138">
      <x:c r="A138" s="8" t="n"/>
      <x:c r="B138" s="12" t="n"/>
      <x:c r="C138" s="8" t="n"/>
      <x:c r="D138" s="8" t="n"/>
      <x:c r="E138" s="8" t="n"/>
      <x:c r="F138" s="8" t="n"/>
      <x:c r="G138" s="8" t="n"/>
      <x:c r="H138" s="8" t="n"/>
      <x:c r="I138" s="8" t="n"/>
      <x:c r="J138" s="8" t="n"/>
      <x:c r="K138" s="8" t="n"/>
      <x:c r="L138" s="8" t="n"/>
      <x:c r="M138" s="8" t="n"/>
      <x:c r="N138" s="8" t="n"/>
      <x:c r="O138" s="8" t="n"/>
      <x:c r="P138">
        <x:f>COUNTA(J138:N138)</x:f>
      </x:c>
      <x:c r="Q138">
        <x:f>IF(A138="","",IF(P138&lt;&gt;5,1,0))</x:f>
      </x:c>
      <x:c r="R138">
        <x:f>IF(A138="","",IF(COUNTIF($A$5:$A$604,A138)&gt;1,1,0))</x:f>
      </x:c>
    </x:row>
    <x:row r="139">
      <x:c r="A139" s="8" t="n"/>
      <x:c r="B139" s="12" t="n"/>
      <x:c r="C139" s="8" t="n"/>
      <x:c r="D139" s="8" t="n"/>
      <x:c r="E139" s="8" t="n"/>
      <x:c r="F139" s="8" t="n"/>
      <x:c r="G139" s="8" t="n"/>
      <x:c r="H139" s="8" t="n"/>
      <x:c r="I139" s="8" t="n"/>
      <x:c r="J139" s="8" t="n"/>
      <x:c r="K139" s="8" t="n"/>
      <x:c r="L139" s="8" t="n"/>
      <x:c r="M139" s="8" t="n"/>
      <x:c r="N139" s="8" t="n"/>
      <x:c r="O139" s="8" t="n"/>
      <x:c r="P139">
        <x:f>COUNTA(J139:N139)</x:f>
      </x:c>
      <x:c r="Q139">
        <x:f>IF(A139="","",IF(P139&lt;&gt;5,1,0))</x:f>
      </x:c>
      <x:c r="R139">
        <x:f>IF(A139="","",IF(COUNTIF($A$5:$A$604,A139)&gt;1,1,0))</x:f>
      </x:c>
    </x:row>
    <x:row r="140">
      <x:c r="A140" s="8" t="n"/>
      <x:c r="B140" s="12" t="n"/>
      <x:c r="C140" s="8" t="n"/>
      <x:c r="D140" s="8" t="n"/>
      <x:c r="E140" s="8" t="n"/>
      <x:c r="F140" s="8" t="n"/>
      <x:c r="G140" s="8" t="n"/>
      <x:c r="H140" s="8" t="n"/>
      <x:c r="I140" s="8" t="n"/>
      <x:c r="J140" s="8" t="n"/>
      <x:c r="K140" s="8" t="n"/>
      <x:c r="L140" s="8" t="n"/>
      <x:c r="M140" s="8" t="n"/>
      <x:c r="N140" s="8" t="n"/>
      <x:c r="O140" s="8" t="n"/>
      <x:c r="P140">
        <x:f>COUNTA(J140:N140)</x:f>
      </x:c>
      <x:c r="Q140">
        <x:f>IF(A140="","",IF(P140&lt;&gt;5,1,0))</x:f>
      </x:c>
      <x:c r="R140">
        <x:f>IF(A140="","",IF(COUNTIF($A$5:$A$604,A140)&gt;1,1,0))</x:f>
      </x:c>
    </x:row>
    <x:row r="141">
      <x:c r="A141" s="8" t="n"/>
      <x:c r="B141" s="12" t="n"/>
      <x:c r="C141" s="8" t="n"/>
      <x:c r="D141" s="8" t="n"/>
      <x:c r="E141" s="8" t="n"/>
      <x:c r="F141" s="8" t="n"/>
      <x:c r="G141" s="8" t="n"/>
      <x:c r="H141" s="8" t="n"/>
      <x:c r="I141" s="8" t="n"/>
      <x:c r="J141" s="8" t="n"/>
      <x:c r="K141" s="8" t="n"/>
      <x:c r="L141" s="8" t="n"/>
      <x:c r="M141" s="8" t="n"/>
      <x:c r="N141" s="8" t="n"/>
      <x:c r="O141" s="8" t="n"/>
      <x:c r="P141">
        <x:f>COUNTA(J141:N141)</x:f>
      </x:c>
      <x:c r="Q141">
        <x:f>IF(A141="","",IF(P141&lt;&gt;5,1,0))</x:f>
      </x:c>
      <x:c r="R141">
        <x:f>IF(A141="","",IF(COUNTIF($A$5:$A$604,A141)&gt;1,1,0))</x:f>
      </x:c>
    </x:row>
    <x:row r="142">
      <x:c r="A142" s="8" t="n"/>
      <x:c r="B142" s="12" t="n"/>
      <x:c r="C142" s="8" t="n"/>
      <x:c r="D142" s="8" t="n"/>
      <x:c r="E142" s="8" t="n"/>
      <x:c r="F142" s="8" t="n"/>
      <x:c r="G142" s="8" t="n"/>
      <x:c r="H142" s="8" t="n"/>
      <x:c r="I142" s="8" t="n"/>
      <x:c r="J142" s="8" t="n"/>
      <x:c r="K142" s="8" t="n"/>
      <x:c r="L142" s="8" t="n"/>
      <x:c r="M142" s="8" t="n"/>
      <x:c r="N142" s="8" t="n"/>
      <x:c r="O142" s="8" t="n"/>
      <x:c r="P142">
        <x:f>COUNTA(J142:N142)</x:f>
      </x:c>
      <x:c r="Q142">
        <x:f>IF(A142="","",IF(P142&lt;&gt;5,1,0))</x:f>
      </x:c>
      <x:c r="R142">
        <x:f>IF(A142="","",IF(COUNTIF($A$5:$A$604,A142)&gt;1,1,0))</x:f>
      </x:c>
    </x:row>
    <x:row r="143">
      <x:c r="A143" s="8" t="n"/>
      <x:c r="B143" s="12" t="n"/>
      <x:c r="C143" s="8" t="n"/>
      <x:c r="D143" s="8" t="n"/>
      <x:c r="E143" s="8" t="n"/>
      <x:c r="F143" s="8" t="n"/>
      <x:c r="G143" s="8" t="n"/>
      <x:c r="H143" s="8" t="n"/>
      <x:c r="I143" s="8" t="n"/>
      <x:c r="J143" s="8" t="n"/>
      <x:c r="K143" s="8" t="n"/>
      <x:c r="L143" s="8" t="n"/>
      <x:c r="M143" s="8" t="n"/>
      <x:c r="N143" s="8" t="n"/>
      <x:c r="O143" s="8" t="n"/>
      <x:c r="P143">
        <x:f>COUNTA(J143:N143)</x:f>
      </x:c>
      <x:c r="Q143">
        <x:f>IF(A143="","",IF(P143&lt;&gt;5,1,0))</x:f>
      </x:c>
      <x:c r="R143">
        <x:f>IF(A143="","",IF(COUNTIF($A$5:$A$604,A143)&gt;1,1,0))</x:f>
      </x:c>
    </x:row>
    <x:row r="144">
      <x:c r="A144" s="8" t="n"/>
      <x:c r="B144" s="12" t="n"/>
      <x:c r="C144" s="8" t="n"/>
      <x:c r="D144" s="8" t="n"/>
      <x:c r="E144" s="8" t="n"/>
      <x:c r="F144" s="8" t="n"/>
      <x:c r="G144" s="8" t="n"/>
      <x:c r="H144" s="8" t="n"/>
      <x:c r="I144" s="8" t="n"/>
      <x:c r="J144" s="8" t="n"/>
      <x:c r="K144" s="8" t="n"/>
      <x:c r="L144" s="8" t="n"/>
      <x:c r="M144" s="8" t="n"/>
      <x:c r="N144" s="8" t="n"/>
      <x:c r="O144" s="8" t="n"/>
      <x:c r="P144">
        <x:f>COUNTA(J144:N144)</x:f>
      </x:c>
      <x:c r="Q144">
        <x:f>IF(A144="","",IF(P144&lt;&gt;5,1,0))</x:f>
      </x:c>
      <x:c r="R144">
        <x:f>IF(A144="","",IF(COUNTIF($A$5:$A$604,A144)&gt;1,1,0))</x:f>
      </x:c>
    </x:row>
    <x:row r="145">
      <x:c r="A145" s="8" t="n"/>
      <x:c r="B145" s="12" t="n"/>
      <x:c r="C145" s="8" t="n"/>
      <x:c r="D145" s="8" t="n"/>
      <x:c r="E145" s="8" t="n"/>
      <x:c r="F145" s="8" t="n"/>
      <x:c r="G145" s="8" t="n"/>
      <x:c r="H145" s="8" t="n"/>
      <x:c r="I145" s="8" t="n"/>
      <x:c r="J145" s="8" t="n"/>
      <x:c r="K145" s="8" t="n"/>
      <x:c r="L145" s="8" t="n"/>
      <x:c r="M145" s="8" t="n"/>
      <x:c r="N145" s="8" t="n"/>
      <x:c r="O145" s="8" t="n"/>
      <x:c r="P145">
        <x:f>COUNTA(J145:N145)</x:f>
      </x:c>
      <x:c r="Q145">
        <x:f>IF(A145="","",IF(P145&lt;&gt;5,1,0))</x:f>
      </x:c>
      <x:c r="R145">
        <x:f>IF(A145="","",IF(COUNTIF($A$5:$A$604,A145)&gt;1,1,0))</x:f>
      </x:c>
    </x:row>
    <x:row r="146">
      <x:c r="A146" s="8" t="n"/>
      <x:c r="B146" s="12" t="n"/>
      <x:c r="C146" s="8" t="n"/>
      <x:c r="D146" s="8" t="n"/>
      <x:c r="E146" s="8" t="n"/>
      <x:c r="F146" s="8" t="n"/>
      <x:c r="G146" s="8" t="n"/>
      <x:c r="H146" s="8" t="n"/>
      <x:c r="I146" s="8" t="n"/>
      <x:c r="J146" s="8" t="n"/>
      <x:c r="K146" s="8" t="n"/>
      <x:c r="L146" s="8" t="n"/>
      <x:c r="M146" s="8" t="n"/>
      <x:c r="N146" s="8" t="n"/>
      <x:c r="O146" s="8" t="n"/>
      <x:c r="P146">
        <x:f>COUNTA(J146:N146)</x:f>
      </x:c>
      <x:c r="Q146">
        <x:f>IF(A146="","",IF(P146&lt;&gt;5,1,0))</x:f>
      </x:c>
      <x:c r="R146">
        <x:f>IF(A146="","",IF(COUNTIF($A$5:$A$604,A146)&gt;1,1,0))</x:f>
      </x:c>
    </x:row>
    <x:row r="147">
      <x:c r="A147" s="8" t="n"/>
      <x:c r="B147" s="12" t="n"/>
      <x:c r="C147" s="8" t="n"/>
      <x:c r="D147" s="8" t="n"/>
      <x:c r="E147" s="8" t="n"/>
      <x:c r="F147" s="8" t="n"/>
      <x:c r="G147" s="8" t="n"/>
      <x:c r="H147" s="8" t="n"/>
      <x:c r="I147" s="8" t="n"/>
      <x:c r="J147" s="8" t="n"/>
      <x:c r="K147" s="8" t="n"/>
      <x:c r="L147" s="8" t="n"/>
      <x:c r="M147" s="8" t="n"/>
      <x:c r="N147" s="8" t="n"/>
      <x:c r="O147" s="8" t="n"/>
      <x:c r="P147">
        <x:f>COUNTA(J147:N147)</x:f>
      </x:c>
      <x:c r="Q147">
        <x:f>IF(A147="","",IF(P147&lt;&gt;5,1,0))</x:f>
      </x:c>
      <x:c r="R147">
        <x:f>IF(A147="","",IF(COUNTIF($A$5:$A$604,A147)&gt;1,1,0))</x:f>
      </x:c>
    </x:row>
    <x:row r="148">
      <x:c r="A148" s="8" t="n"/>
      <x:c r="B148" s="12" t="n"/>
      <x:c r="C148" s="8" t="n"/>
      <x:c r="D148" s="8" t="n"/>
      <x:c r="E148" s="8" t="n"/>
      <x:c r="F148" s="8" t="n"/>
      <x:c r="G148" s="8" t="n"/>
      <x:c r="H148" s="8" t="n"/>
      <x:c r="I148" s="8" t="n"/>
      <x:c r="J148" s="8" t="n"/>
      <x:c r="K148" s="8" t="n"/>
      <x:c r="L148" s="8" t="n"/>
      <x:c r="M148" s="8" t="n"/>
      <x:c r="N148" s="8" t="n"/>
      <x:c r="O148" s="8" t="n"/>
      <x:c r="P148">
        <x:f>COUNTA(J148:N148)</x:f>
      </x:c>
      <x:c r="Q148">
        <x:f>IF(A148="","",IF(P148&lt;&gt;5,1,0))</x:f>
      </x:c>
      <x:c r="R148">
        <x:f>IF(A148="","",IF(COUNTIF($A$5:$A$604,A148)&gt;1,1,0))</x:f>
      </x:c>
    </x:row>
    <x:row r="149">
      <x:c r="A149" s="8" t="n"/>
      <x:c r="B149" s="12" t="n"/>
      <x:c r="C149" s="8" t="n"/>
      <x:c r="D149" s="8" t="n"/>
      <x:c r="E149" s="8" t="n"/>
      <x:c r="F149" s="8" t="n"/>
      <x:c r="G149" s="8" t="n"/>
      <x:c r="H149" s="8" t="n"/>
      <x:c r="I149" s="8" t="n"/>
      <x:c r="J149" s="8" t="n"/>
      <x:c r="K149" s="8" t="n"/>
      <x:c r="L149" s="8" t="n"/>
      <x:c r="M149" s="8" t="n"/>
      <x:c r="N149" s="8" t="n"/>
      <x:c r="O149" s="8" t="n"/>
      <x:c r="P149">
        <x:f>COUNTA(J149:N149)</x:f>
      </x:c>
      <x:c r="Q149">
        <x:f>IF(A149="","",IF(P149&lt;&gt;5,1,0))</x:f>
      </x:c>
      <x:c r="R149">
        <x:f>IF(A149="","",IF(COUNTIF($A$5:$A$604,A149)&gt;1,1,0))</x:f>
      </x:c>
    </x:row>
    <x:row r="150">
      <x:c r="A150" s="8" t="n"/>
      <x:c r="B150" s="12" t="n"/>
      <x:c r="C150" s="8" t="n"/>
      <x:c r="D150" s="8" t="n"/>
      <x:c r="E150" s="8" t="n"/>
      <x:c r="F150" s="8" t="n"/>
      <x:c r="G150" s="8" t="n"/>
      <x:c r="H150" s="8" t="n"/>
      <x:c r="I150" s="8" t="n"/>
      <x:c r="J150" s="8" t="n"/>
      <x:c r="K150" s="8" t="n"/>
      <x:c r="L150" s="8" t="n"/>
      <x:c r="M150" s="8" t="n"/>
      <x:c r="N150" s="8" t="n"/>
      <x:c r="O150" s="8" t="n"/>
      <x:c r="P150">
        <x:f>COUNTA(J150:N150)</x:f>
      </x:c>
      <x:c r="Q150">
        <x:f>IF(A150="","",IF(P150&lt;&gt;5,1,0))</x:f>
      </x:c>
      <x:c r="R150">
        <x:f>IF(A150="","",IF(COUNTIF($A$5:$A$604,A150)&gt;1,1,0))</x:f>
      </x:c>
    </x:row>
    <x:row r="151">
      <x:c r="A151" s="8" t="n"/>
      <x:c r="B151" s="12" t="n"/>
      <x:c r="C151" s="8" t="n"/>
      <x:c r="D151" s="8" t="n"/>
      <x:c r="E151" s="8" t="n"/>
      <x:c r="F151" s="8" t="n"/>
      <x:c r="G151" s="8" t="n"/>
      <x:c r="H151" s="8" t="n"/>
      <x:c r="I151" s="8" t="n"/>
      <x:c r="J151" s="8" t="n"/>
      <x:c r="K151" s="8" t="n"/>
      <x:c r="L151" s="8" t="n"/>
      <x:c r="M151" s="8" t="n"/>
      <x:c r="N151" s="8" t="n"/>
      <x:c r="O151" s="8" t="n"/>
      <x:c r="P151">
        <x:f>COUNTA(J151:N151)</x:f>
      </x:c>
      <x:c r="Q151">
        <x:f>IF(A151="","",IF(P151&lt;&gt;5,1,0))</x:f>
      </x:c>
      <x:c r="R151">
        <x:f>IF(A151="","",IF(COUNTIF($A$5:$A$604,A151)&gt;1,1,0))</x:f>
      </x:c>
    </x:row>
    <x:row r="152">
      <x:c r="A152" s="8" t="n"/>
      <x:c r="B152" s="12" t="n"/>
      <x:c r="C152" s="8" t="n"/>
      <x:c r="D152" s="8" t="n"/>
      <x:c r="E152" s="8" t="n"/>
      <x:c r="F152" s="8" t="n"/>
      <x:c r="G152" s="8" t="n"/>
      <x:c r="H152" s="8" t="n"/>
      <x:c r="I152" s="8" t="n"/>
      <x:c r="J152" s="8" t="n"/>
      <x:c r="K152" s="8" t="n"/>
      <x:c r="L152" s="8" t="n"/>
      <x:c r="M152" s="8" t="n"/>
      <x:c r="N152" s="8" t="n"/>
      <x:c r="O152" s="8" t="n"/>
      <x:c r="P152">
        <x:f>COUNTA(J152:N152)</x:f>
      </x:c>
      <x:c r="Q152">
        <x:f>IF(A152="","",IF(P152&lt;&gt;5,1,0))</x:f>
      </x:c>
      <x:c r="R152">
        <x:f>IF(A152="","",IF(COUNTIF($A$5:$A$604,A152)&gt;1,1,0))</x:f>
      </x:c>
    </x:row>
    <x:row r="153">
      <x:c r="A153" s="8" t="n"/>
      <x:c r="B153" s="12" t="n"/>
      <x:c r="C153" s="8" t="n"/>
      <x:c r="D153" s="8" t="n"/>
      <x:c r="E153" s="8" t="n"/>
      <x:c r="F153" s="8" t="n"/>
      <x:c r="G153" s="8" t="n"/>
      <x:c r="H153" s="8" t="n"/>
      <x:c r="I153" s="8" t="n"/>
      <x:c r="J153" s="8" t="n"/>
      <x:c r="K153" s="8" t="n"/>
      <x:c r="L153" s="8" t="n"/>
      <x:c r="M153" s="8" t="n"/>
      <x:c r="N153" s="8" t="n"/>
      <x:c r="O153" s="8" t="n"/>
      <x:c r="P153">
        <x:f>COUNTA(J153:N153)</x:f>
      </x:c>
      <x:c r="Q153">
        <x:f>IF(A153="","",IF(P153&lt;&gt;5,1,0))</x:f>
      </x:c>
      <x:c r="R153">
        <x:f>IF(A153="","",IF(COUNTIF($A$5:$A$604,A153)&gt;1,1,0))</x:f>
      </x:c>
    </x:row>
    <x:row r="154">
      <x:c r="A154" s="8" t="n"/>
      <x:c r="B154" s="12" t="n"/>
      <x:c r="C154" s="8" t="n"/>
      <x:c r="D154" s="8" t="n"/>
      <x:c r="E154" s="8" t="n"/>
      <x:c r="F154" s="8" t="n"/>
      <x:c r="G154" s="8" t="n"/>
      <x:c r="H154" s="8" t="n"/>
      <x:c r="I154" s="8" t="n"/>
      <x:c r="J154" s="8" t="n"/>
      <x:c r="K154" s="8" t="n"/>
      <x:c r="L154" s="8" t="n"/>
      <x:c r="M154" s="8" t="n"/>
      <x:c r="N154" s="8" t="n"/>
      <x:c r="O154" s="8" t="n"/>
      <x:c r="P154">
        <x:f>COUNTA(J154:N154)</x:f>
      </x:c>
      <x:c r="Q154">
        <x:f>IF(A154="","",IF(P154&lt;&gt;5,1,0))</x:f>
      </x:c>
      <x:c r="R154">
        <x:f>IF(A154="","",IF(COUNTIF($A$5:$A$604,A154)&gt;1,1,0))</x:f>
      </x:c>
    </x:row>
    <x:row r="155">
      <x:c r="A155" s="8" t="n"/>
      <x:c r="B155" s="12" t="n"/>
      <x:c r="C155" s="8" t="n"/>
      <x:c r="D155" s="8" t="n"/>
      <x:c r="E155" s="8" t="n"/>
      <x:c r="F155" s="8" t="n"/>
      <x:c r="G155" s="8" t="n"/>
      <x:c r="H155" s="8" t="n"/>
      <x:c r="I155" s="8" t="n"/>
      <x:c r="J155" s="8" t="n"/>
      <x:c r="K155" s="8" t="n"/>
      <x:c r="L155" s="8" t="n"/>
      <x:c r="M155" s="8" t="n"/>
      <x:c r="N155" s="8" t="n"/>
      <x:c r="O155" s="8" t="n"/>
      <x:c r="P155">
        <x:f>COUNTA(J155:N155)</x:f>
      </x:c>
      <x:c r="Q155">
        <x:f>IF(A155="","",IF(P155&lt;&gt;5,1,0))</x:f>
      </x:c>
      <x:c r="R155">
        <x:f>IF(A155="","",IF(COUNTIF($A$5:$A$604,A155)&gt;1,1,0))</x:f>
      </x:c>
    </x:row>
    <x:row r="156">
      <x:c r="A156" s="8" t="n"/>
      <x:c r="B156" s="12" t="n"/>
      <x:c r="C156" s="8" t="n"/>
      <x:c r="D156" s="8" t="n"/>
      <x:c r="E156" s="8" t="n"/>
      <x:c r="F156" s="8" t="n"/>
      <x:c r="G156" s="8" t="n"/>
      <x:c r="H156" s="8" t="n"/>
      <x:c r="I156" s="8" t="n"/>
      <x:c r="J156" s="8" t="n"/>
      <x:c r="K156" s="8" t="n"/>
      <x:c r="L156" s="8" t="n"/>
      <x:c r="M156" s="8" t="n"/>
      <x:c r="N156" s="8" t="n"/>
      <x:c r="O156" s="8" t="n"/>
      <x:c r="P156">
        <x:f>COUNTA(J156:N156)</x:f>
      </x:c>
      <x:c r="Q156">
        <x:f>IF(A156="","",IF(P156&lt;&gt;5,1,0))</x:f>
      </x:c>
      <x:c r="R156">
        <x:f>IF(A156="","",IF(COUNTIF($A$5:$A$604,A156)&gt;1,1,0))</x:f>
      </x:c>
    </x:row>
    <x:row r="157">
      <x:c r="A157" s="8" t="n"/>
      <x:c r="B157" s="12" t="n"/>
      <x:c r="C157" s="8" t="n"/>
      <x:c r="D157" s="8" t="n"/>
      <x:c r="E157" s="8" t="n"/>
      <x:c r="F157" s="8" t="n"/>
      <x:c r="G157" s="8" t="n"/>
      <x:c r="H157" s="8" t="n"/>
      <x:c r="I157" s="8" t="n"/>
      <x:c r="J157" s="8" t="n"/>
      <x:c r="K157" s="8" t="n"/>
      <x:c r="L157" s="8" t="n"/>
      <x:c r="M157" s="8" t="n"/>
      <x:c r="N157" s="8" t="n"/>
      <x:c r="O157" s="8" t="n"/>
      <x:c r="P157">
        <x:f>COUNTA(J157:N157)</x:f>
      </x:c>
      <x:c r="Q157">
        <x:f>IF(A157="","",IF(P157&lt;&gt;5,1,0))</x:f>
      </x:c>
      <x:c r="R157">
        <x:f>IF(A157="","",IF(COUNTIF($A$5:$A$604,A157)&gt;1,1,0))</x:f>
      </x:c>
    </x:row>
    <x:row r="158">
      <x:c r="A158" s="8" t="n"/>
      <x:c r="B158" s="12" t="n"/>
      <x:c r="C158" s="8" t="n"/>
      <x:c r="D158" s="8" t="n"/>
      <x:c r="E158" s="8" t="n"/>
      <x:c r="F158" s="8" t="n"/>
      <x:c r="G158" s="8" t="n"/>
      <x:c r="H158" s="8" t="n"/>
      <x:c r="I158" s="8" t="n"/>
      <x:c r="J158" s="8" t="n"/>
      <x:c r="K158" s="8" t="n"/>
      <x:c r="L158" s="8" t="n"/>
      <x:c r="M158" s="8" t="n"/>
      <x:c r="N158" s="8" t="n"/>
      <x:c r="O158" s="8" t="n"/>
      <x:c r="P158">
        <x:f>COUNTA(J158:N158)</x:f>
      </x:c>
      <x:c r="Q158">
        <x:f>IF(A158="","",IF(P158&lt;&gt;5,1,0))</x:f>
      </x:c>
      <x:c r="R158">
        <x:f>IF(A158="","",IF(COUNTIF($A$5:$A$604,A158)&gt;1,1,0))</x:f>
      </x:c>
    </x:row>
    <x:row r="159">
      <x:c r="A159" s="8" t="n"/>
      <x:c r="B159" s="12" t="n"/>
      <x:c r="C159" s="8" t="n"/>
      <x:c r="D159" s="8" t="n"/>
      <x:c r="E159" s="8" t="n"/>
      <x:c r="F159" s="8" t="n"/>
      <x:c r="G159" s="8" t="n"/>
      <x:c r="H159" s="8" t="n"/>
      <x:c r="I159" s="8" t="n"/>
      <x:c r="J159" s="8" t="n"/>
      <x:c r="K159" s="8" t="n"/>
      <x:c r="L159" s="8" t="n"/>
      <x:c r="M159" s="8" t="n"/>
      <x:c r="N159" s="8" t="n"/>
      <x:c r="O159" s="8" t="n"/>
      <x:c r="P159">
        <x:f>COUNTA(J159:N159)</x:f>
      </x:c>
      <x:c r="Q159">
        <x:f>IF(A159="","",IF(P159&lt;&gt;5,1,0))</x:f>
      </x:c>
      <x:c r="R159">
        <x:f>IF(A159="","",IF(COUNTIF($A$5:$A$604,A159)&gt;1,1,0))</x:f>
      </x:c>
    </x:row>
    <x:row r="160">
      <x:c r="A160" s="8" t="n"/>
      <x:c r="B160" s="12" t="n"/>
      <x:c r="C160" s="8" t="n"/>
      <x:c r="D160" s="8" t="n"/>
      <x:c r="E160" s="8" t="n"/>
      <x:c r="F160" s="8" t="n"/>
      <x:c r="G160" s="8" t="n"/>
      <x:c r="H160" s="8" t="n"/>
      <x:c r="I160" s="8" t="n"/>
      <x:c r="J160" s="8" t="n"/>
      <x:c r="K160" s="8" t="n"/>
      <x:c r="L160" s="8" t="n"/>
      <x:c r="M160" s="8" t="n"/>
      <x:c r="N160" s="8" t="n"/>
      <x:c r="O160" s="8" t="n"/>
      <x:c r="P160">
        <x:f>COUNTA(J160:N160)</x:f>
      </x:c>
      <x:c r="Q160">
        <x:f>IF(A160="","",IF(P160&lt;&gt;5,1,0))</x:f>
      </x:c>
      <x:c r="R160">
        <x:f>IF(A160="","",IF(COUNTIF($A$5:$A$604,A160)&gt;1,1,0))</x:f>
      </x:c>
    </x:row>
    <x:row r="161">
      <x:c r="A161" s="8" t="n"/>
      <x:c r="B161" s="12" t="n"/>
      <x:c r="C161" s="8" t="n"/>
      <x:c r="D161" s="8" t="n"/>
      <x:c r="E161" s="8" t="n"/>
      <x:c r="F161" s="8" t="n"/>
      <x:c r="G161" s="8" t="n"/>
      <x:c r="H161" s="8" t="n"/>
      <x:c r="I161" s="8" t="n"/>
      <x:c r="J161" s="8" t="n"/>
      <x:c r="K161" s="8" t="n"/>
      <x:c r="L161" s="8" t="n"/>
      <x:c r="M161" s="8" t="n"/>
      <x:c r="N161" s="8" t="n"/>
      <x:c r="O161" s="8" t="n"/>
      <x:c r="P161">
        <x:f>COUNTA(J161:N161)</x:f>
      </x:c>
      <x:c r="Q161">
        <x:f>IF(A161="","",IF(P161&lt;&gt;5,1,0))</x:f>
      </x:c>
      <x:c r="R161">
        <x:f>IF(A161="","",IF(COUNTIF($A$5:$A$604,A161)&gt;1,1,0))</x:f>
      </x:c>
    </x:row>
    <x:row r="162">
      <x:c r="A162" s="8" t="n"/>
      <x:c r="B162" s="12" t="n"/>
      <x:c r="C162" s="8" t="n"/>
      <x:c r="D162" s="8" t="n"/>
      <x:c r="E162" s="8" t="n"/>
      <x:c r="F162" s="8" t="n"/>
      <x:c r="G162" s="8" t="n"/>
      <x:c r="H162" s="8" t="n"/>
      <x:c r="I162" s="8" t="n"/>
      <x:c r="J162" s="8" t="n"/>
      <x:c r="K162" s="8" t="n"/>
      <x:c r="L162" s="8" t="n"/>
      <x:c r="M162" s="8" t="n"/>
      <x:c r="N162" s="8" t="n"/>
      <x:c r="O162" s="8" t="n"/>
      <x:c r="P162">
        <x:f>COUNTA(J162:N162)</x:f>
      </x:c>
      <x:c r="Q162">
        <x:f>IF(A162="","",IF(P162&lt;&gt;5,1,0))</x:f>
      </x:c>
      <x:c r="R162">
        <x:f>IF(A162="","",IF(COUNTIF($A$5:$A$604,A162)&gt;1,1,0))</x:f>
      </x:c>
    </x:row>
    <x:row r="163">
      <x:c r="A163" s="8" t="n"/>
      <x:c r="B163" s="12" t="n"/>
      <x:c r="C163" s="8" t="n"/>
      <x:c r="D163" s="8" t="n"/>
      <x:c r="E163" s="8" t="n"/>
      <x:c r="F163" s="8" t="n"/>
      <x:c r="G163" s="8" t="n"/>
      <x:c r="H163" s="8" t="n"/>
      <x:c r="I163" s="8" t="n"/>
      <x:c r="J163" s="8" t="n"/>
      <x:c r="K163" s="8" t="n"/>
      <x:c r="L163" s="8" t="n"/>
      <x:c r="M163" s="8" t="n"/>
      <x:c r="N163" s="8" t="n"/>
      <x:c r="O163" s="8" t="n"/>
      <x:c r="P163">
        <x:f>COUNTA(J163:N163)</x:f>
      </x:c>
      <x:c r="Q163">
        <x:f>IF(A163="","",IF(P163&lt;&gt;5,1,0))</x:f>
      </x:c>
      <x:c r="R163">
        <x:f>IF(A163="","",IF(COUNTIF($A$5:$A$604,A163)&gt;1,1,0))</x:f>
      </x:c>
    </x:row>
    <x:row r="164">
      <x:c r="A164" s="8" t="n"/>
      <x:c r="B164" s="12" t="n"/>
      <x:c r="C164" s="8" t="n"/>
      <x:c r="D164" s="8" t="n"/>
      <x:c r="E164" s="8" t="n"/>
      <x:c r="F164" s="8" t="n"/>
      <x:c r="G164" s="8" t="n"/>
      <x:c r="H164" s="8" t="n"/>
      <x:c r="I164" s="8" t="n"/>
      <x:c r="J164" s="8" t="n"/>
      <x:c r="K164" s="8" t="n"/>
      <x:c r="L164" s="8" t="n"/>
      <x:c r="M164" s="8" t="n"/>
      <x:c r="N164" s="8" t="n"/>
      <x:c r="O164" s="8" t="n"/>
      <x:c r="P164">
        <x:f>COUNTA(J164:N164)</x:f>
      </x:c>
      <x:c r="Q164">
        <x:f>IF(A164="","",IF(P164&lt;&gt;5,1,0))</x:f>
      </x:c>
      <x:c r="R164">
        <x:f>IF(A164="","",IF(COUNTIF($A$5:$A$604,A164)&gt;1,1,0))</x:f>
      </x:c>
    </x:row>
    <x:row r="165">
      <x:c r="A165" s="8" t="n"/>
      <x:c r="B165" s="12" t="n"/>
      <x:c r="C165" s="8" t="n"/>
      <x:c r="D165" s="8" t="n"/>
      <x:c r="E165" s="8" t="n"/>
      <x:c r="F165" s="8" t="n"/>
      <x:c r="G165" s="8" t="n"/>
      <x:c r="H165" s="8" t="n"/>
      <x:c r="I165" s="8" t="n"/>
      <x:c r="J165" s="8" t="n"/>
      <x:c r="K165" s="8" t="n"/>
      <x:c r="L165" s="8" t="n"/>
      <x:c r="M165" s="8" t="n"/>
      <x:c r="N165" s="8" t="n"/>
      <x:c r="O165" s="8" t="n"/>
      <x:c r="P165">
        <x:f>COUNTA(J165:N165)</x:f>
      </x:c>
      <x:c r="Q165">
        <x:f>IF(A165="","",IF(P165&lt;&gt;5,1,0))</x:f>
      </x:c>
      <x:c r="R165">
        <x:f>IF(A165="","",IF(COUNTIF($A$5:$A$604,A165)&gt;1,1,0))</x:f>
      </x:c>
    </x:row>
    <x:row r="166">
      <x:c r="A166" s="8" t="n"/>
      <x:c r="B166" s="12" t="n"/>
      <x:c r="C166" s="8" t="n"/>
      <x:c r="D166" s="8" t="n"/>
      <x:c r="E166" s="8" t="n"/>
      <x:c r="F166" s="8" t="n"/>
      <x:c r="G166" s="8" t="n"/>
      <x:c r="H166" s="8" t="n"/>
      <x:c r="I166" s="8" t="n"/>
      <x:c r="J166" s="8" t="n"/>
      <x:c r="K166" s="8" t="n"/>
      <x:c r="L166" s="8" t="n"/>
      <x:c r="M166" s="8" t="n"/>
      <x:c r="N166" s="8" t="n"/>
      <x:c r="O166" s="8" t="n"/>
      <x:c r="P166">
        <x:f>COUNTA(J166:N166)</x:f>
      </x:c>
      <x:c r="Q166">
        <x:f>IF(A166="","",IF(P166&lt;&gt;5,1,0))</x:f>
      </x:c>
      <x:c r="R166">
        <x:f>IF(A166="","",IF(COUNTIF($A$5:$A$604,A166)&gt;1,1,0))</x:f>
      </x:c>
    </x:row>
    <x:row r="167">
      <x:c r="A167" s="8" t="n"/>
      <x:c r="B167" s="12" t="n"/>
      <x:c r="C167" s="8" t="n"/>
      <x:c r="D167" s="8" t="n"/>
      <x:c r="E167" s="8" t="n"/>
      <x:c r="F167" s="8" t="n"/>
      <x:c r="G167" s="8" t="n"/>
      <x:c r="H167" s="8" t="n"/>
      <x:c r="I167" s="8" t="n"/>
      <x:c r="J167" s="8" t="n"/>
      <x:c r="K167" s="8" t="n"/>
      <x:c r="L167" s="8" t="n"/>
      <x:c r="M167" s="8" t="n"/>
      <x:c r="N167" s="8" t="n"/>
      <x:c r="O167" s="8" t="n"/>
      <x:c r="P167">
        <x:f>COUNTA(J167:N167)</x:f>
      </x:c>
      <x:c r="Q167">
        <x:f>IF(A167="","",IF(P167&lt;&gt;5,1,0))</x:f>
      </x:c>
      <x:c r="R167">
        <x:f>IF(A167="","",IF(COUNTIF($A$5:$A$604,A167)&gt;1,1,0))</x:f>
      </x:c>
    </x:row>
    <x:row r="168">
      <x:c r="A168" s="8" t="n"/>
      <x:c r="B168" s="12" t="n"/>
      <x:c r="C168" s="8" t="n"/>
      <x:c r="D168" s="8" t="n"/>
      <x:c r="E168" s="8" t="n"/>
      <x:c r="F168" s="8" t="n"/>
      <x:c r="G168" s="8" t="n"/>
      <x:c r="H168" s="8" t="n"/>
      <x:c r="I168" s="8" t="n"/>
      <x:c r="J168" s="8" t="n"/>
      <x:c r="K168" s="8" t="n"/>
      <x:c r="L168" s="8" t="n"/>
      <x:c r="M168" s="8" t="n"/>
      <x:c r="N168" s="8" t="n"/>
      <x:c r="O168" s="8" t="n"/>
      <x:c r="P168">
        <x:f>COUNTA(J168:N168)</x:f>
      </x:c>
      <x:c r="Q168">
        <x:f>IF(A168="","",IF(P168&lt;&gt;5,1,0))</x:f>
      </x:c>
      <x:c r="R168">
        <x:f>IF(A168="","",IF(COUNTIF($A$5:$A$604,A168)&gt;1,1,0))</x:f>
      </x:c>
    </x:row>
    <x:row r="169">
      <x:c r="A169" s="8" t="n"/>
      <x:c r="B169" s="12" t="n"/>
      <x:c r="C169" s="8" t="n"/>
      <x:c r="D169" s="8" t="n"/>
      <x:c r="E169" s="8" t="n"/>
      <x:c r="F169" s="8" t="n"/>
      <x:c r="G169" s="8" t="n"/>
      <x:c r="H169" s="8" t="n"/>
      <x:c r="I169" s="8" t="n"/>
      <x:c r="J169" s="8" t="n"/>
      <x:c r="K169" s="8" t="n"/>
      <x:c r="L169" s="8" t="n"/>
      <x:c r="M169" s="8" t="n"/>
      <x:c r="N169" s="8" t="n"/>
      <x:c r="O169" s="8" t="n"/>
      <x:c r="P169">
        <x:f>COUNTA(J169:N169)</x:f>
      </x:c>
      <x:c r="Q169">
        <x:f>IF(A169="","",IF(P169&lt;&gt;5,1,0))</x:f>
      </x:c>
      <x:c r="R169">
        <x:f>IF(A169="","",IF(COUNTIF($A$5:$A$604,A169)&gt;1,1,0))</x:f>
      </x:c>
    </x:row>
    <x:row r="170">
      <x:c r="A170" s="8" t="n"/>
      <x:c r="B170" s="12" t="n"/>
      <x:c r="C170" s="8" t="n"/>
      <x:c r="D170" s="8" t="n"/>
      <x:c r="E170" s="8" t="n"/>
      <x:c r="F170" s="8" t="n"/>
      <x:c r="G170" s="8" t="n"/>
      <x:c r="H170" s="8" t="n"/>
      <x:c r="I170" s="8" t="n"/>
      <x:c r="J170" s="8" t="n"/>
      <x:c r="K170" s="8" t="n"/>
      <x:c r="L170" s="8" t="n"/>
      <x:c r="M170" s="8" t="n"/>
      <x:c r="N170" s="8" t="n"/>
      <x:c r="O170" s="8" t="n"/>
      <x:c r="P170">
        <x:f>COUNTA(J170:N170)</x:f>
      </x:c>
      <x:c r="Q170">
        <x:f>IF(A170="","",IF(P170&lt;&gt;5,1,0))</x:f>
      </x:c>
      <x:c r="R170">
        <x:f>IF(A170="","",IF(COUNTIF($A$5:$A$604,A170)&gt;1,1,0))</x:f>
      </x:c>
    </x:row>
    <x:row r="171">
      <x:c r="A171" s="8" t="n"/>
      <x:c r="B171" s="12" t="n"/>
      <x:c r="C171" s="8" t="n"/>
      <x:c r="D171" s="8" t="n"/>
      <x:c r="E171" s="8" t="n"/>
      <x:c r="F171" s="8" t="n"/>
      <x:c r="G171" s="8" t="n"/>
      <x:c r="H171" s="8" t="n"/>
      <x:c r="I171" s="8" t="n"/>
      <x:c r="J171" s="8" t="n"/>
      <x:c r="K171" s="8" t="n"/>
      <x:c r="L171" s="8" t="n"/>
      <x:c r="M171" s="8" t="n"/>
      <x:c r="N171" s="8" t="n"/>
      <x:c r="O171" s="8" t="n"/>
      <x:c r="P171">
        <x:f>COUNTA(J171:N171)</x:f>
      </x:c>
      <x:c r="Q171">
        <x:f>IF(A171="","",IF(P171&lt;&gt;5,1,0))</x:f>
      </x:c>
      <x:c r="R171">
        <x:f>IF(A171="","",IF(COUNTIF($A$5:$A$604,A171)&gt;1,1,0))</x:f>
      </x:c>
    </x:row>
    <x:row r="172">
      <x:c r="A172" s="8" t="n"/>
      <x:c r="B172" s="12" t="n"/>
      <x:c r="C172" s="8" t="n"/>
      <x:c r="D172" s="8" t="n"/>
      <x:c r="E172" s="8" t="n"/>
      <x:c r="F172" s="8" t="n"/>
      <x:c r="G172" s="8" t="n"/>
      <x:c r="H172" s="8" t="n"/>
      <x:c r="I172" s="8" t="n"/>
      <x:c r="J172" s="8" t="n"/>
      <x:c r="K172" s="8" t="n"/>
      <x:c r="L172" s="8" t="n"/>
      <x:c r="M172" s="8" t="n"/>
      <x:c r="N172" s="8" t="n"/>
      <x:c r="O172" s="8" t="n"/>
      <x:c r="P172">
        <x:f>COUNTA(J172:N172)</x:f>
      </x:c>
      <x:c r="Q172">
        <x:f>IF(A172="","",IF(P172&lt;&gt;5,1,0))</x:f>
      </x:c>
      <x:c r="R172">
        <x:f>IF(A172="","",IF(COUNTIF($A$5:$A$604,A172)&gt;1,1,0))</x:f>
      </x:c>
    </x:row>
    <x:row r="173">
      <x:c r="A173" s="8" t="n"/>
      <x:c r="B173" s="12" t="n"/>
      <x:c r="C173" s="8" t="n"/>
      <x:c r="D173" s="8" t="n"/>
      <x:c r="E173" s="8" t="n"/>
      <x:c r="F173" s="8" t="n"/>
      <x:c r="G173" s="8" t="n"/>
      <x:c r="H173" s="8" t="n"/>
      <x:c r="I173" s="8" t="n"/>
      <x:c r="J173" s="8" t="n"/>
      <x:c r="K173" s="8" t="n"/>
      <x:c r="L173" s="8" t="n"/>
      <x:c r="M173" s="8" t="n"/>
      <x:c r="N173" s="8" t="n"/>
      <x:c r="O173" s="8" t="n"/>
      <x:c r="P173">
        <x:f>COUNTA(J173:N173)</x:f>
      </x:c>
      <x:c r="Q173">
        <x:f>IF(A173="","",IF(P173&lt;&gt;5,1,0))</x:f>
      </x:c>
      <x:c r="R173">
        <x:f>IF(A173="","",IF(COUNTIF($A$5:$A$604,A173)&gt;1,1,0))</x:f>
      </x:c>
    </x:row>
    <x:row r="174">
      <x:c r="A174" s="8" t="n"/>
      <x:c r="B174" s="12" t="n"/>
      <x:c r="C174" s="8" t="n"/>
      <x:c r="D174" s="8" t="n"/>
      <x:c r="E174" s="8" t="n"/>
      <x:c r="F174" s="8" t="n"/>
      <x:c r="G174" s="8" t="n"/>
      <x:c r="H174" s="8" t="n"/>
      <x:c r="I174" s="8" t="n"/>
      <x:c r="J174" s="8" t="n"/>
      <x:c r="K174" s="8" t="n"/>
      <x:c r="L174" s="8" t="n"/>
      <x:c r="M174" s="8" t="n"/>
      <x:c r="N174" s="8" t="n"/>
      <x:c r="O174" s="8" t="n"/>
      <x:c r="P174">
        <x:f>COUNTA(J174:N174)</x:f>
      </x:c>
      <x:c r="Q174">
        <x:f>IF(A174="","",IF(P174&lt;&gt;5,1,0))</x:f>
      </x:c>
      <x:c r="R174">
        <x:f>IF(A174="","",IF(COUNTIF($A$5:$A$604,A174)&gt;1,1,0))</x:f>
      </x:c>
    </x:row>
    <x:row r="175">
      <x:c r="A175" s="8" t="n"/>
      <x:c r="B175" s="12" t="n"/>
      <x:c r="C175" s="8" t="n"/>
      <x:c r="D175" s="8" t="n"/>
      <x:c r="E175" s="8" t="n"/>
      <x:c r="F175" s="8" t="n"/>
      <x:c r="G175" s="8" t="n"/>
      <x:c r="H175" s="8" t="n"/>
      <x:c r="I175" s="8" t="n"/>
      <x:c r="J175" s="8" t="n"/>
      <x:c r="K175" s="8" t="n"/>
      <x:c r="L175" s="8" t="n"/>
      <x:c r="M175" s="8" t="n"/>
      <x:c r="N175" s="8" t="n"/>
      <x:c r="O175" s="8" t="n"/>
      <x:c r="P175">
        <x:f>COUNTA(J175:N175)</x:f>
      </x:c>
      <x:c r="Q175">
        <x:f>IF(A175="","",IF(P175&lt;&gt;5,1,0))</x:f>
      </x:c>
      <x:c r="R175">
        <x:f>IF(A175="","",IF(COUNTIF($A$5:$A$604,A175)&gt;1,1,0))</x:f>
      </x:c>
    </x:row>
    <x:row r="176">
      <x:c r="A176" s="8" t="n"/>
      <x:c r="B176" s="12" t="n"/>
      <x:c r="C176" s="8" t="n"/>
      <x:c r="D176" s="8" t="n"/>
      <x:c r="E176" s="8" t="n"/>
      <x:c r="F176" s="8" t="n"/>
      <x:c r="G176" s="8" t="n"/>
      <x:c r="H176" s="8" t="n"/>
      <x:c r="I176" s="8" t="n"/>
      <x:c r="J176" s="8" t="n"/>
      <x:c r="K176" s="8" t="n"/>
      <x:c r="L176" s="8" t="n"/>
      <x:c r="M176" s="8" t="n"/>
      <x:c r="N176" s="8" t="n"/>
      <x:c r="O176" s="8" t="n"/>
      <x:c r="P176">
        <x:f>COUNTA(J176:N176)</x:f>
      </x:c>
      <x:c r="Q176">
        <x:f>IF(A176="","",IF(P176&lt;&gt;5,1,0))</x:f>
      </x:c>
      <x:c r="R176">
        <x:f>IF(A176="","",IF(COUNTIF($A$5:$A$604,A176)&gt;1,1,0))</x:f>
      </x:c>
    </x:row>
    <x:row r="177">
      <x:c r="A177" s="8" t="n"/>
      <x:c r="B177" s="12" t="n"/>
      <x:c r="C177" s="8" t="n"/>
      <x:c r="D177" s="8" t="n"/>
      <x:c r="E177" s="8" t="n"/>
      <x:c r="F177" s="8" t="n"/>
      <x:c r="G177" s="8" t="n"/>
      <x:c r="H177" s="8" t="n"/>
      <x:c r="I177" s="8" t="n"/>
      <x:c r="J177" s="8" t="n"/>
      <x:c r="K177" s="8" t="n"/>
      <x:c r="L177" s="8" t="n"/>
      <x:c r="M177" s="8" t="n"/>
      <x:c r="N177" s="8" t="n"/>
      <x:c r="O177" s="8" t="n"/>
      <x:c r="P177">
        <x:f>COUNTA(J177:N177)</x:f>
      </x:c>
      <x:c r="Q177">
        <x:f>IF(A177="","",IF(P177&lt;&gt;5,1,0))</x:f>
      </x:c>
      <x:c r="R177">
        <x:f>IF(A177="","",IF(COUNTIF($A$5:$A$604,A177)&gt;1,1,0))</x:f>
      </x:c>
    </x:row>
    <x:row r="178">
      <x:c r="A178" s="8" t="n"/>
      <x:c r="B178" s="12" t="n"/>
      <x:c r="C178" s="8" t="n"/>
      <x:c r="D178" s="8" t="n"/>
      <x:c r="E178" s="8" t="n"/>
      <x:c r="F178" s="8" t="n"/>
      <x:c r="G178" s="8" t="n"/>
      <x:c r="H178" s="8" t="n"/>
      <x:c r="I178" s="8" t="n"/>
      <x:c r="J178" s="8" t="n"/>
      <x:c r="K178" s="8" t="n"/>
      <x:c r="L178" s="8" t="n"/>
      <x:c r="M178" s="8" t="n"/>
      <x:c r="N178" s="8" t="n"/>
      <x:c r="O178" s="8" t="n"/>
      <x:c r="P178">
        <x:f>COUNTA(J178:N178)</x:f>
      </x:c>
      <x:c r="Q178">
        <x:f>IF(A178="","",IF(P178&lt;&gt;5,1,0))</x:f>
      </x:c>
      <x:c r="R178">
        <x:f>IF(A178="","",IF(COUNTIF($A$5:$A$604,A178)&gt;1,1,0))</x:f>
      </x:c>
    </x:row>
    <x:row r="179">
      <x:c r="A179" s="8" t="n"/>
      <x:c r="B179" s="12" t="n"/>
      <x:c r="C179" s="8" t="n"/>
      <x:c r="D179" s="8" t="n"/>
      <x:c r="E179" s="8" t="n"/>
      <x:c r="F179" s="8" t="n"/>
      <x:c r="G179" s="8" t="n"/>
      <x:c r="H179" s="8" t="n"/>
      <x:c r="I179" s="8" t="n"/>
      <x:c r="J179" s="8" t="n"/>
      <x:c r="K179" s="8" t="n"/>
      <x:c r="L179" s="8" t="n"/>
      <x:c r="M179" s="8" t="n"/>
      <x:c r="N179" s="8" t="n"/>
      <x:c r="O179" s="8" t="n"/>
      <x:c r="P179">
        <x:f>COUNTA(J179:N179)</x:f>
      </x:c>
      <x:c r="Q179">
        <x:f>IF(A179="","",IF(P179&lt;&gt;5,1,0))</x:f>
      </x:c>
      <x:c r="R179">
        <x:f>IF(A179="","",IF(COUNTIF($A$5:$A$604,A179)&gt;1,1,0))</x:f>
      </x:c>
    </x:row>
    <x:row r="180">
      <x:c r="A180" s="8" t="n"/>
      <x:c r="B180" s="12" t="n"/>
      <x:c r="C180" s="8" t="n"/>
      <x:c r="D180" s="8" t="n"/>
      <x:c r="E180" s="8" t="n"/>
      <x:c r="F180" s="8" t="n"/>
      <x:c r="G180" s="8" t="n"/>
      <x:c r="H180" s="8" t="n"/>
      <x:c r="I180" s="8" t="n"/>
      <x:c r="J180" s="8" t="n"/>
      <x:c r="K180" s="8" t="n"/>
      <x:c r="L180" s="8" t="n"/>
      <x:c r="M180" s="8" t="n"/>
      <x:c r="N180" s="8" t="n"/>
      <x:c r="O180" s="8" t="n"/>
      <x:c r="P180">
        <x:f>COUNTA(J180:N180)</x:f>
      </x:c>
      <x:c r="Q180">
        <x:f>IF(A180="","",IF(P180&lt;&gt;5,1,0))</x:f>
      </x:c>
      <x:c r="R180">
        <x:f>IF(A180="","",IF(COUNTIF($A$5:$A$604,A180)&gt;1,1,0))</x:f>
      </x:c>
    </x:row>
    <x:row r="181">
      <x:c r="A181" s="8" t="n"/>
      <x:c r="B181" s="12" t="n"/>
      <x:c r="C181" s="8" t="n"/>
      <x:c r="D181" s="8" t="n"/>
      <x:c r="E181" s="8" t="n"/>
      <x:c r="F181" s="8" t="n"/>
      <x:c r="G181" s="8" t="n"/>
      <x:c r="H181" s="8" t="n"/>
      <x:c r="I181" s="8" t="n"/>
      <x:c r="J181" s="8" t="n"/>
      <x:c r="K181" s="8" t="n"/>
      <x:c r="L181" s="8" t="n"/>
      <x:c r="M181" s="8" t="n"/>
      <x:c r="N181" s="8" t="n"/>
      <x:c r="O181" s="8" t="n"/>
      <x:c r="P181">
        <x:f>COUNTA(J181:N181)</x:f>
      </x:c>
      <x:c r="Q181">
        <x:f>IF(A181="","",IF(P181&lt;&gt;5,1,0))</x:f>
      </x:c>
      <x:c r="R181">
        <x:f>IF(A181="","",IF(COUNTIF($A$5:$A$604,A181)&gt;1,1,0))</x:f>
      </x:c>
    </x:row>
    <x:row r="182">
      <x:c r="A182" s="8" t="n"/>
      <x:c r="B182" s="12" t="n"/>
      <x:c r="C182" s="8" t="n"/>
      <x:c r="D182" s="8" t="n"/>
      <x:c r="E182" s="8" t="n"/>
      <x:c r="F182" s="8" t="n"/>
      <x:c r="G182" s="8" t="n"/>
      <x:c r="H182" s="8" t="n"/>
      <x:c r="I182" s="8" t="n"/>
      <x:c r="J182" s="8" t="n"/>
      <x:c r="K182" s="8" t="n"/>
      <x:c r="L182" s="8" t="n"/>
      <x:c r="M182" s="8" t="n"/>
      <x:c r="N182" s="8" t="n"/>
      <x:c r="O182" s="8" t="n"/>
      <x:c r="P182">
        <x:f>COUNTA(J182:N182)</x:f>
      </x:c>
      <x:c r="Q182">
        <x:f>IF(A182="","",IF(P182&lt;&gt;5,1,0))</x:f>
      </x:c>
      <x:c r="R182">
        <x:f>IF(A182="","",IF(COUNTIF($A$5:$A$604,A182)&gt;1,1,0))</x:f>
      </x:c>
    </x:row>
    <x:row r="183">
      <x:c r="A183" s="8" t="n"/>
      <x:c r="B183" s="12" t="n"/>
      <x:c r="C183" s="8" t="n"/>
      <x:c r="D183" s="8" t="n"/>
      <x:c r="E183" s="8" t="n"/>
      <x:c r="F183" s="8" t="n"/>
      <x:c r="G183" s="8" t="n"/>
      <x:c r="H183" s="8" t="n"/>
      <x:c r="I183" s="8" t="n"/>
      <x:c r="J183" s="8" t="n"/>
      <x:c r="K183" s="8" t="n"/>
      <x:c r="L183" s="8" t="n"/>
      <x:c r="M183" s="8" t="n"/>
      <x:c r="N183" s="8" t="n"/>
      <x:c r="O183" s="8" t="n"/>
      <x:c r="P183">
        <x:f>COUNTA(J183:N183)</x:f>
      </x:c>
      <x:c r="Q183">
        <x:f>IF(A183="","",IF(P183&lt;&gt;5,1,0))</x:f>
      </x:c>
      <x:c r="R183">
        <x:f>IF(A183="","",IF(COUNTIF($A$5:$A$604,A183)&gt;1,1,0))</x:f>
      </x:c>
    </x:row>
    <x:row r="184">
      <x:c r="A184" s="8" t="n"/>
      <x:c r="B184" s="12" t="n"/>
      <x:c r="C184" s="8" t="n"/>
      <x:c r="D184" s="8" t="n"/>
      <x:c r="E184" s="8" t="n"/>
      <x:c r="F184" s="8" t="n"/>
      <x:c r="G184" s="8" t="n"/>
      <x:c r="H184" s="8" t="n"/>
      <x:c r="I184" s="8" t="n"/>
      <x:c r="J184" s="8" t="n"/>
      <x:c r="K184" s="8" t="n"/>
      <x:c r="L184" s="8" t="n"/>
      <x:c r="M184" s="8" t="n"/>
      <x:c r="N184" s="8" t="n"/>
      <x:c r="O184" s="8" t="n"/>
      <x:c r="P184">
        <x:f>COUNTA(J184:N184)</x:f>
      </x:c>
      <x:c r="Q184">
        <x:f>IF(A184="","",IF(P184&lt;&gt;5,1,0))</x:f>
      </x:c>
      <x:c r="R184">
        <x:f>IF(A184="","",IF(COUNTIF($A$5:$A$604,A184)&gt;1,1,0))</x:f>
      </x:c>
    </x:row>
    <x:row r="185">
      <x:c r="A185" s="8" t="n"/>
      <x:c r="B185" s="12" t="n"/>
      <x:c r="C185" s="8" t="n"/>
      <x:c r="D185" s="8" t="n"/>
      <x:c r="E185" s="8" t="n"/>
      <x:c r="F185" s="8" t="n"/>
      <x:c r="G185" s="8" t="n"/>
      <x:c r="H185" s="8" t="n"/>
      <x:c r="I185" s="8" t="n"/>
      <x:c r="J185" s="8" t="n"/>
      <x:c r="K185" s="8" t="n"/>
      <x:c r="L185" s="8" t="n"/>
      <x:c r="M185" s="8" t="n"/>
      <x:c r="N185" s="8" t="n"/>
      <x:c r="O185" s="8" t="n"/>
      <x:c r="P185">
        <x:f>COUNTA(J185:N185)</x:f>
      </x:c>
      <x:c r="Q185">
        <x:f>IF(A185="","",IF(P185&lt;&gt;5,1,0))</x:f>
      </x:c>
      <x:c r="R185">
        <x:f>IF(A185="","",IF(COUNTIF($A$5:$A$604,A185)&gt;1,1,0))</x:f>
      </x:c>
    </x:row>
    <x:row r="186">
      <x:c r="A186" s="8" t="n"/>
      <x:c r="B186" s="12" t="n"/>
      <x:c r="C186" s="8" t="n"/>
      <x:c r="D186" s="8" t="n"/>
      <x:c r="E186" s="8" t="n"/>
      <x:c r="F186" s="8" t="n"/>
      <x:c r="G186" s="8" t="n"/>
      <x:c r="H186" s="8" t="n"/>
      <x:c r="I186" s="8" t="n"/>
      <x:c r="J186" s="8" t="n"/>
      <x:c r="K186" s="8" t="n"/>
      <x:c r="L186" s="8" t="n"/>
      <x:c r="M186" s="8" t="n"/>
      <x:c r="N186" s="8" t="n"/>
      <x:c r="O186" s="8" t="n"/>
      <x:c r="P186">
        <x:f>COUNTA(J186:N186)</x:f>
      </x:c>
      <x:c r="Q186">
        <x:f>IF(A186="","",IF(P186&lt;&gt;5,1,0))</x:f>
      </x:c>
      <x:c r="R186">
        <x:f>IF(A186="","",IF(COUNTIF($A$5:$A$604,A186)&gt;1,1,0))</x:f>
      </x:c>
    </x:row>
    <x:row r="187">
      <x:c r="A187" s="8" t="n"/>
      <x:c r="B187" s="12" t="n"/>
      <x:c r="C187" s="8" t="n"/>
      <x:c r="D187" s="8" t="n"/>
      <x:c r="E187" s="8" t="n"/>
      <x:c r="F187" s="8" t="n"/>
      <x:c r="G187" s="8" t="n"/>
      <x:c r="H187" s="8" t="n"/>
      <x:c r="I187" s="8" t="n"/>
      <x:c r="J187" s="8" t="n"/>
      <x:c r="K187" s="8" t="n"/>
      <x:c r="L187" s="8" t="n"/>
      <x:c r="M187" s="8" t="n"/>
      <x:c r="N187" s="8" t="n"/>
      <x:c r="O187" s="8" t="n"/>
      <x:c r="P187">
        <x:f>COUNTA(J187:N187)</x:f>
      </x:c>
      <x:c r="Q187">
        <x:f>IF(A187="","",IF(P187&lt;&gt;5,1,0))</x:f>
      </x:c>
      <x:c r="R187">
        <x:f>IF(A187="","",IF(COUNTIF($A$5:$A$604,A187)&gt;1,1,0))</x:f>
      </x:c>
    </x:row>
    <x:row r="188">
      <x:c r="A188" s="8" t="n"/>
      <x:c r="B188" s="12" t="n"/>
      <x:c r="C188" s="8" t="n"/>
      <x:c r="D188" s="8" t="n"/>
      <x:c r="E188" s="8" t="n"/>
      <x:c r="F188" s="8" t="n"/>
      <x:c r="G188" s="8" t="n"/>
      <x:c r="H188" s="8" t="n"/>
      <x:c r="I188" s="8" t="n"/>
      <x:c r="J188" s="8" t="n"/>
      <x:c r="K188" s="8" t="n"/>
      <x:c r="L188" s="8" t="n"/>
      <x:c r="M188" s="8" t="n"/>
      <x:c r="N188" s="8" t="n"/>
      <x:c r="O188" s="8" t="n"/>
      <x:c r="P188">
        <x:f>COUNTA(J188:N188)</x:f>
      </x:c>
      <x:c r="Q188">
        <x:f>IF(A188="","",IF(P188&lt;&gt;5,1,0))</x:f>
      </x:c>
      <x:c r="R188">
        <x:f>IF(A188="","",IF(COUNTIF($A$5:$A$604,A188)&gt;1,1,0))</x:f>
      </x:c>
    </x:row>
    <x:row r="189">
      <x:c r="A189" s="8" t="n"/>
      <x:c r="B189" s="12" t="n"/>
      <x:c r="C189" s="8" t="n"/>
      <x:c r="D189" s="8" t="n"/>
      <x:c r="E189" s="8" t="n"/>
      <x:c r="F189" s="8" t="n"/>
      <x:c r="G189" s="8" t="n"/>
      <x:c r="H189" s="8" t="n"/>
      <x:c r="I189" s="8" t="n"/>
      <x:c r="J189" s="8" t="n"/>
      <x:c r="K189" s="8" t="n"/>
      <x:c r="L189" s="8" t="n"/>
      <x:c r="M189" s="8" t="n"/>
      <x:c r="N189" s="8" t="n"/>
      <x:c r="O189" s="8" t="n"/>
      <x:c r="P189">
        <x:f>COUNTA(J189:N189)</x:f>
      </x:c>
      <x:c r="Q189">
        <x:f>IF(A189="","",IF(P189&lt;&gt;5,1,0))</x:f>
      </x:c>
      <x:c r="R189">
        <x:f>IF(A189="","",IF(COUNTIF($A$5:$A$604,A189)&gt;1,1,0))</x:f>
      </x:c>
    </x:row>
    <x:row r="190">
      <x:c r="A190" s="8" t="n"/>
      <x:c r="B190" s="12" t="n"/>
      <x:c r="C190" s="8" t="n"/>
      <x:c r="D190" s="8" t="n"/>
      <x:c r="E190" s="8" t="n"/>
      <x:c r="F190" s="8" t="n"/>
      <x:c r="G190" s="8" t="n"/>
      <x:c r="H190" s="8" t="n"/>
      <x:c r="I190" s="8" t="n"/>
      <x:c r="J190" s="8" t="n"/>
      <x:c r="K190" s="8" t="n"/>
      <x:c r="L190" s="8" t="n"/>
      <x:c r="M190" s="8" t="n"/>
      <x:c r="N190" s="8" t="n"/>
      <x:c r="O190" s="8" t="n"/>
      <x:c r="P190">
        <x:f>COUNTA(J190:N190)</x:f>
      </x:c>
      <x:c r="Q190">
        <x:f>IF(A190="","",IF(P190&lt;&gt;5,1,0))</x:f>
      </x:c>
      <x:c r="R190">
        <x:f>IF(A190="","",IF(COUNTIF($A$5:$A$604,A190)&gt;1,1,0))</x:f>
      </x:c>
    </x:row>
    <x:row r="191">
      <x:c r="A191" s="8" t="n"/>
      <x:c r="B191" s="12" t="n"/>
      <x:c r="C191" s="8" t="n"/>
      <x:c r="D191" s="8" t="n"/>
      <x:c r="E191" s="8" t="n"/>
      <x:c r="F191" s="8" t="n"/>
      <x:c r="G191" s="8" t="n"/>
      <x:c r="H191" s="8" t="n"/>
      <x:c r="I191" s="8" t="n"/>
      <x:c r="J191" s="8" t="n"/>
      <x:c r="K191" s="8" t="n"/>
      <x:c r="L191" s="8" t="n"/>
      <x:c r="M191" s="8" t="n"/>
      <x:c r="N191" s="8" t="n"/>
      <x:c r="O191" s="8" t="n"/>
      <x:c r="P191">
        <x:f>COUNTA(J191:N191)</x:f>
      </x:c>
      <x:c r="Q191">
        <x:f>IF(A191="","",IF(P191&lt;&gt;5,1,0))</x:f>
      </x:c>
      <x:c r="R191">
        <x:f>IF(A191="","",IF(COUNTIF($A$5:$A$604,A191)&gt;1,1,0))</x:f>
      </x:c>
    </x:row>
    <x:row r="192">
      <x:c r="A192" s="8" t="n"/>
      <x:c r="B192" s="12" t="n"/>
      <x:c r="C192" s="8" t="n"/>
      <x:c r="D192" s="8" t="n"/>
      <x:c r="E192" s="8" t="n"/>
      <x:c r="F192" s="8" t="n"/>
      <x:c r="G192" s="8" t="n"/>
      <x:c r="H192" s="8" t="n"/>
      <x:c r="I192" s="8" t="n"/>
      <x:c r="J192" s="8" t="n"/>
      <x:c r="K192" s="8" t="n"/>
      <x:c r="L192" s="8" t="n"/>
      <x:c r="M192" s="8" t="n"/>
      <x:c r="N192" s="8" t="n"/>
      <x:c r="O192" s="8" t="n"/>
      <x:c r="P192">
        <x:f>COUNTA(J192:N192)</x:f>
      </x:c>
      <x:c r="Q192">
        <x:f>IF(A192="","",IF(P192&lt;&gt;5,1,0))</x:f>
      </x:c>
      <x:c r="R192">
        <x:f>IF(A192="","",IF(COUNTIF($A$5:$A$604,A192)&gt;1,1,0))</x:f>
      </x:c>
    </x:row>
    <x:row r="193">
      <x:c r="A193" s="8" t="n"/>
      <x:c r="B193" s="12" t="n"/>
      <x:c r="C193" s="8" t="n"/>
      <x:c r="D193" s="8" t="n"/>
      <x:c r="E193" s="8" t="n"/>
      <x:c r="F193" s="8" t="n"/>
      <x:c r="G193" s="8" t="n"/>
      <x:c r="H193" s="8" t="n"/>
      <x:c r="I193" s="8" t="n"/>
      <x:c r="J193" s="8" t="n"/>
      <x:c r="K193" s="8" t="n"/>
      <x:c r="L193" s="8" t="n"/>
      <x:c r="M193" s="8" t="n"/>
      <x:c r="N193" s="8" t="n"/>
      <x:c r="O193" s="8" t="n"/>
      <x:c r="P193">
        <x:f>COUNTA(J193:N193)</x:f>
      </x:c>
      <x:c r="Q193">
        <x:f>IF(A193="","",IF(P193&lt;&gt;5,1,0))</x:f>
      </x:c>
      <x:c r="R193">
        <x:f>IF(A193="","",IF(COUNTIF($A$5:$A$604,A193)&gt;1,1,0))</x:f>
      </x:c>
    </x:row>
    <x:row r="194">
      <x:c r="A194" s="8" t="n"/>
      <x:c r="B194" s="12" t="n"/>
      <x:c r="C194" s="8" t="n"/>
      <x:c r="D194" s="8" t="n"/>
      <x:c r="E194" s="8" t="n"/>
      <x:c r="F194" s="8" t="n"/>
      <x:c r="G194" s="8" t="n"/>
      <x:c r="H194" s="8" t="n"/>
      <x:c r="I194" s="8" t="n"/>
      <x:c r="J194" s="8" t="n"/>
      <x:c r="K194" s="8" t="n"/>
      <x:c r="L194" s="8" t="n"/>
      <x:c r="M194" s="8" t="n"/>
      <x:c r="N194" s="8" t="n"/>
      <x:c r="O194" s="8" t="n"/>
      <x:c r="P194">
        <x:f>COUNTA(J194:N194)</x:f>
      </x:c>
      <x:c r="Q194">
        <x:f>IF(A194="","",IF(P194&lt;&gt;5,1,0))</x:f>
      </x:c>
      <x:c r="R194">
        <x:f>IF(A194="","",IF(COUNTIF($A$5:$A$604,A194)&gt;1,1,0))</x:f>
      </x:c>
    </x:row>
    <x:row r="195">
      <x:c r="A195" s="8" t="n"/>
      <x:c r="B195" s="12" t="n"/>
      <x:c r="C195" s="8" t="n"/>
      <x:c r="D195" s="8" t="n"/>
      <x:c r="E195" s="8" t="n"/>
      <x:c r="F195" s="8" t="n"/>
      <x:c r="G195" s="8" t="n"/>
      <x:c r="H195" s="8" t="n"/>
      <x:c r="I195" s="8" t="n"/>
      <x:c r="J195" s="8" t="n"/>
      <x:c r="K195" s="8" t="n"/>
      <x:c r="L195" s="8" t="n"/>
      <x:c r="M195" s="8" t="n"/>
      <x:c r="N195" s="8" t="n"/>
      <x:c r="O195" s="8" t="n"/>
      <x:c r="P195">
        <x:f>COUNTA(J195:N195)</x:f>
      </x:c>
      <x:c r="Q195">
        <x:f>IF(A195="","",IF(P195&lt;&gt;5,1,0))</x:f>
      </x:c>
      <x:c r="R195">
        <x:f>IF(A195="","",IF(COUNTIF($A$5:$A$604,A195)&gt;1,1,0))</x:f>
      </x:c>
    </x:row>
    <x:row r="196">
      <x:c r="A196" s="8" t="n"/>
      <x:c r="B196" s="12" t="n"/>
      <x:c r="C196" s="8" t="n"/>
      <x:c r="D196" s="8" t="n"/>
      <x:c r="E196" s="8" t="n"/>
      <x:c r="F196" s="8" t="n"/>
      <x:c r="G196" s="8" t="n"/>
      <x:c r="H196" s="8" t="n"/>
      <x:c r="I196" s="8" t="n"/>
      <x:c r="J196" s="8" t="n"/>
      <x:c r="K196" s="8" t="n"/>
      <x:c r="L196" s="8" t="n"/>
      <x:c r="M196" s="8" t="n"/>
      <x:c r="N196" s="8" t="n"/>
      <x:c r="O196" s="8" t="n"/>
      <x:c r="P196">
        <x:f>COUNTA(J196:N196)</x:f>
      </x:c>
      <x:c r="Q196">
        <x:f>IF(A196="","",IF(P196&lt;&gt;5,1,0))</x:f>
      </x:c>
      <x:c r="R196">
        <x:f>IF(A196="","",IF(COUNTIF($A$5:$A$604,A196)&gt;1,1,0))</x:f>
      </x:c>
    </x:row>
    <x:row r="197">
      <x:c r="A197" s="8" t="n"/>
      <x:c r="B197" s="12" t="n"/>
      <x:c r="C197" s="8" t="n"/>
      <x:c r="D197" s="8" t="n"/>
      <x:c r="E197" s="8" t="n"/>
      <x:c r="F197" s="8" t="n"/>
      <x:c r="G197" s="8" t="n"/>
      <x:c r="H197" s="8" t="n"/>
      <x:c r="I197" s="8" t="n"/>
      <x:c r="J197" s="8" t="n"/>
      <x:c r="K197" s="8" t="n"/>
      <x:c r="L197" s="8" t="n"/>
      <x:c r="M197" s="8" t="n"/>
      <x:c r="N197" s="8" t="n"/>
      <x:c r="O197" s="8" t="n"/>
      <x:c r="P197">
        <x:f>COUNTA(J197:N197)</x:f>
      </x:c>
      <x:c r="Q197">
        <x:f>IF(A197="","",IF(P197&lt;&gt;5,1,0))</x:f>
      </x:c>
      <x:c r="R197">
        <x:f>IF(A197="","",IF(COUNTIF($A$5:$A$604,A197)&gt;1,1,0))</x:f>
      </x:c>
    </x:row>
    <x:row r="198">
      <x:c r="A198" s="8" t="n"/>
      <x:c r="B198" s="12" t="n"/>
      <x:c r="C198" s="8" t="n"/>
      <x:c r="D198" s="8" t="n"/>
      <x:c r="E198" s="8" t="n"/>
      <x:c r="F198" s="8" t="n"/>
      <x:c r="G198" s="8" t="n"/>
      <x:c r="H198" s="8" t="n"/>
      <x:c r="I198" s="8" t="n"/>
      <x:c r="J198" s="8" t="n"/>
      <x:c r="K198" s="8" t="n"/>
      <x:c r="L198" s="8" t="n"/>
      <x:c r="M198" s="8" t="n"/>
      <x:c r="N198" s="8" t="n"/>
      <x:c r="O198" s="8" t="n"/>
      <x:c r="P198">
        <x:f>COUNTA(J198:N198)</x:f>
      </x:c>
      <x:c r="Q198">
        <x:f>IF(A198="","",IF(P198&lt;&gt;5,1,0))</x:f>
      </x:c>
      <x:c r="R198">
        <x:f>IF(A198="","",IF(COUNTIF($A$5:$A$604,A198)&gt;1,1,0))</x:f>
      </x:c>
    </x:row>
    <x:row r="199">
      <x:c r="A199" s="8" t="n"/>
      <x:c r="B199" s="12" t="n"/>
      <x:c r="C199" s="8" t="n"/>
      <x:c r="D199" s="8" t="n"/>
      <x:c r="E199" s="8" t="n"/>
      <x:c r="F199" s="8" t="n"/>
      <x:c r="G199" s="8" t="n"/>
      <x:c r="H199" s="8" t="n"/>
      <x:c r="I199" s="8" t="n"/>
      <x:c r="J199" s="8" t="n"/>
      <x:c r="K199" s="8" t="n"/>
      <x:c r="L199" s="8" t="n"/>
      <x:c r="M199" s="8" t="n"/>
      <x:c r="N199" s="8" t="n"/>
      <x:c r="O199" s="8" t="n"/>
      <x:c r="P199">
        <x:f>COUNTA(J199:N199)</x:f>
      </x:c>
      <x:c r="Q199">
        <x:f>IF(A199="","",IF(P199&lt;&gt;5,1,0))</x:f>
      </x:c>
      <x:c r="R199">
        <x:f>IF(A199="","",IF(COUNTIF($A$5:$A$604,A199)&gt;1,1,0))</x:f>
      </x:c>
    </x:row>
    <x:row r="200">
      <x:c r="A200" s="8" t="n"/>
      <x:c r="B200" s="12" t="n"/>
      <x:c r="C200" s="8" t="n"/>
      <x:c r="D200" s="8" t="n"/>
      <x:c r="E200" s="8" t="n"/>
      <x:c r="F200" s="8" t="n"/>
      <x:c r="G200" s="8" t="n"/>
      <x:c r="H200" s="8" t="n"/>
      <x:c r="I200" s="8" t="n"/>
      <x:c r="J200" s="8" t="n"/>
      <x:c r="K200" s="8" t="n"/>
      <x:c r="L200" s="8" t="n"/>
      <x:c r="M200" s="8" t="n"/>
      <x:c r="N200" s="8" t="n"/>
      <x:c r="O200" s="8" t="n"/>
      <x:c r="P200">
        <x:f>COUNTA(J200:N200)</x:f>
      </x:c>
      <x:c r="Q200">
        <x:f>IF(A200="","",IF(P200&lt;&gt;5,1,0))</x:f>
      </x:c>
      <x:c r="R200">
        <x:f>IF(A200="","",IF(COUNTIF($A$5:$A$604,A200)&gt;1,1,0))</x:f>
      </x:c>
    </x:row>
    <x:row r="201">
      <x:c r="A201" s="8" t="n"/>
      <x:c r="B201" s="12" t="n"/>
      <x:c r="C201" s="8" t="n"/>
      <x:c r="D201" s="8" t="n"/>
      <x:c r="E201" s="8" t="n"/>
      <x:c r="F201" s="8" t="n"/>
      <x:c r="G201" s="8" t="n"/>
      <x:c r="H201" s="8" t="n"/>
      <x:c r="I201" s="8" t="n"/>
      <x:c r="J201" s="8" t="n"/>
      <x:c r="K201" s="8" t="n"/>
      <x:c r="L201" s="8" t="n"/>
      <x:c r="M201" s="8" t="n"/>
      <x:c r="N201" s="8" t="n"/>
      <x:c r="O201" s="8" t="n"/>
      <x:c r="P201">
        <x:f>COUNTA(J201:N201)</x:f>
      </x:c>
      <x:c r="Q201">
        <x:f>IF(A201="","",IF(P201&lt;&gt;5,1,0))</x:f>
      </x:c>
      <x:c r="R201">
        <x:f>IF(A201="","",IF(COUNTIF($A$5:$A$604,A201)&gt;1,1,0))</x:f>
      </x:c>
    </x:row>
    <x:row r="202">
      <x:c r="A202" s="8" t="n"/>
      <x:c r="B202" s="12" t="n"/>
      <x:c r="C202" s="8" t="n"/>
      <x:c r="D202" s="8" t="n"/>
      <x:c r="E202" s="8" t="n"/>
      <x:c r="F202" s="8" t="n"/>
      <x:c r="G202" s="8" t="n"/>
      <x:c r="H202" s="8" t="n"/>
      <x:c r="I202" s="8" t="n"/>
      <x:c r="J202" s="8" t="n"/>
      <x:c r="K202" s="8" t="n"/>
      <x:c r="L202" s="8" t="n"/>
      <x:c r="M202" s="8" t="n"/>
      <x:c r="N202" s="8" t="n"/>
      <x:c r="O202" s="8" t="n"/>
      <x:c r="P202">
        <x:f>COUNTA(J202:N202)</x:f>
      </x:c>
      <x:c r="Q202">
        <x:f>IF(A202="","",IF(P202&lt;&gt;5,1,0))</x:f>
      </x:c>
      <x:c r="R202">
        <x:f>IF(A202="","",IF(COUNTIF($A$5:$A$604,A202)&gt;1,1,0))</x:f>
      </x:c>
    </x:row>
    <x:row r="203">
      <x:c r="A203" s="8" t="n"/>
      <x:c r="B203" s="12" t="n"/>
      <x:c r="C203" s="8" t="n"/>
      <x:c r="D203" s="8" t="n"/>
      <x:c r="E203" s="8" t="n"/>
      <x:c r="F203" s="8" t="n"/>
      <x:c r="G203" s="8" t="n"/>
      <x:c r="H203" s="8" t="n"/>
      <x:c r="I203" s="8" t="n"/>
      <x:c r="J203" s="8" t="n"/>
      <x:c r="K203" s="8" t="n"/>
      <x:c r="L203" s="8" t="n"/>
      <x:c r="M203" s="8" t="n"/>
      <x:c r="N203" s="8" t="n"/>
      <x:c r="O203" s="8" t="n"/>
      <x:c r="P203">
        <x:f>COUNTA(J203:N203)</x:f>
      </x:c>
      <x:c r="Q203">
        <x:f>IF(A203="","",IF(P203&lt;&gt;5,1,0))</x:f>
      </x:c>
      <x:c r="R203">
        <x:f>IF(A203="","",IF(COUNTIF($A$5:$A$604,A203)&gt;1,1,0))</x:f>
      </x:c>
    </x:row>
    <x:row r="204">
      <x:c r="A204" s="8" t="n"/>
      <x:c r="B204" s="12" t="n"/>
      <x:c r="C204" s="8" t="n"/>
      <x:c r="D204" s="8" t="n"/>
      <x:c r="E204" s="8" t="n"/>
      <x:c r="F204" s="8" t="n"/>
      <x:c r="G204" s="8" t="n"/>
      <x:c r="H204" s="8" t="n"/>
      <x:c r="I204" s="8" t="n"/>
      <x:c r="J204" s="8" t="n"/>
      <x:c r="K204" s="8" t="n"/>
      <x:c r="L204" s="8" t="n"/>
      <x:c r="M204" s="8" t="n"/>
      <x:c r="N204" s="8" t="n"/>
      <x:c r="O204" s="8" t="n"/>
      <x:c r="P204">
        <x:f>COUNTA(J204:N204)</x:f>
      </x:c>
      <x:c r="Q204">
        <x:f>IF(A204="","",IF(P204&lt;&gt;5,1,0))</x:f>
      </x:c>
      <x:c r="R204">
        <x:f>IF(A204="","",IF(COUNTIF($A$5:$A$604,A204)&gt;1,1,0))</x:f>
      </x:c>
    </x:row>
    <x:row r="205">
      <x:c r="A205" s="8" t="n"/>
      <x:c r="B205" s="12" t="n"/>
      <x:c r="C205" s="8" t="n"/>
      <x:c r="D205" s="8" t="n"/>
      <x:c r="E205" s="8" t="n"/>
      <x:c r="F205" s="8" t="n"/>
      <x:c r="G205" s="8" t="n"/>
      <x:c r="H205" s="8" t="n"/>
      <x:c r="I205" s="8" t="n"/>
      <x:c r="J205" s="8" t="n"/>
      <x:c r="K205" s="8" t="n"/>
      <x:c r="L205" s="8" t="n"/>
      <x:c r="M205" s="8" t="n"/>
      <x:c r="N205" s="8" t="n"/>
      <x:c r="O205" s="8" t="n"/>
      <x:c r="P205">
        <x:f>COUNTA(J205:N205)</x:f>
      </x:c>
      <x:c r="Q205">
        <x:f>IF(A205="","",IF(P205&lt;&gt;5,1,0))</x:f>
      </x:c>
      <x:c r="R205">
        <x:f>IF(A205="","",IF(COUNTIF($A$5:$A$604,A205)&gt;1,1,0))</x:f>
      </x:c>
    </x:row>
    <x:row r="206">
      <x:c r="A206" s="8" t="n"/>
      <x:c r="B206" s="12" t="n"/>
      <x:c r="C206" s="8" t="n"/>
      <x:c r="D206" s="8" t="n"/>
      <x:c r="E206" s="8" t="n"/>
      <x:c r="F206" s="8" t="n"/>
      <x:c r="G206" s="8" t="n"/>
      <x:c r="H206" s="8" t="n"/>
      <x:c r="I206" s="8" t="n"/>
      <x:c r="J206" s="8" t="n"/>
      <x:c r="K206" s="8" t="n"/>
      <x:c r="L206" s="8" t="n"/>
      <x:c r="M206" s="8" t="n"/>
      <x:c r="N206" s="8" t="n"/>
      <x:c r="O206" s="8" t="n"/>
      <x:c r="P206">
        <x:f>COUNTA(J206:N206)</x:f>
      </x:c>
      <x:c r="Q206">
        <x:f>IF(A206="","",IF(P206&lt;&gt;5,1,0))</x:f>
      </x:c>
      <x:c r="R206">
        <x:f>IF(A206="","",IF(COUNTIF($A$5:$A$604,A206)&gt;1,1,0))</x:f>
      </x:c>
    </x:row>
    <x:row r="207">
      <x:c r="A207" s="8" t="n"/>
      <x:c r="B207" s="12" t="n"/>
      <x:c r="C207" s="8" t="n"/>
      <x:c r="D207" s="8" t="n"/>
      <x:c r="E207" s="8" t="n"/>
      <x:c r="F207" s="8" t="n"/>
      <x:c r="G207" s="8" t="n"/>
      <x:c r="H207" s="8" t="n"/>
      <x:c r="I207" s="8" t="n"/>
      <x:c r="J207" s="8" t="n"/>
      <x:c r="K207" s="8" t="n"/>
      <x:c r="L207" s="8" t="n"/>
      <x:c r="M207" s="8" t="n"/>
      <x:c r="N207" s="8" t="n"/>
      <x:c r="O207" s="8" t="n"/>
      <x:c r="P207">
        <x:f>COUNTA(J207:N207)</x:f>
      </x:c>
      <x:c r="Q207">
        <x:f>IF(A207="","",IF(P207&lt;&gt;5,1,0))</x:f>
      </x:c>
      <x:c r="R207">
        <x:f>IF(A207="","",IF(COUNTIF($A$5:$A$604,A207)&gt;1,1,0))</x:f>
      </x:c>
    </x:row>
    <x:row r="208">
      <x:c r="A208" s="8" t="n"/>
      <x:c r="B208" s="12" t="n"/>
      <x:c r="C208" s="8" t="n"/>
      <x:c r="D208" s="8" t="n"/>
      <x:c r="E208" s="8" t="n"/>
      <x:c r="F208" s="8" t="n"/>
      <x:c r="G208" s="8" t="n"/>
      <x:c r="H208" s="8" t="n"/>
      <x:c r="I208" s="8" t="n"/>
      <x:c r="J208" s="8" t="n"/>
      <x:c r="K208" s="8" t="n"/>
      <x:c r="L208" s="8" t="n"/>
      <x:c r="M208" s="8" t="n"/>
      <x:c r="N208" s="8" t="n"/>
      <x:c r="O208" s="8" t="n"/>
      <x:c r="P208">
        <x:f>COUNTA(J208:N208)</x:f>
      </x:c>
      <x:c r="Q208">
        <x:f>IF(A208="","",IF(P208&lt;&gt;5,1,0))</x:f>
      </x:c>
      <x:c r="R208">
        <x:f>IF(A208="","",IF(COUNTIF($A$5:$A$604,A208)&gt;1,1,0))</x:f>
      </x:c>
    </x:row>
    <x:row r="209">
      <x:c r="A209" s="8" t="n"/>
      <x:c r="B209" s="12" t="n"/>
      <x:c r="C209" s="8" t="n"/>
      <x:c r="D209" s="8" t="n"/>
      <x:c r="E209" s="8" t="n"/>
      <x:c r="F209" s="8" t="n"/>
      <x:c r="G209" s="8" t="n"/>
      <x:c r="H209" s="8" t="n"/>
      <x:c r="I209" s="8" t="n"/>
      <x:c r="J209" s="8" t="n"/>
      <x:c r="K209" s="8" t="n"/>
      <x:c r="L209" s="8" t="n"/>
      <x:c r="M209" s="8" t="n"/>
      <x:c r="N209" s="8" t="n"/>
      <x:c r="O209" s="8" t="n"/>
      <x:c r="P209">
        <x:f>COUNTA(J209:N209)</x:f>
      </x:c>
      <x:c r="Q209">
        <x:f>IF(A209="","",IF(P209&lt;&gt;5,1,0))</x:f>
      </x:c>
      <x:c r="R209">
        <x:f>IF(A209="","",IF(COUNTIF($A$5:$A$604,A209)&gt;1,1,0))</x:f>
      </x:c>
    </x:row>
    <x:row r="210">
      <x:c r="A210" s="8" t="n"/>
      <x:c r="B210" s="12" t="n"/>
      <x:c r="C210" s="8" t="n"/>
      <x:c r="D210" s="8" t="n"/>
      <x:c r="E210" s="8" t="n"/>
      <x:c r="F210" s="8" t="n"/>
      <x:c r="G210" s="8" t="n"/>
      <x:c r="H210" s="8" t="n"/>
      <x:c r="I210" s="8" t="n"/>
      <x:c r="J210" s="8" t="n"/>
      <x:c r="K210" s="8" t="n"/>
      <x:c r="L210" s="8" t="n"/>
      <x:c r="M210" s="8" t="n"/>
      <x:c r="N210" s="8" t="n"/>
      <x:c r="O210" s="8" t="n"/>
      <x:c r="P210">
        <x:f>COUNTA(J210:N210)</x:f>
      </x:c>
      <x:c r="Q210">
        <x:f>IF(A210="","",IF(P210&lt;&gt;5,1,0))</x:f>
      </x:c>
      <x:c r="R210">
        <x:f>IF(A210="","",IF(COUNTIF($A$5:$A$604,A210)&gt;1,1,0))</x:f>
      </x:c>
    </x:row>
    <x:row r="211">
      <x:c r="A211" s="8" t="n"/>
      <x:c r="B211" s="12" t="n"/>
      <x:c r="C211" s="8" t="n"/>
      <x:c r="D211" s="8" t="n"/>
      <x:c r="E211" s="8" t="n"/>
      <x:c r="F211" s="8" t="n"/>
      <x:c r="G211" s="8" t="n"/>
      <x:c r="H211" s="8" t="n"/>
      <x:c r="I211" s="8" t="n"/>
      <x:c r="J211" s="8" t="n"/>
      <x:c r="K211" s="8" t="n"/>
      <x:c r="L211" s="8" t="n"/>
      <x:c r="M211" s="8" t="n"/>
      <x:c r="N211" s="8" t="n"/>
      <x:c r="O211" s="8" t="n"/>
      <x:c r="P211">
        <x:f>COUNTA(J211:N211)</x:f>
      </x:c>
      <x:c r="Q211">
        <x:f>IF(A211="","",IF(P211&lt;&gt;5,1,0))</x:f>
      </x:c>
      <x:c r="R211">
        <x:f>IF(A211="","",IF(COUNTIF($A$5:$A$604,A211)&gt;1,1,0))</x:f>
      </x:c>
    </x:row>
    <x:row r="212">
      <x:c r="A212" s="8" t="n"/>
      <x:c r="B212" s="12" t="n"/>
      <x:c r="C212" s="8" t="n"/>
      <x:c r="D212" s="8" t="n"/>
      <x:c r="E212" s="8" t="n"/>
      <x:c r="F212" s="8" t="n"/>
      <x:c r="G212" s="8" t="n"/>
      <x:c r="H212" s="8" t="n"/>
      <x:c r="I212" s="8" t="n"/>
      <x:c r="J212" s="8" t="n"/>
      <x:c r="K212" s="8" t="n"/>
      <x:c r="L212" s="8" t="n"/>
      <x:c r="M212" s="8" t="n"/>
      <x:c r="N212" s="8" t="n"/>
      <x:c r="O212" s="8" t="n"/>
      <x:c r="P212">
        <x:f>COUNTA(J212:N212)</x:f>
      </x:c>
      <x:c r="Q212">
        <x:f>IF(A212="","",IF(P212&lt;&gt;5,1,0))</x:f>
      </x:c>
      <x:c r="R212">
        <x:f>IF(A212="","",IF(COUNTIF($A$5:$A$604,A212)&gt;1,1,0))</x:f>
      </x:c>
    </x:row>
    <x:row r="213">
      <x:c r="A213" s="8" t="n"/>
      <x:c r="B213" s="12" t="n"/>
      <x:c r="C213" s="8" t="n"/>
      <x:c r="D213" s="8" t="n"/>
      <x:c r="E213" s="8" t="n"/>
      <x:c r="F213" s="8" t="n"/>
      <x:c r="G213" s="8" t="n"/>
      <x:c r="H213" s="8" t="n"/>
      <x:c r="I213" s="8" t="n"/>
      <x:c r="J213" s="8" t="n"/>
      <x:c r="K213" s="8" t="n"/>
      <x:c r="L213" s="8" t="n"/>
      <x:c r="M213" s="8" t="n"/>
      <x:c r="N213" s="8" t="n"/>
      <x:c r="O213" s="8" t="n"/>
      <x:c r="P213">
        <x:f>COUNTA(J213:N213)</x:f>
      </x:c>
      <x:c r="Q213">
        <x:f>IF(A213="","",IF(P213&lt;&gt;5,1,0))</x:f>
      </x:c>
      <x:c r="R213">
        <x:f>IF(A213="","",IF(COUNTIF($A$5:$A$604,A213)&gt;1,1,0))</x:f>
      </x:c>
    </x:row>
    <x:row r="214">
      <x:c r="A214" s="8" t="n"/>
      <x:c r="B214" s="12" t="n"/>
      <x:c r="C214" s="8" t="n"/>
      <x:c r="D214" s="8" t="n"/>
      <x:c r="E214" s="8" t="n"/>
      <x:c r="F214" s="8" t="n"/>
      <x:c r="G214" s="8" t="n"/>
      <x:c r="H214" s="8" t="n"/>
      <x:c r="I214" s="8" t="n"/>
      <x:c r="J214" s="8" t="n"/>
      <x:c r="K214" s="8" t="n"/>
      <x:c r="L214" s="8" t="n"/>
      <x:c r="M214" s="8" t="n"/>
      <x:c r="N214" s="8" t="n"/>
      <x:c r="O214" s="8" t="n"/>
      <x:c r="P214">
        <x:f>COUNTA(J214:N214)</x:f>
      </x:c>
      <x:c r="Q214">
        <x:f>IF(A214="","",IF(P214&lt;&gt;5,1,0))</x:f>
      </x:c>
      <x:c r="R214">
        <x:f>IF(A214="","",IF(COUNTIF($A$5:$A$604,A214)&gt;1,1,0))</x:f>
      </x:c>
    </x:row>
    <x:row r="215">
      <x:c r="A215" s="8" t="n"/>
      <x:c r="B215" s="12" t="n"/>
      <x:c r="C215" s="8" t="n"/>
      <x:c r="D215" s="8" t="n"/>
      <x:c r="E215" s="8" t="n"/>
      <x:c r="F215" s="8" t="n"/>
      <x:c r="G215" s="8" t="n"/>
      <x:c r="H215" s="8" t="n"/>
      <x:c r="I215" s="8" t="n"/>
      <x:c r="J215" s="8" t="n"/>
      <x:c r="K215" s="8" t="n"/>
      <x:c r="L215" s="8" t="n"/>
      <x:c r="M215" s="8" t="n"/>
      <x:c r="N215" s="8" t="n"/>
      <x:c r="O215" s="8" t="n"/>
      <x:c r="P215">
        <x:f>COUNTA(J215:N215)</x:f>
      </x:c>
      <x:c r="Q215">
        <x:f>IF(A215="","",IF(P215&lt;&gt;5,1,0))</x:f>
      </x:c>
      <x:c r="R215">
        <x:f>IF(A215="","",IF(COUNTIF($A$5:$A$604,A215)&gt;1,1,0))</x:f>
      </x:c>
    </x:row>
    <x:row r="216">
      <x:c r="A216" s="8" t="n"/>
      <x:c r="B216" s="12" t="n"/>
      <x:c r="C216" s="8" t="n"/>
      <x:c r="D216" s="8" t="n"/>
      <x:c r="E216" s="8" t="n"/>
      <x:c r="F216" s="8" t="n"/>
      <x:c r="G216" s="8" t="n"/>
      <x:c r="H216" s="8" t="n"/>
      <x:c r="I216" s="8" t="n"/>
      <x:c r="J216" s="8" t="n"/>
      <x:c r="K216" s="8" t="n"/>
      <x:c r="L216" s="8" t="n"/>
      <x:c r="M216" s="8" t="n"/>
      <x:c r="N216" s="8" t="n"/>
      <x:c r="O216" s="8" t="n"/>
      <x:c r="P216">
        <x:f>COUNTA(J216:N216)</x:f>
      </x:c>
      <x:c r="Q216">
        <x:f>IF(A216="","",IF(P216&lt;&gt;5,1,0))</x:f>
      </x:c>
      <x:c r="R216">
        <x:f>IF(A216="","",IF(COUNTIF($A$5:$A$604,A216)&gt;1,1,0))</x:f>
      </x:c>
    </x:row>
    <x:row r="217">
      <x:c r="A217" s="8" t="n"/>
      <x:c r="B217" s="12" t="n"/>
      <x:c r="C217" s="8" t="n"/>
      <x:c r="D217" s="8" t="n"/>
      <x:c r="E217" s="8" t="n"/>
      <x:c r="F217" s="8" t="n"/>
      <x:c r="G217" s="8" t="n"/>
      <x:c r="H217" s="8" t="n"/>
      <x:c r="I217" s="8" t="n"/>
      <x:c r="J217" s="8" t="n"/>
      <x:c r="K217" s="8" t="n"/>
      <x:c r="L217" s="8" t="n"/>
      <x:c r="M217" s="8" t="n"/>
      <x:c r="N217" s="8" t="n"/>
      <x:c r="O217" s="8" t="n"/>
      <x:c r="P217">
        <x:f>COUNTA(J217:N217)</x:f>
      </x:c>
      <x:c r="Q217">
        <x:f>IF(A217="","",IF(P217&lt;&gt;5,1,0))</x:f>
      </x:c>
      <x:c r="R217">
        <x:f>IF(A217="","",IF(COUNTIF($A$5:$A$604,A217)&gt;1,1,0))</x:f>
      </x:c>
    </x:row>
    <x:row r="218">
      <x:c r="A218" s="8" t="n"/>
      <x:c r="B218" s="12" t="n"/>
      <x:c r="C218" s="8" t="n"/>
      <x:c r="D218" s="8" t="n"/>
      <x:c r="E218" s="8" t="n"/>
      <x:c r="F218" s="8" t="n"/>
      <x:c r="G218" s="8" t="n"/>
      <x:c r="H218" s="8" t="n"/>
      <x:c r="I218" s="8" t="n"/>
      <x:c r="J218" s="8" t="n"/>
      <x:c r="K218" s="8" t="n"/>
      <x:c r="L218" s="8" t="n"/>
      <x:c r="M218" s="8" t="n"/>
      <x:c r="N218" s="8" t="n"/>
      <x:c r="O218" s="8" t="n"/>
      <x:c r="P218">
        <x:f>COUNTA(J218:N218)</x:f>
      </x:c>
      <x:c r="Q218">
        <x:f>IF(A218="","",IF(P218&lt;&gt;5,1,0))</x:f>
      </x:c>
      <x:c r="R218">
        <x:f>IF(A218="","",IF(COUNTIF($A$5:$A$604,A218)&gt;1,1,0))</x:f>
      </x:c>
    </x:row>
    <x:row r="219">
      <x:c r="A219" s="8" t="n"/>
      <x:c r="B219" s="12" t="n"/>
      <x:c r="C219" s="8" t="n"/>
      <x:c r="D219" s="8" t="n"/>
      <x:c r="E219" s="8" t="n"/>
      <x:c r="F219" s="8" t="n"/>
      <x:c r="G219" s="8" t="n"/>
      <x:c r="H219" s="8" t="n"/>
      <x:c r="I219" s="8" t="n"/>
      <x:c r="J219" s="8" t="n"/>
      <x:c r="K219" s="8" t="n"/>
      <x:c r="L219" s="8" t="n"/>
      <x:c r="M219" s="8" t="n"/>
      <x:c r="N219" s="8" t="n"/>
      <x:c r="O219" s="8" t="n"/>
      <x:c r="P219">
        <x:f>COUNTA(J219:N219)</x:f>
      </x:c>
      <x:c r="Q219">
        <x:f>IF(A219="","",IF(P219&lt;&gt;5,1,0))</x:f>
      </x:c>
      <x:c r="R219">
        <x:f>IF(A219="","",IF(COUNTIF($A$5:$A$604,A219)&gt;1,1,0))</x:f>
      </x:c>
    </x:row>
    <x:row r="220">
      <x:c r="A220" s="8" t="n"/>
      <x:c r="B220" s="12" t="n"/>
      <x:c r="C220" s="8" t="n"/>
      <x:c r="D220" s="8" t="n"/>
      <x:c r="E220" s="8" t="n"/>
      <x:c r="F220" s="8" t="n"/>
      <x:c r="G220" s="8" t="n"/>
      <x:c r="H220" s="8" t="n"/>
      <x:c r="I220" s="8" t="n"/>
      <x:c r="J220" s="8" t="n"/>
      <x:c r="K220" s="8" t="n"/>
      <x:c r="L220" s="8" t="n"/>
      <x:c r="M220" s="8" t="n"/>
      <x:c r="N220" s="8" t="n"/>
      <x:c r="O220" s="8" t="n"/>
      <x:c r="P220">
        <x:f>COUNTA(J220:N220)</x:f>
      </x:c>
      <x:c r="Q220">
        <x:f>IF(A220="","",IF(P220&lt;&gt;5,1,0))</x:f>
      </x:c>
      <x:c r="R220">
        <x:f>IF(A220="","",IF(COUNTIF($A$5:$A$604,A220)&gt;1,1,0))</x:f>
      </x:c>
    </x:row>
    <x:row r="221">
      <x:c r="A221" s="8" t="n"/>
      <x:c r="B221" s="12" t="n"/>
      <x:c r="C221" s="8" t="n"/>
      <x:c r="D221" s="8" t="n"/>
      <x:c r="E221" s="8" t="n"/>
      <x:c r="F221" s="8" t="n"/>
      <x:c r="G221" s="8" t="n"/>
      <x:c r="H221" s="8" t="n"/>
      <x:c r="I221" s="8" t="n"/>
      <x:c r="J221" s="8" t="n"/>
      <x:c r="K221" s="8" t="n"/>
      <x:c r="L221" s="8" t="n"/>
      <x:c r="M221" s="8" t="n"/>
      <x:c r="N221" s="8" t="n"/>
      <x:c r="O221" s="8" t="n"/>
      <x:c r="P221">
        <x:f>COUNTA(J221:N221)</x:f>
      </x:c>
      <x:c r="Q221">
        <x:f>IF(A221="","",IF(P221&lt;&gt;5,1,0))</x:f>
      </x:c>
      <x:c r="R221">
        <x:f>IF(A221="","",IF(COUNTIF($A$5:$A$604,A221)&gt;1,1,0))</x:f>
      </x:c>
    </x:row>
    <x:row r="222">
      <x:c r="A222" s="8" t="n"/>
      <x:c r="B222" s="12" t="n"/>
      <x:c r="C222" s="8" t="n"/>
      <x:c r="D222" s="8" t="n"/>
      <x:c r="E222" s="8" t="n"/>
      <x:c r="F222" s="8" t="n"/>
      <x:c r="G222" s="8" t="n"/>
      <x:c r="H222" s="8" t="n"/>
      <x:c r="I222" s="8" t="n"/>
      <x:c r="J222" s="8" t="n"/>
      <x:c r="K222" s="8" t="n"/>
      <x:c r="L222" s="8" t="n"/>
      <x:c r="M222" s="8" t="n"/>
      <x:c r="N222" s="8" t="n"/>
      <x:c r="O222" s="8" t="n"/>
      <x:c r="P222">
        <x:f>COUNTA(J222:N222)</x:f>
      </x:c>
      <x:c r="Q222">
        <x:f>IF(A222="","",IF(P222&lt;&gt;5,1,0))</x:f>
      </x:c>
      <x:c r="R222">
        <x:f>IF(A222="","",IF(COUNTIF($A$5:$A$604,A222)&gt;1,1,0))</x:f>
      </x:c>
    </x:row>
    <x:row r="223">
      <x:c r="A223" s="8" t="n"/>
      <x:c r="B223" s="12" t="n"/>
      <x:c r="C223" s="8" t="n"/>
      <x:c r="D223" s="8" t="n"/>
      <x:c r="E223" s="8" t="n"/>
      <x:c r="F223" s="8" t="n"/>
      <x:c r="G223" s="8" t="n"/>
      <x:c r="H223" s="8" t="n"/>
      <x:c r="I223" s="8" t="n"/>
      <x:c r="J223" s="8" t="n"/>
      <x:c r="K223" s="8" t="n"/>
      <x:c r="L223" s="8" t="n"/>
      <x:c r="M223" s="8" t="n"/>
      <x:c r="N223" s="8" t="n"/>
      <x:c r="O223" s="8" t="n"/>
      <x:c r="P223">
        <x:f>COUNTA(J223:N223)</x:f>
      </x:c>
      <x:c r="Q223">
        <x:f>IF(A223="","",IF(P223&lt;&gt;5,1,0))</x:f>
      </x:c>
      <x:c r="R223">
        <x:f>IF(A223="","",IF(COUNTIF($A$5:$A$604,A223)&gt;1,1,0))</x:f>
      </x:c>
    </x:row>
    <x:row r="224">
      <x:c r="A224" s="8" t="n"/>
      <x:c r="B224" s="12" t="n"/>
      <x:c r="C224" s="8" t="n"/>
      <x:c r="D224" s="8" t="n"/>
      <x:c r="E224" s="8" t="n"/>
      <x:c r="F224" s="8" t="n"/>
      <x:c r="G224" s="8" t="n"/>
      <x:c r="H224" s="8" t="n"/>
      <x:c r="I224" s="8" t="n"/>
      <x:c r="J224" s="8" t="n"/>
      <x:c r="K224" s="8" t="n"/>
      <x:c r="L224" s="8" t="n"/>
      <x:c r="M224" s="8" t="n"/>
      <x:c r="N224" s="8" t="n"/>
      <x:c r="O224" s="8" t="n"/>
      <x:c r="P224">
        <x:f>COUNTA(J224:N224)</x:f>
      </x:c>
      <x:c r="Q224">
        <x:f>IF(A224="","",IF(P224&lt;&gt;5,1,0))</x:f>
      </x:c>
      <x:c r="R224">
        <x:f>IF(A224="","",IF(COUNTIF($A$5:$A$604,A224)&gt;1,1,0))</x:f>
      </x:c>
    </x:row>
    <x:row r="225">
      <x:c r="A225" s="8" t="n"/>
      <x:c r="B225" s="12" t="n"/>
      <x:c r="C225" s="8" t="n"/>
      <x:c r="D225" s="8" t="n"/>
      <x:c r="E225" s="8" t="n"/>
      <x:c r="F225" s="8" t="n"/>
      <x:c r="G225" s="8" t="n"/>
      <x:c r="H225" s="8" t="n"/>
      <x:c r="I225" s="8" t="n"/>
      <x:c r="J225" s="8" t="n"/>
      <x:c r="K225" s="8" t="n"/>
      <x:c r="L225" s="8" t="n"/>
      <x:c r="M225" s="8" t="n"/>
      <x:c r="N225" s="8" t="n"/>
      <x:c r="O225" s="8" t="n"/>
      <x:c r="P225">
        <x:f>COUNTA(J225:N225)</x:f>
      </x:c>
      <x:c r="Q225">
        <x:f>IF(A225="","",IF(P225&lt;&gt;5,1,0))</x:f>
      </x:c>
      <x:c r="R225">
        <x:f>IF(A225="","",IF(COUNTIF($A$5:$A$604,A225)&gt;1,1,0))</x:f>
      </x:c>
    </x:row>
    <x:row r="226">
      <x:c r="A226" s="8" t="n"/>
      <x:c r="B226" s="12" t="n"/>
      <x:c r="C226" s="8" t="n"/>
      <x:c r="D226" s="8" t="n"/>
      <x:c r="E226" s="8" t="n"/>
      <x:c r="F226" s="8" t="n"/>
      <x:c r="G226" s="8" t="n"/>
      <x:c r="H226" s="8" t="n"/>
      <x:c r="I226" s="8" t="n"/>
      <x:c r="J226" s="8" t="n"/>
      <x:c r="K226" s="8" t="n"/>
      <x:c r="L226" s="8" t="n"/>
      <x:c r="M226" s="8" t="n"/>
      <x:c r="N226" s="8" t="n"/>
      <x:c r="O226" s="8" t="n"/>
      <x:c r="P226">
        <x:f>COUNTA(J226:N226)</x:f>
      </x:c>
      <x:c r="Q226">
        <x:f>IF(A226="","",IF(P226&lt;&gt;5,1,0))</x:f>
      </x:c>
      <x:c r="R226">
        <x:f>IF(A226="","",IF(COUNTIF($A$5:$A$604,A226)&gt;1,1,0))</x:f>
      </x:c>
    </x:row>
    <x:row r="227">
      <x:c r="A227" s="8" t="n"/>
      <x:c r="B227" s="12" t="n"/>
      <x:c r="C227" s="8" t="n"/>
      <x:c r="D227" s="8" t="n"/>
      <x:c r="E227" s="8" t="n"/>
      <x:c r="F227" s="8" t="n"/>
      <x:c r="G227" s="8" t="n"/>
      <x:c r="H227" s="8" t="n"/>
      <x:c r="I227" s="8" t="n"/>
      <x:c r="J227" s="8" t="n"/>
      <x:c r="K227" s="8" t="n"/>
      <x:c r="L227" s="8" t="n"/>
      <x:c r="M227" s="8" t="n"/>
      <x:c r="N227" s="8" t="n"/>
      <x:c r="O227" s="8" t="n"/>
      <x:c r="P227">
        <x:f>COUNTA(J227:N227)</x:f>
      </x:c>
      <x:c r="Q227">
        <x:f>IF(A227="","",IF(P227&lt;&gt;5,1,0))</x:f>
      </x:c>
      <x:c r="R227">
        <x:f>IF(A227="","",IF(COUNTIF($A$5:$A$604,A227)&gt;1,1,0))</x:f>
      </x:c>
    </x:row>
    <x:row r="228">
      <x:c r="A228" s="8" t="n"/>
      <x:c r="B228" s="12" t="n"/>
      <x:c r="C228" s="8" t="n"/>
      <x:c r="D228" s="8" t="n"/>
      <x:c r="E228" s="8" t="n"/>
      <x:c r="F228" s="8" t="n"/>
      <x:c r="G228" s="8" t="n"/>
      <x:c r="H228" s="8" t="n"/>
      <x:c r="I228" s="8" t="n"/>
      <x:c r="J228" s="8" t="n"/>
      <x:c r="K228" s="8" t="n"/>
      <x:c r="L228" s="8" t="n"/>
      <x:c r="M228" s="8" t="n"/>
      <x:c r="N228" s="8" t="n"/>
      <x:c r="O228" s="8" t="n"/>
      <x:c r="P228">
        <x:f>COUNTA(J228:N228)</x:f>
      </x:c>
      <x:c r="Q228">
        <x:f>IF(A228="","",IF(P228&lt;&gt;5,1,0))</x:f>
      </x:c>
      <x:c r="R228">
        <x:f>IF(A228="","",IF(COUNTIF($A$5:$A$604,A228)&gt;1,1,0))</x:f>
      </x:c>
    </x:row>
    <x:row r="229">
      <x:c r="A229" s="8" t="n"/>
      <x:c r="B229" s="12" t="n"/>
      <x:c r="C229" s="8" t="n"/>
      <x:c r="D229" s="8" t="n"/>
      <x:c r="E229" s="8" t="n"/>
      <x:c r="F229" s="8" t="n"/>
      <x:c r="G229" s="8" t="n"/>
      <x:c r="H229" s="8" t="n"/>
      <x:c r="I229" s="8" t="n"/>
      <x:c r="J229" s="8" t="n"/>
      <x:c r="K229" s="8" t="n"/>
      <x:c r="L229" s="8" t="n"/>
      <x:c r="M229" s="8" t="n"/>
      <x:c r="N229" s="8" t="n"/>
      <x:c r="O229" s="8" t="n"/>
      <x:c r="P229">
        <x:f>COUNTA(J229:N229)</x:f>
      </x:c>
      <x:c r="Q229">
        <x:f>IF(A229="","",IF(P229&lt;&gt;5,1,0))</x:f>
      </x:c>
      <x:c r="R229">
        <x:f>IF(A229="","",IF(COUNTIF($A$5:$A$604,A229)&gt;1,1,0))</x:f>
      </x:c>
    </x:row>
    <x:row r="230">
      <x:c r="A230" s="8" t="n"/>
      <x:c r="B230" s="12" t="n"/>
      <x:c r="C230" s="8" t="n"/>
      <x:c r="D230" s="8" t="n"/>
      <x:c r="E230" s="8" t="n"/>
      <x:c r="F230" s="8" t="n"/>
      <x:c r="G230" s="8" t="n"/>
      <x:c r="H230" s="8" t="n"/>
      <x:c r="I230" s="8" t="n"/>
      <x:c r="J230" s="8" t="n"/>
      <x:c r="K230" s="8" t="n"/>
      <x:c r="L230" s="8" t="n"/>
      <x:c r="M230" s="8" t="n"/>
      <x:c r="N230" s="8" t="n"/>
      <x:c r="O230" s="8" t="n"/>
      <x:c r="P230">
        <x:f>COUNTA(J230:N230)</x:f>
      </x:c>
      <x:c r="Q230">
        <x:f>IF(A230="","",IF(P230&lt;&gt;5,1,0))</x:f>
      </x:c>
      <x:c r="R230">
        <x:f>IF(A230="","",IF(COUNTIF($A$5:$A$604,A230)&gt;1,1,0))</x:f>
      </x:c>
    </x:row>
    <x:row r="231">
      <x:c r="A231" s="8" t="n"/>
      <x:c r="B231" s="12" t="n"/>
      <x:c r="C231" s="8" t="n"/>
      <x:c r="D231" s="8" t="n"/>
      <x:c r="E231" s="8" t="n"/>
      <x:c r="F231" s="8" t="n"/>
      <x:c r="G231" s="8" t="n"/>
      <x:c r="H231" s="8" t="n"/>
      <x:c r="I231" s="8" t="n"/>
      <x:c r="J231" s="8" t="n"/>
      <x:c r="K231" s="8" t="n"/>
      <x:c r="L231" s="8" t="n"/>
      <x:c r="M231" s="8" t="n"/>
      <x:c r="N231" s="8" t="n"/>
      <x:c r="O231" s="8" t="n"/>
      <x:c r="P231">
        <x:f>COUNTA(J231:N231)</x:f>
      </x:c>
      <x:c r="Q231">
        <x:f>IF(A231="","",IF(P231&lt;&gt;5,1,0))</x:f>
      </x:c>
      <x:c r="R231">
        <x:f>IF(A231="","",IF(COUNTIF($A$5:$A$604,A231)&gt;1,1,0))</x:f>
      </x:c>
    </x:row>
    <x:row r="232">
      <x:c r="A232" s="8" t="n"/>
      <x:c r="B232" s="12" t="n"/>
      <x:c r="C232" s="8" t="n"/>
      <x:c r="D232" s="8" t="n"/>
      <x:c r="E232" s="8" t="n"/>
      <x:c r="F232" s="8" t="n"/>
      <x:c r="G232" s="8" t="n"/>
      <x:c r="H232" s="8" t="n"/>
      <x:c r="I232" s="8" t="n"/>
      <x:c r="J232" s="8" t="n"/>
      <x:c r="K232" s="8" t="n"/>
      <x:c r="L232" s="8" t="n"/>
      <x:c r="M232" s="8" t="n"/>
      <x:c r="N232" s="8" t="n"/>
      <x:c r="O232" s="8" t="n"/>
      <x:c r="P232">
        <x:f>COUNTA(J232:N232)</x:f>
      </x:c>
      <x:c r="Q232">
        <x:f>IF(A232="","",IF(P232&lt;&gt;5,1,0))</x:f>
      </x:c>
      <x:c r="R232">
        <x:f>IF(A232="","",IF(COUNTIF($A$5:$A$604,A232)&gt;1,1,0))</x:f>
      </x:c>
    </x:row>
    <x:row r="233">
      <x:c r="A233" s="8" t="n"/>
      <x:c r="B233" s="12" t="n"/>
      <x:c r="C233" s="8" t="n"/>
      <x:c r="D233" s="8" t="n"/>
      <x:c r="E233" s="8" t="n"/>
      <x:c r="F233" s="8" t="n"/>
      <x:c r="G233" s="8" t="n"/>
      <x:c r="H233" s="8" t="n"/>
      <x:c r="I233" s="8" t="n"/>
      <x:c r="J233" s="8" t="n"/>
      <x:c r="K233" s="8" t="n"/>
      <x:c r="L233" s="8" t="n"/>
      <x:c r="M233" s="8" t="n"/>
      <x:c r="N233" s="8" t="n"/>
      <x:c r="O233" s="8" t="n"/>
      <x:c r="P233">
        <x:f>COUNTA(J233:N233)</x:f>
      </x:c>
      <x:c r="Q233">
        <x:f>IF(A233="","",IF(P233&lt;&gt;5,1,0))</x:f>
      </x:c>
      <x:c r="R233">
        <x:f>IF(A233="","",IF(COUNTIF($A$5:$A$604,A233)&gt;1,1,0))</x:f>
      </x:c>
    </x:row>
    <x:row r="234">
      <x:c r="A234" s="8" t="n"/>
      <x:c r="B234" s="12" t="n"/>
      <x:c r="C234" s="8" t="n"/>
      <x:c r="D234" s="8" t="n"/>
      <x:c r="E234" s="8" t="n"/>
      <x:c r="F234" s="8" t="n"/>
      <x:c r="G234" s="8" t="n"/>
      <x:c r="H234" s="8" t="n"/>
      <x:c r="I234" s="8" t="n"/>
      <x:c r="J234" s="8" t="n"/>
      <x:c r="K234" s="8" t="n"/>
      <x:c r="L234" s="8" t="n"/>
      <x:c r="M234" s="8" t="n"/>
      <x:c r="N234" s="8" t="n"/>
      <x:c r="O234" s="8" t="n"/>
      <x:c r="P234">
        <x:f>COUNTA(J234:N234)</x:f>
      </x:c>
      <x:c r="Q234">
        <x:f>IF(A234="","",IF(P234&lt;&gt;5,1,0))</x:f>
      </x:c>
      <x:c r="R234">
        <x:f>IF(A234="","",IF(COUNTIF($A$5:$A$604,A234)&gt;1,1,0))</x:f>
      </x:c>
    </x:row>
    <x:row r="235">
      <x:c r="A235" s="8" t="n"/>
      <x:c r="B235" s="12" t="n"/>
      <x:c r="C235" s="8" t="n"/>
      <x:c r="D235" s="8" t="n"/>
      <x:c r="E235" s="8" t="n"/>
      <x:c r="F235" s="8" t="n"/>
      <x:c r="G235" s="8" t="n"/>
      <x:c r="H235" s="8" t="n"/>
      <x:c r="I235" s="8" t="n"/>
      <x:c r="J235" s="8" t="n"/>
      <x:c r="K235" s="8" t="n"/>
      <x:c r="L235" s="8" t="n"/>
      <x:c r="M235" s="8" t="n"/>
      <x:c r="N235" s="8" t="n"/>
      <x:c r="O235" s="8" t="n"/>
      <x:c r="P235">
        <x:f>COUNTA(J235:N235)</x:f>
      </x:c>
      <x:c r="Q235">
        <x:f>IF(A235="","",IF(P235&lt;&gt;5,1,0))</x:f>
      </x:c>
      <x:c r="R235">
        <x:f>IF(A235="","",IF(COUNTIF($A$5:$A$604,A235)&gt;1,1,0))</x:f>
      </x:c>
    </x:row>
    <x:row r="236">
      <x:c r="A236" s="8" t="n"/>
      <x:c r="B236" s="12" t="n"/>
      <x:c r="C236" s="8" t="n"/>
      <x:c r="D236" s="8" t="n"/>
      <x:c r="E236" s="8" t="n"/>
      <x:c r="F236" s="8" t="n"/>
      <x:c r="G236" s="8" t="n"/>
      <x:c r="H236" s="8" t="n"/>
      <x:c r="I236" s="8" t="n"/>
      <x:c r="J236" s="8" t="n"/>
      <x:c r="K236" s="8" t="n"/>
      <x:c r="L236" s="8" t="n"/>
      <x:c r="M236" s="8" t="n"/>
      <x:c r="N236" s="8" t="n"/>
      <x:c r="O236" s="8" t="n"/>
      <x:c r="P236">
        <x:f>COUNTA(J236:N236)</x:f>
      </x:c>
      <x:c r="Q236">
        <x:f>IF(A236="","",IF(P236&lt;&gt;5,1,0))</x:f>
      </x:c>
      <x:c r="R236">
        <x:f>IF(A236="","",IF(COUNTIF($A$5:$A$604,A236)&gt;1,1,0))</x:f>
      </x:c>
    </x:row>
    <x:row r="237">
      <x:c r="A237" s="8" t="n"/>
      <x:c r="B237" s="12" t="n"/>
      <x:c r="C237" s="8" t="n"/>
      <x:c r="D237" s="8" t="n"/>
      <x:c r="E237" s="8" t="n"/>
      <x:c r="F237" s="8" t="n"/>
      <x:c r="G237" s="8" t="n"/>
      <x:c r="H237" s="8" t="n"/>
      <x:c r="I237" s="8" t="n"/>
      <x:c r="J237" s="8" t="n"/>
      <x:c r="K237" s="8" t="n"/>
      <x:c r="L237" s="8" t="n"/>
      <x:c r="M237" s="8" t="n"/>
      <x:c r="N237" s="8" t="n"/>
      <x:c r="O237" s="8" t="n"/>
      <x:c r="P237">
        <x:f>COUNTA(J237:N237)</x:f>
      </x:c>
      <x:c r="Q237">
        <x:f>IF(A237="","",IF(P237&lt;&gt;5,1,0))</x:f>
      </x:c>
      <x:c r="R237">
        <x:f>IF(A237="","",IF(COUNTIF($A$5:$A$604,A237)&gt;1,1,0))</x:f>
      </x:c>
    </x:row>
    <x:row r="238">
      <x:c r="A238" s="8" t="n"/>
      <x:c r="B238" s="12" t="n"/>
      <x:c r="C238" s="8" t="n"/>
      <x:c r="D238" s="8" t="n"/>
      <x:c r="E238" s="8" t="n"/>
      <x:c r="F238" s="8" t="n"/>
      <x:c r="G238" s="8" t="n"/>
      <x:c r="H238" s="8" t="n"/>
      <x:c r="I238" s="8" t="n"/>
      <x:c r="J238" s="8" t="n"/>
      <x:c r="K238" s="8" t="n"/>
      <x:c r="L238" s="8" t="n"/>
      <x:c r="M238" s="8" t="n"/>
      <x:c r="N238" s="8" t="n"/>
      <x:c r="O238" s="8" t="n"/>
      <x:c r="P238">
        <x:f>COUNTA(J238:N238)</x:f>
      </x:c>
      <x:c r="Q238">
        <x:f>IF(A238="","",IF(P238&lt;&gt;5,1,0))</x:f>
      </x:c>
      <x:c r="R238">
        <x:f>IF(A238="","",IF(COUNTIF($A$5:$A$604,A238)&gt;1,1,0))</x:f>
      </x:c>
    </x:row>
    <x:row r="239">
      <x:c r="A239" s="8" t="n"/>
      <x:c r="B239" s="12" t="n"/>
      <x:c r="C239" s="8" t="n"/>
      <x:c r="D239" s="8" t="n"/>
      <x:c r="E239" s="8" t="n"/>
      <x:c r="F239" s="8" t="n"/>
      <x:c r="G239" s="8" t="n"/>
      <x:c r="H239" s="8" t="n"/>
      <x:c r="I239" s="8" t="n"/>
      <x:c r="J239" s="8" t="n"/>
      <x:c r="K239" s="8" t="n"/>
      <x:c r="L239" s="8" t="n"/>
      <x:c r="M239" s="8" t="n"/>
      <x:c r="N239" s="8" t="n"/>
      <x:c r="O239" s="8" t="n"/>
      <x:c r="P239">
        <x:f>COUNTA(J239:N239)</x:f>
      </x:c>
      <x:c r="Q239">
        <x:f>IF(A239="","",IF(P239&lt;&gt;5,1,0))</x:f>
      </x:c>
      <x:c r="R239">
        <x:f>IF(A239="","",IF(COUNTIF($A$5:$A$604,A239)&gt;1,1,0))</x:f>
      </x:c>
    </x:row>
    <x:row r="240">
      <x:c r="A240" s="8" t="n"/>
      <x:c r="B240" s="12" t="n"/>
      <x:c r="C240" s="8" t="n"/>
      <x:c r="D240" s="8" t="n"/>
      <x:c r="E240" s="8" t="n"/>
      <x:c r="F240" s="8" t="n"/>
      <x:c r="G240" s="8" t="n"/>
      <x:c r="H240" s="8" t="n"/>
      <x:c r="I240" s="8" t="n"/>
      <x:c r="J240" s="8" t="n"/>
      <x:c r="K240" s="8" t="n"/>
      <x:c r="L240" s="8" t="n"/>
      <x:c r="M240" s="8" t="n"/>
      <x:c r="N240" s="8" t="n"/>
      <x:c r="O240" s="8" t="n"/>
      <x:c r="P240">
        <x:f>COUNTA(J240:N240)</x:f>
      </x:c>
      <x:c r="Q240">
        <x:f>IF(A240="","",IF(P240&lt;&gt;5,1,0))</x:f>
      </x:c>
      <x:c r="R240">
        <x:f>IF(A240="","",IF(COUNTIF($A$5:$A$604,A240)&gt;1,1,0))</x:f>
      </x:c>
    </x:row>
    <x:row r="241">
      <x:c r="A241" s="8" t="n"/>
      <x:c r="B241" s="12" t="n"/>
      <x:c r="C241" s="8" t="n"/>
      <x:c r="D241" s="8" t="n"/>
      <x:c r="E241" s="8" t="n"/>
      <x:c r="F241" s="8" t="n"/>
      <x:c r="G241" s="8" t="n"/>
      <x:c r="H241" s="8" t="n"/>
      <x:c r="I241" s="8" t="n"/>
      <x:c r="J241" s="8" t="n"/>
      <x:c r="K241" s="8" t="n"/>
      <x:c r="L241" s="8" t="n"/>
      <x:c r="M241" s="8" t="n"/>
      <x:c r="N241" s="8" t="n"/>
      <x:c r="O241" s="8" t="n"/>
      <x:c r="P241">
        <x:f>COUNTA(J241:N241)</x:f>
      </x:c>
      <x:c r="Q241">
        <x:f>IF(A241="","",IF(P241&lt;&gt;5,1,0))</x:f>
      </x:c>
      <x:c r="R241">
        <x:f>IF(A241="","",IF(COUNTIF($A$5:$A$604,A241)&gt;1,1,0))</x:f>
      </x:c>
    </x:row>
    <x:row r="242">
      <x:c r="A242" s="8" t="n"/>
      <x:c r="B242" s="12" t="n"/>
      <x:c r="C242" s="8" t="n"/>
      <x:c r="D242" s="8" t="n"/>
      <x:c r="E242" s="8" t="n"/>
      <x:c r="F242" s="8" t="n"/>
      <x:c r="G242" s="8" t="n"/>
      <x:c r="H242" s="8" t="n"/>
      <x:c r="I242" s="8" t="n"/>
      <x:c r="J242" s="8" t="n"/>
      <x:c r="K242" s="8" t="n"/>
      <x:c r="L242" s="8" t="n"/>
      <x:c r="M242" s="8" t="n"/>
      <x:c r="N242" s="8" t="n"/>
      <x:c r="O242" s="8" t="n"/>
      <x:c r="P242">
        <x:f>COUNTA(J242:N242)</x:f>
      </x:c>
      <x:c r="Q242">
        <x:f>IF(A242="","",IF(P242&lt;&gt;5,1,0))</x:f>
      </x:c>
      <x:c r="R242">
        <x:f>IF(A242="","",IF(COUNTIF($A$5:$A$604,A242)&gt;1,1,0))</x:f>
      </x:c>
    </x:row>
    <x:row r="243">
      <x:c r="A243" s="8" t="n"/>
      <x:c r="B243" s="12" t="n"/>
      <x:c r="C243" s="8" t="n"/>
      <x:c r="D243" s="8" t="n"/>
      <x:c r="E243" s="8" t="n"/>
      <x:c r="F243" s="8" t="n"/>
      <x:c r="G243" s="8" t="n"/>
      <x:c r="H243" s="8" t="n"/>
      <x:c r="I243" s="8" t="n"/>
      <x:c r="J243" s="8" t="n"/>
      <x:c r="K243" s="8" t="n"/>
      <x:c r="L243" s="8" t="n"/>
      <x:c r="M243" s="8" t="n"/>
      <x:c r="N243" s="8" t="n"/>
      <x:c r="O243" s="8" t="n"/>
      <x:c r="P243">
        <x:f>COUNTA(J243:N243)</x:f>
      </x:c>
      <x:c r="Q243">
        <x:f>IF(A243="","",IF(P243&lt;&gt;5,1,0))</x:f>
      </x:c>
      <x:c r="R243">
        <x:f>IF(A243="","",IF(COUNTIF($A$5:$A$604,A243)&gt;1,1,0))</x:f>
      </x:c>
    </x:row>
    <x:row r="244">
      <x:c r="A244" s="8" t="n"/>
      <x:c r="B244" s="12" t="n"/>
      <x:c r="C244" s="8" t="n"/>
      <x:c r="D244" s="8" t="n"/>
      <x:c r="E244" s="8" t="n"/>
      <x:c r="F244" s="8" t="n"/>
      <x:c r="G244" s="8" t="n"/>
      <x:c r="H244" s="8" t="n"/>
      <x:c r="I244" s="8" t="n"/>
      <x:c r="J244" s="8" t="n"/>
      <x:c r="K244" s="8" t="n"/>
      <x:c r="L244" s="8" t="n"/>
      <x:c r="M244" s="8" t="n"/>
      <x:c r="N244" s="8" t="n"/>
      <x:c r="O244" s="8" t="n"/>
      <x:c r="P244">
        <x:f>COUNTA(J244:N244)</x:f>
      </x:c>
      <x:c r="Q244">
        <x:f>IF(A244="","",IF(P244&lt;&gt;5,1,0))</x:f>
      </x:c>
      <x:c r="R244">
        <x:f>IF(A244="","",IF(COUNTIF($A$5:$A$604,A244)&gt;1,1,0))</x:f>
      </x:c>
    </x:row>
    <x:row r="245">
      <x:c r="A245" s="8" t="n"/>
      <x:c r="B245" s="12" t="n"/>
      <x:c r="C245" s="8" t="n"/>
      <x:c r="D245" s="8" t="n"/>
      <x:c r="E245" s="8" t="n"/>
      <x:c r="F245" s="8" t="n"/>
      <x:c r="G245" s="8" t="n"/>
      <x:c r="H245" s="8" t="n"/>
      <x:c r="I245" s="8" t="n"/>
      <x:c r="J245" s="8" t="n"/>
      <x:c r="K245" s="8" t="n"/>
      <x:c r="L245" s="8" t="n"/>
      <x:c r="M245" s="8" t="n"/>
      <x:c r="N245" s="8" t="n"/>
      <x:c r="O245" s="8" t="n"/>
      <x:c r="P245">
        <x:f>COUNTA(J245:N245)</x:f>
      </x:c>
      <x:c r="Q245">
        <x:f>IF(A245="","",IF(P245&lt;&gt;5,1,0))</x:f>
      </x:c>
      <x:c r="R245">
        <x:f>IF(A245="","",IF(COUNTIF($A$5:$A$604,A245)&gt;1,1,0))</x:f>
      </x:c>
    </x:row>
    <x:row r="246">
      <x:c r="A246" s="8" t="n"/>
      <x:c r="B246" s="12" t="n"/>
      <x:c r="C246" s="8" t="n"/>
      <x:c r="D246" s="8" t="n"/>
      <x:c r="E246" s="8" t="n"/>
      <x:c r="F246" s="8" t="n"/>
      <x:c r="G246" s="8" t="n"/>
      <x:c r="H246" s="8" t="n"/>
      <x:c r="I246" s="8" t="n"/>
      <x:c r="J246" s="8" t="n"/>
      <x:c r="K246" s="8" t="n"/>
      <x:c r="L246" s="8" t="n"/>
      <x:c r="M246" s="8" t="n"/>
      <x:c r="N246" s="8" t="n"/>
      <x:c r="O246" s="8" t="n"/>
      <x:c r="P246">
        <x:f>COUNTA(J246:N246)</x:f>
      </x:c>
      <x:c r="Q246">
        <x:f>IF(A246="","",IF(P246&lt;&gt;5,1,0))</x:f>
      </x:c>
      <x:c r="R246">
        <x:f>IF(A246="","",IF(COUNTIF($A$5:$A$604,A246)&gt;1,1,0))</x:f>
      </x:c>
    </x:row>
    <x:row r="247">
      <x:c r="A247" s="8" t="n"/>
      <x:c r="B247" s="12" t="n"/>
      <x:c r="C247" s="8" t="n"/>
      <x:c r="D247" s="8" t="n"/>
      <x:c r="E247" s="8" t="n"/>
      <x:c r="F247" s="8" t="n"/>
      <x:c r="G247" s="8" t="n"/>
      <x:c r="H247" s="8" t="n"/>
      <x:c r="I247" s="8" t="n"/>
      <x:c r="J247" s="8" t="n"/>
      <x:c r="K247" s="8" t="n"/>
      <x:c r="L247" s="8" t="n"/>
      <x:c r="M247" s="8" t="n"/>
      <x:c r="N247" s="8" t="n"/>
      <x:c r="O247" s="8" t="n"/>
      <x:c r="P247">
        <x:f>COUNTA(J247:N247)</x:f>
      </x:c>
      <x:c r="Q247">
        <x:f>IF(A247="","",IF(P247&lt;&gt;5,1,0))</x:f>
      </x:c>
      <x:c r="R247">
        <x:f>IF(A247="","",IF(COUNTIF($A$5:$A$604,A247)&gt;1,1,0))</x:f>
      </x:c>
    </x:row>
    <x:row r="248">
      <x:c r="A248" s="8" t="n"/>
      <x:c r="B248" s="12" t="n"/>
      <x:c r="C248" s="8" t="n"/>
      <x:c r="D248" s="8" t="n"/>
      <x:c r="E248" s="8" t="n"/>
      <x:c r="F248" s="8" t="n"/>
      <x:c r="G248" s="8" t="n"/>
      <x:c r="H248" s="8" t="n"/>
      <x:c r="I248" s="8" t="n"/>
      <x:c r="J248" s="8" t="n"/>
      <x:c r="K248" s="8" t="n"/>
      <x:c r="L248" s="8" t="n"/>
      <x:c r="M248" s="8" t="n"/>
      <x:c r="N248" s="8" t="n"/>
      <x:c r="O248" s="8" t="n"/>
      <x:c r="P248">
        <x:f>COUNTA(J248:N248)</x:f>
      </x:c>
      <x:c r="Q248">
        <x:f>IF(A248="","",IF(P248&lt;&gt;5,1,0))</x:f>
      </x:c>
      <x:c r="R248">
        <x:f>IF(A248="","",IF(COUNTIF($A$5:$A$604,A248)&gt;1,1,0))</x:f>
      </x:c>
    </x:row>
    <x:row r="249">
      <x:c r="A249" s="8" t="n"/>
      <x:c r="B249" s="12" t="n"/>
      <x:c r="C249" s="8" t="n"/>
      <x:c r="D249" s="8" t="n"/>
      <x:c r="E249" s="8" t="n"/>
      <x:c r="F249" s="8" t="n"/>
      <x:c r="G249" s="8" t="n"/>
      <x:c r="H249" s="8" t="n"/>
      <x:c r="I249" s="8" t="n"/>
      <x:c r="J249" s="8" t="n"/>
      <x:c r="K249" s="8" t="n"/>
      <x:c r="L249" s="8" t="n"/>
      <x:c r="M249" s="8" t="n"/>
      <x:c r="N249" s="8" t="n"/>
      <x:c r="O249" s="8" t="n"/>
      <x:c r="P249">
        <x:f>COUNTA(J249:N249)</x:f>
      </x:c>
      <x:c r="Q249">
        <x:f>IF(A249="","",IF(P249&lt;&gt;5,1,0))</x:f>
      </x:c>
      <x:c r="R249">
        <x:f>IF(A249="","",IF(COUNTIF($A$5:$A$604,A249)&gt;1,1,0))</x:f>
      </x:c>
    </x:row>
    <x:row r="250">
      <x:c r="A250" s="8" t="n"/>
      <x:c r="B250" s="12" t="n"/>
      <x:c r="C250" s="8" t="n"/>
      <x:c r="D250" s="8" t="n"/>
      <x:c r="E250" s="8" t="n"/>
      <x:c r="F250" s="8" t="n"/>
      <x:c r="G250" s="8" t="n"/>
      <x:c r="H250" s="8" t="n"/>
      <x:c r="I250" s="8" t="n"/>
      <x:c r="J250" s="8" t="n"/>
      <x:c r="K250" s="8" t="n"/>
      <x:c r="L250" s="8" t="n"/>
      <x:c r="M250" s="8" t="n"/>
      <x:c r="N250" s="8" t="n"/>
      <x:c r="O250" s="8" t="n"/>
      <x:c r="P250">
        <x:f>COUNTA(J250:N250)</x:f>
      </x:c>
      <x:c r="Q250">
        <x:f>IF(A250="","",IF(P250&lt;&gt;5,1,0))</x:f>
      </x:c>
      <x:c r="R250">
        <x:f>IF(A250="","",IF(COUNTIF($A$5:$A$604,A250)&gt;1,1,0))</x:f>
      </x:c>
    </x:row>
    <x:row r="251">
      <x:c r="A251" s="8" t="n"/>
      <x:c r="B251" s="12" t="n"/>
      <x:c r="C251" s="8" t="n"/>
      <x:c r="D251" s="8" t="n"/>
      <x:c r="E251" s="8" t="n"/>
      <x:c r="F251" s="8" t="n"/>
      <x:c r="G251" s="8" t="n"/>
      <x:c r="H251" s="8" t="n"/>
      <x:c r="I251" s="8" t="n"/>
      <x:c r="J251" s="8" t="n"/>
      <x:c r="K251" s="8" t="n"/>
      <x:c r="L251" s="8" t="n"/>
      <x:c r="M251" s="8" t="n"/>
      <x:c r="N251" s="8" t="n"/>
      <x:c r="O251" s="8" t="n"/>
      <x:c r="P251">
        <x:f>COUNTA(J251:N251)</x:f>
      </x:c>
      <x:c r="Q251">
        <x:f>IF(A251="","",IF(P251&lt;&gt;5,1,0))</x:f>
      </x:c>
      <x:c r="R251">
        <x:f>IF(A251="","",IF(COUNTIF($A$5:$A$604,A251)&gt;1,1,0))</x:f>
      </x:c>
    </x:row>
    <x:row r="252">
      <x:c r="A252" s="8" t="n"/>
      <x:c r="B252" s="12" t="n"/>
      <x:c r="C252" s="8" t="n"/>
      <x:c r="D252" s="8" t="n"/>
      <x:c r="E252" s="8" t="n"/>
      <x:c r="F252" s="8" t="n"/>
      <x:c r="G252" s="8" t="n"/>
      <x:c r="H252" s="8" t="n"/>
      <x:c r="I252" s="8" t="n"/>
      <x:c r="J252" s="8" t="n"/>
      <x:c r="K252" s="8" t="n"/>
      <x:c r="L252" s="8" t="n"/>
      <x:c r="M252" s="8" t="n"/>
      <x:c r="N252" s="8" t="n"/>
      <x:c r="O252" s="8" t="n"/>
      <x:c r="P252">
        <x:f>COUNTA(J252:N252)</x:f>
      </x:c>
      <x:c r="Q252">
        <x:f>IF(A252="","",IF(P252&lt;&gt;5,1,0))</x:f>
      </x:c>
      <x:c r="R252">
        <x:f>IF(A252="","",IF(COUNTIF($A$5:$A$604,A252)&gt;1,1,0))</x:f>
      </x:c>
    </x:row>
    <x:row r="253">
      <x:c r="A253" s="8" t="n"/>
      <x:c r="B253" s="12" t="n"/>
      <x:c r="C253" s="8" t="n"/>
      <x:c r="D253" s="8" t="n"/>
      <x:c r="E253" s="8" t="n"/>
      <x:c r="F253" s="8" t="n"/>
      <x:c r="G253" s="8" t="n"/>
      <x:c r="H253" s="8" t="n"/>
      <x:c r="I253" s="8" t="n"/>
      <x:c r="J253" s="8" t="n"/>
      <x:c r="K253" s="8" t="n"/>
      <x:c r="L253" s="8" t="n"/>
      <x:c r="M253" s="8" t="n"/>
      <x:c r="N253" s="8" t="n"/>
      <x:c r="O253" s="8" t="n"/>
      <x:c r="P253">
        <x:f>COUNTA(J253:N253)</x:f>
      </x:c>
      <x:c r="Q253">
        <x:f>IF(A253="","",IF(P253&lt;&gt;5,1,0))</x:f>
      </x:c>
      <x:c r="R253">
        <x:f>IF(A253="","",IF(COUNTIF($A$5:$A$604,A253)&gt;1,1,0))</x:f>
      </x:c>
    </x:row>
    <x:row r="254">
      <x:c r="A254" s="8" t="n"/>
      <x:c r="B254" s="12" t="n"/>
      <x:c r="C254" s="8" t="n"/>
      <x:c r="D254" s="8" t="n"/>
      <x:c r="E254" s="8" t="n"/>
      <x:c r="F254" s="8" t="n"/>
      <x:c r="G254" s="8" t="n"/>
      <x:c r="H254" s="8" t="n"/>
      <x:c r="I254" s="8" t="n"/>
      <x:c r="J254" s="8" t="n"/>
      <x:c r="K254" s="8" t="n"/>
      <x:c r="L254" s="8" t="n"/>
      <x:c r="M254" s="8" t="n"/>
      <x:c r="N254" s="8" t="n"/>
      <x:c r="O254" s="8" t="n"/>
      <x:c r="P254">
        <x:f>COUNTA(J254:N254)</x:f>
      </x:c>
      <x:c r="Q254">
        <x:f>IF(A254="","",IF(P254&lt;&gt;5,1,0))</x:f>
      </x:c>
      <x:c r="R254">
        <x:f>IF(A254="","",IF(COUNTIF($A$5:$A$604,A254)&gt;1,1,0))</x:f>
      </x:c>
    </x:row>
    <x:row r="255">
      <x:c r="A255" s="8" t="n"/>
      <x:c r="B255" s="12" t="n"/>
      <x:c r="C255" s="8" t="n"/>
      <x:c r="D255" s="8" t="n"/>
      <x:c r="E255" s="8" t="n"/>
      <x:c r="F255" s="8" t="n"/>
      <x:c r="G255" s="8" t="n"/>
      <x:c r="H255" s="8" t="n"/>
      <x:c r="I255" s="8" t="n"/>
      <x:c r="J255" s="8" t="n"/>
      <x:c r="K255" s="8" t="n"/>
      <x:c r="L255" s="8" t="n"/>
      <x:c r="M255" s="8" t="n"/>
      <x:c r="N255" s="8" t="n"/>
      <x:c r="O255" s="8" t="n"/>
      <x:c r="P255">
        <x:f>COUNTA(J255:N255)</x:f>
      </x:c>
      <x:c r="Q255">
        <x:f>IF(A255="","",IF(P255&lt;&gt;5,1,0))</x:f>
      </x:c>
      <x:c r="R255">
        <x:f>IF(A255="","",IF(COUNTIF($A$5:$A$604,A255)&gt;1,1,0))</x:f>
      </x:c>
    </x:row>
    <x:row r="256">
      <x:c r="A256" s="8" t="n"/>
      <x:c r="B256" s="12" t="n"/>
      <x:c r="C256" s="8" t="n"/>
      <x:c r="D256" s="8" t="n"/>
      <x:c r="E256" s="8" t="n"/>
      <x:c r="F256" s="8" t="n"/>
      <x:c r="G256" s="8" t="n"/>
      <x:c r="H256" s="8" t="n"/>
      <x:c r="I256" s="8" t="n"/>
      <x:c r="J256" s="8" t="n"/>
      <x:c r="K256" s="8" t="n"/>
      <x:c r="L256" s="8" t="n"/>
      <x:c r="M256" s="8" t="n"/>
      <x:c r="N256" s="8" t="n"/>
      <x:c r="O256" s="8" t="n"/>
      <x:c r="P256">
        <x:f>COUNTA(J256:N256)</x:f>
      </x:c>
      <x:c r="Q256">
        <x:f>IF(A256="","",IF(P256&lt;&gt;5,1,0))</x:f>
      </x:c>
      <x:c r="R256">
        <x:f>IF(A256="","",IF(COUNTIF($A$5:$A$604,A256)&gt;1,1,0))</x:f>
      </x:c>
    </x:row>
    <x:row r="257">
      <x:c r="A257" s="8" t="n"/>
      <x:c r="B257" s="12" t="n"/>
      <x:c r="C257" s="8" t="n"/>
      <x:c r="D257" s="8" t="n"/>
      <x:c r="E257" s="8" t="n"/>
      <x:c r="F257" s="8" t="n"/>
      <x:c r="G257" s="8" t="n"/>
      <x:c r="H257" s="8" t="n"/>
      <x:c r="I257" s="8" t="n"/>
      <x:c r="J257" s="8" t="n"/>
      <x:c r="K257" s="8" t="n"/>
      <x:c r="L257" s="8" t="n"/>
      <x:c r="M257" s="8" t="n"/>
      <x:c r="N257" s="8" t="n"/>
      <x:c r="O257" s="8" t="n"/>
      <x:c r="P257">
        <x:f>COUNTA(J257:N257)</x:f>
      </x:c>
      <x:c r="Q257">
        <x:f>IF(A257="","",IF(P257&lt;&gt;5,1,0))</x:f>
      </x:c>
      <x:c r="R257">
        <x:f>IF(A257="","",IF(COUNTIF($A$5:$A$604,A257)&gt;1,1,0))</x:f>
      </x:c>
    </x:row>
    <x:row r="258">
      <x:c r="A258" s="8" t="n"/>
      <x:c r="B258" s="12" t="n"/>
      <x:c r="C258" s="8" t="n"/>
      <x:c r="D258" s="8" t="n"/>
      <x:c r="E258" s="8" t="n"/>
      <x:c r="F258" s="8" t="n"/>
      <x:c r="G258" s="8" t="n"/>
      <x:c r="H258" s="8" t="n"/>
      <x:c r="I258" s="8" t="n"/>
      <x:c r="J258" s="8" t="n"/>
      <x:c r="K258" s="8" t="n"/>
      <x:c r="L258" s="8" t="n"/>
      <x:c r="M258" s="8" t="n"/>
      <x:c r="N258" s="8" t="n"/>
      <x:c r="O258" s="8" t="n"/>
      <x:c r="P258">
        <x:f>COUNTA(J258:N258)</x:f>
      </x:c>
      <x:c r="Q258">
        <x:f>IF(A258="","",IF(P258&lt;&gt;5,1,0))</x:f>
      </x:c>
      <x:c r="R258">
        <x:f>IF(A258="","",IF(COUNTIF($A$5:$A$604,A258)&gt;1,1,0))</x:f>
      </x:c>
    </x:row>
    <x:row r="259">
      <x:c r="A259" s="8" t="n"/>
      <x:c r="B259" s="12" t="n"/>
      <x:c r="C259" s="8" t="n"/>
      <x:c r="D259" s="8" t="n"/>
      <x:c r="E259" s="8" t="n"/>
      <x:c r="F259" s="8" t="n"/>
      <x:c r="G259" s="8" t="n"/>
      <x:c r="H259" s="8" t="n"/>
      <x:c r="I259" s="8" t="n"/>
      <x:c r="J259" s="8" t="n"/>
      <x:c r="K259" s="8" t="n"/>
      <x:c r="L259" s="8" t="n"/>
      <x:c r="M259" s="8" t="n"/>
      <x:c r="N259" s="8" t="n"/>
      <x:c r="O259" s="8" t="n"/>
      <x:c r="P259">
        <x:f>COUNTA(J259:N259)</x:f>
      </x:c>
      <x:c r="Q259">
        <x:f>IF(A259="","",IF(P259&lt;&gt;5,1,0))</x:f>
      </x:c>
      <x:c r="R259">
        <x:f>IF(A259="","",IF(COUNTIF($A$5:$A$604,A259)&gt;1,1,0))</x:f>
      </x:c>
    </x:row>
    <x:row r="260">
      <x:c r="A260" s="8" t="n"/>
      <x:c r="B260" s="12" t="n"/>
      <x:c r="C260" s="8" t="n"/>
      <x:c r="D260" s="8" t="n"/>
      <x:c r="E260" s="8" t="n"/>
      <x:c r="F260" s="8" t="n"/>
      <x:c r="G260" s="8" t="n"/>
      <x:c r="H260" s="8" t="n"/>
      <x:c r="I260" s="8" t="n"/>
      <x:c r="J260" s="8" t="n"/>
      <x:c r="K260" s="8" t="n"/>
      <x:c r="L260" s="8" t="n"/>
      <x:c r="M260" s="8" t="n"/>
      <x:c r="N260" s="8" t="n"/>
      <x:c r="O260" s="8" t="n"/>
      <x:c r="P260">
        <x:f>COUNTA(J260:N260)</x:f>
      </x:c>
      <x:c r="Q260">
        <x:f>IF(A260="","",IF(P260&lt;&gt;5,1,0))</x:f>
      </x:c>
      <x:c r="R260">
        <x:f>IF(A260="","",IF(COUNTIF($A$5:$A$604,A260)&gt;1,1,0))</x:f>
      </x:c>
    </x:row>
    <x:row r="261">
      <x:c r="A261" s="8" t="n"/>
      <x:c r="B261" s="12" t="n"/>
      <x:c r="C261" s="8" t="n"/>
      <x:c r="D261" s="8" t="n"/>
      <x:c r="E261" s="8" t="n"/>
      <x:c r="F261" s="8" t="n"/>
      <x:c r="G261" s="8" t="n"/>
      <x:c r="H261" s="8" t="n"/>
      <x:c r="I261" s="8" t="n"/>
      <x:c r="J261" s="8" t="n"/>
      <x:c r="K261" s="8" t="n"/>
      <x:c r="L261" s="8" t="n"/>
      <x:c r="M261" s="8" t="n"/>
      <x:c r="N261" s="8" t="n"/>
      <x:c r="O261" s="8" t="n"/>
      <x:c r="P261">
        <x:f>COUNTA(J261:N261)</x:f>
      </x:c>
      <x:c r="Q261">
        <x:f>IF(A261="","",IF(P261&lt;&gt;5,1,0))</x:f>
      </x:c>
      <x:c r="R261">
        <x:f>IF(A261="","",IF(COUNTIF($A$5:$A$604,A261)&gt;1,1,0))</x:f>
      </x:c>
    </x:row>
    <x:row r="262">
      <x:c r="A262" s="8" t="n"/>
      <x:c r="B262" s="12" t="n"/>
      <x:c r="C262" s="8" t="n"/>
      <x:c r="D262" s="8" t="n"/>
      <x:c r="E262" s="8" t="n"/>
      <x:c r="F262" s="8" t="n"/>
      <x:c r="G262" s="8" t="n"/>
      <x:c r="H262" s="8" t="n"/>
      <x:c r="I262" s="8" t="n"/>
      <x:c r="J262" s="8" t="n"/>
      <x:c r="K262" s="8" t="n"/>
      <x:c r="L262" s="8" t="n"/>
      <x:c r="M262" s="8" t="n"/>
      <x:c r="N262" s="8" t="n"/>
      <x:c r="O262" s="8" t="n"/>
      <x:c r="P262">
        <x:f>COUNTA(J262:N262)</x:f>
      </x:c>
      <x:c r="Q262">
        <x:f>IF(A262="","",IF(P262&lt;&gt;5,1,0))</x:f>
      </x:c>
      <x:c r="R262">
        <x:f>IF(A262="","",IF(COUNTIF($A$5:$A$604,A262)&gt;1,1,0))</x:f>
      </x:c>
    </x:row>
    <x:row r="263">
      <x:c r="A263" s="8" t="n"/>
      <x:c r="B263" s="12" t="n"/>
      <x:c r="C263" s="8" t="n"/>
      <x:c r="D263" s="8" t="n"/>
      <x:c r="E263" s="8" t="n"/>
      <x:c r="F263" s="8" t="n"/>
      <x:c r="G263" s="8" t="n"/>
      <x:c r="H263" s="8" t="n"/>
      <x:c r="I263" s="8" t="n"/>
      <x:c r="J263" s="8" t="n"/>
      <x:c r="K263" s="8" t="n"/>
      <x:c r="L263" s="8" t="n"/>
      <x:c r="M263" s="8" t="n"/>
      <x:c r="N263" s="8" t="n"/>
      <x:c r="O263" s="8" t="n"/>
      <x:c r="P263">
        <x:f>COUNTA(J263:N263)</x:f>
      </x:c>
      <x:c r="Q263">
        <x:f>IF(A263="","",IF(P263&lt;&gt;5,1,0))</x:f>
      </x:c>
      <x:c r="R263">
        <x:f>IF(A263="","",IF(COUNTIF($A$5:$A$604,A263)&gt;1,1,0))</x:f>
      </x:c>
    </x:row>
    <x:row r="264">
      <x:c r="A264" s="8" t="n"/>
      <x:c r="B264" s="12" t="n"/>
      <x:c r="C264" s="8" t="n"/>
      <x:c r="D264" s="8" t="n"/>
      <x:c r="E264" s="8" t="n"/>
      <x:c r="F264" s="8" t="n"/>
      <x:c r="G264" s="8" t="n"/>
      <x:c r="H264" s="8" t="n"/>
      <x:c r="I264" s="8" t="n"/>
      <x:c r="J264" s="8" t="n"/>
      <x:c r="K264" s="8" t="n"/>
      <x:c r="L264" s="8" t="n"/>
      <x:c r="M264" s="8" t="n"/>
      <x:c r="N264" s="8" t="n"/>
      <x:c r="O264" s="8" t="n"/>
      <x:c r="P264">
        <x:f>COUNTA(J264:N264)</x:f>
      </x:c>
      <x:c r="Q264">
        <x:f>IF(A264="","",IF(P264&lt;&gt;5,1,0))</x:f>
      </x:c>
      <x:c r="R264">
        <x:f>IF(A264="","",IF(COUNTIF($A$5:$A$604,A264)&gt;1,1,0))</x:f>
      </x:c>
    </x:row>
    <x:row r="265">
      <x:c r="A265" s="8" t="n"/>
      <x:c r="B265" s="12" t="n"/>
      <x:c r="C265" s="8" t="n"/>
      <x:c r="D265" s="8" t="n"/>
      <x:c r="E265" s="8" t="n"/>
      <x:c r="F265" s="8" t="n"/>
      <x:c r="G265" s="8" t="n"/>
      <x:c r="H265" s="8" t="n"/>
      <x:c r="I265" s="8" t="n"/>
      <x:c r="J265" s="8" t="n"/>
      <x:c r="K265" s="8" t="n"/>
      <x:c r="L265" s="8" t="n"/>
      <x:c r="M265" s="8" t="n"/>
      <x:c r="N265" s="8" t="n"/>
      <x:c r="O265" s="8" t="n"/>
      <x:c r="P265">
        <x:f>COUNTA(J265:N265)</x:f>
      </x:c>
      <x:c r="Q265">
        <x:f>IF(A265="","",IF(P265&lt;&gt;5,1,0))</x:f>
      </x:c>
      <x:c r="R265">
        <x:f>IF(A265="","",IF(COUNTIF($A$5:$A$604,A265)&gt;1,1,0))</x:f>
      </x:c>
    </x:row>
    <x:row r="266">
      <x:c r="A266" s="8" t="n"/>
      <x:c r="B266" s="12" t="n"/>
      <x:c r="C266" s="8" t="n"/>
      <x:c r="D266" s="8" t="n"/>
      <x:c r="E266" s="8" t="n"/>
      <x:c r="F266" s="8" t="n"/>
      <x:c r="G266" s="8" t="n"/>
      <x:c r="H266" s="8" t="n"/>
      <x:c r="I266" s="8" t="n"/>
      <x:c r="J266" s="8" t="n"/>
      <x:c r="K266" s="8" t="n"/>
      <x:c r="L266" s="8" t="n"/>
      <x:c r="M266" s="8" t="n"/>
      <x:c r="N266" s="8" t="n"/>
      <x:c r="O266" s="8" t="n"/>
      <x:c r="P266">
        <x:f>COUNTA(J266:N266)</x:f>
      </x:c>
      <x:c r="Q266">
        <x:f>IF(A266="","",IF(P266&lt;&gt;5,1,0))</x:f>
      </x:c>
      <x:c r="R266">
        <x:f>IF(A266="","",IF(COUNTIF($A$5:$A$604,A266)&gt;1,1,0))</x:f>
      </x:c>
    </x:row>
    <x:row r="267">
      <x:c r="A267" s="8" t="n"/>
      <x:c r="B267" s="12" t="n"/>
      <x:c r="C267" s="8" t="n"/>
      <x:c r="D267" s="8" t="n"/>
      <x:c r="E267" s="8" t="n"/>
      <x:c r="F267" s="8" t="n"/>
      <x:c r="G267" s="8" t="n"/>
      <x:c r="H267" s="8" t="n"/>
      <x:c r="I267" s="8" t="n"/>
      <x:c r="J267" s="8" t="n"/>
      <x:c r="K267" s="8" t="n"/>
      <x:c r="L267" s="8" t="n"/>
      <x:c r="M267" s="8" t="n"/>
      <x:c r="N267" s="8" t="n"/>
      <x:c r="O267" s="8" t="n"/>
      <x:c r="P267">
        <x:f>COUNTA(J267:N267)</x:f>
      </x:c>
      <x:c r="Q267">
        <x:f>IF(A267="","",IF(P267&lt;&gt;5,1,0))</x:f>
      </x:c>
      <x:c r="R267">
        <x:f>IF(A267="","",IF(COUNTIF($A$5:$A$604,A267)&gt;1,1,0))</x:f>
      </x:c>
    </x:row>
    <x:row r="268">
      <x:c r="A268" s="8" t="n"/>
      <x:c r="B268" s="12" t="n"/>
      <x:c r="C268" s="8" t="n"/>
      <x:c r="D268" s="8" t="n"/>
      <x:c r="E268" s="8" t="n"/>
      <x:c r="F268" s="8" t="n"/>
      <x:c r="G268" s="8" t="n"/>
      <x:c r="H268" s="8" t="n"/>
      <x:c r="I268" s="8" t="n"/>
      <x:c r="J268" s="8" t="n"/>
      <x:c r="K268" s="8" t="n"/>
      <x:c r="L268" s="8" t="n"/>
      <x:c r="M268" s="8" t="n"/>
      <x:c r="N268" s="8" t="n"/>
      <x:c r="O268" s="8" t="n"/>
      <x:c r="P268">
        <x:f>COUNTA(J268:N268)</x:f>
      </x:c>
      <x:c r="Q268">
        <x:f>IF(A268="","",IF(P268&lt;&gt;5,1,0))</x:f>
      </x:c>
      <x:c r="R268">
        <x:f>IF(A268="","",IF(COUNTIF($A$5:$A$604,A268)&gt;1,1,0))</x:f>
      </x:c>
    </x:row>
    <x:row r="269">
      <x:c r="A269" s="8" t="n"/>
      <x:c r="B269" s="12" t="n"/>
      <x:c r="C269" s="8" t="n"/>
      <x:c r="D269" s="8" t="n"/>
      <x:c r="E269" s="8" t="n"/>
      <x:c r="F269" s="8" t="n"/>
      <x:c r="G269" s="8" t="n"/>
      <x:c r="H269" s="8" t="n"/>
      <x:c r="I269" s="8" t="n"/>
      <x:c r="J269" s="8" t="n"/>
      <x:c r="K269" s="8" t="n"/>
      <x:c r="L269" s="8" t="n"/>
      <x:c r="M269" s="8" t="n"/>
      <x:c r="N269" s="8" t="n"/>
      <x:c r="O269" s="8" t="n"/>
      <x:c r="P269">
        <x:f>COUNTA(J269:N269)</x:f>
      </x:c>
      <x:c r="Q269">
        <x:f>IF(A269="","",IF(P269&lt;&gt;5,1,0))</x:f>
      </x:c>
      <x:c r="R269">
        <x:f>IF(A269="","",IF(COUNTIF($A$5:$A$604,A269)&gt;1,1,0))</x:f>
      </x:c>
    </x:row>
    <x:row r="270">
      <x:c r="A270" s="8" t="n"/>
      <x:c r="B270" s="12" t="n"/>
      <x:c r="C270" s="8" t="n"/>
      <x:c r="D270" s="8" t="n"/>
      <x:c r="E270" s="8" t="n"/>
      <x:c r="F270" s="8" t="n"/>
      <x:c r="G270" s="8" t="n"/>
      <x:c r="H270" s="8" t="n"/>
      <x:c r="I270" s="8" t="n"/>
      <x:c r="J270" s="8" t="n"/>
      <x:c r="K270" s="8" t="n"/>
      <x:c r="L270" s="8" t="n"/>
      <x:c r="M270" s="8" t="n"/>
      <x:c r="N270" s="8" t="n"/>
      <x:c r="O270" s="8" t="n"/>
      <x:c r="P270">
        <x:f>COUNTA(J270:N270)</x:f>
      </x:c>
      <x:c r="Q270">
        <x:f>IF(A270="","",IF(P270&lt;&gt;5,1,0))</x:f>
      </x:c>
      <x:c r="R270">
        <x:f>IF(A270="","",IF(COUNTIF($A$5:$A$604,A270)&gt;1,1,0))</x:f>
      </x:c>
    </x:row>
    <x:row r="271">
      <x:c r="A271" s="8" t="n"/>
      <x:c r="B271" s="12" t="n"/>
      <x:c r="C271" s="8" t="n"/>
      <x:c r="D271" s="8" t="n"/>
      <x:c r="E271" s="8" t="n"/>
      <x:c r="F271" s="8" t="n"/>
      <x:c r="G271" s="8" t="n"/>
      <x:c r="H271" s="8" t="n"/>
      <x:c r="I271" s="8" t="n"/>
      <x:c r="J271" s="8" t="n"/>
      <x:c r="K271" s="8" t="n"/>
      <x:c r="L271" s="8" t="n"/>
      <x:c r="M271" s="8" t="n"/>
      <x:c r="N271" s="8" t="n"/>
      <x:c r="O271" s="8" t="n"/>
      <x:c r="P271">
        <x:f>COUNTA(J271:N271)</x:f>
      </x:c>
      <x:c r="Q271">
        <x:f>IF(A271="","",IF(P271&lt;&gt;5,1,0))</x:f>
      </x:c>
      <x:c r="R271">
        <x:f>IF(A271="","",IF(COUNTIF($A$5:$A$604,A271)&gt;1,1,0))</x:f>
      </x:c>
    </x:row>
    <x:row r="272">
      <x:c r="A272" s="8" t="n"/>
      <x:c r="B272" s="12" t="n"/>
      <x:c r="C272" s="8" t="n"/>
      <x:c r="D272" s="8" t="n"/>
      <x:c r="E272" s="8" t="n"/>
      <x:c r="F272" s="8" t="n"/>
      <x:c r="G272" s="8" t="n"/>
      <x:c r="H272" s="8" t="n"/>
      <x:c r="I272" s="8" t="n"/>
      <x:c r="J272" s="8" t="n"/>
      <x:c r="K272" s="8" t="n"/>
      <x:c r="L272" s="8" t="n"/>
      <x:c r="M272" s="8" t="n"/>
      <x:c r="N272" s="8" t="n"/>
      <x:c r="O272" s="8" t="n"/>
      <x:c r="P272">
        <x:f>COUNTA(J272:N272)</x:f>
      </x:c>
      <x:c r="Q272">
        <x:f>IF(A272="","",IF(P272&lt;&gt;5,1,0))</x:f>
      </x:c>
      <x:c r="R272">
        <x:f>IF(A272="","",IF(COUNTIF($A$5:$A$604,A272)&gt;1,1,0))</x:f>
      </x:c>
    </x:row>
    <x:row r="273">
      <x:c r="A273" s="8" t="n"/>
      <x:c r="B273" s="12" t="n"/>
      <x:c r="C273" s="8" t="n"/>
      <x:c r="D273" s="8" t="n"/>
      <x:c r="E273" s="8" t="n"/>
      <x:c r="F273" s="8" t="n"/>
      <x:c r="G273" s="8" t="n"/>
      <x:c r="H273" s="8" t="n"/>
      <x:c r="I273" s="8" t="n"/>
      <x:c r="J273" s="8" t="n"/>
      <x:c r="K273" s="8" t="n"/>
      <x:c r="L273" s="8" t="n"/>
      <x:c r="M273" s="8" t="n"/>
      <x:c r="N273" s="8" t="n"/>
      <x:c r="O273" s="8" t="n"/>
      <x:c r="P273">
        <x:f>COUNTA(J273:N273)</x:f>
      </x:c>
      <x:c r="Q273">
        <x:f>IF(A273="","",IF(P273&lt;&gt;5,1,0))</x:f>
      </x:c>
      <x:c r="R273">
        <x:f>IF(A273="","",IF(COUNTIF($A$5:$A$604,A273)&gt;1,1,0))</x:f>
      </x:c>
    </x:row>
    <x:row r="274">
      <x:c r="A274" s="8" t="n"/>
      <x:c r="B274" s="12" t="n"/>
      <x:c r="C274" s="8" t="n"/>
      <x:c r="D274" s="8" t="n"/>
      <x:c r="E274" s="8" t="n"/>
      <x:c r="F274" s="8" t="n"/>
      <x:c r="G274" s="8" t="n"/>
      <x:c r="H274" s="8" t="n"/>
      <x:c r="I274" s="8" t="n"/>
      <x:c r="J274" s="8" t="n"/>
      <x:c r="K274" s="8" t="n"/>
      <x:c r="L274" s="8" t="n"/>
      <x:c r="M274" s="8" t="n"/>
      <x:c r="N274" s="8" t="n"/>
      <x:c r="O274" s="8" t="n"/>
      <x:c r="P274">
        <x:f>COUNTA(J274:N274)</x:f>
      </x:c>
      <x:c r="Q274">
        <x:f>IF(A274="","",IF(P274&lt;&gt;5,1,0))</x:f>
      </x:c>
      <x:c r="R274">
        <x:f>IF(A274="","",IF(COUNTIF($A$5:$A$604,A274)&gt;1,1,0))</x:f>
      </x:c>
    </x:row>
    <x:row r="275">
      <x:c r="A275" s="8" t="n"/>
      <x:c r="B275" s="12" t="n"/>
      <x:c r="C275" s="8" t="n"/>
      <x:c r="D275" s="8" t="n"/>
      <x:c r="E275" s="8" t="n"/>
      <x:c r="F275" s="8" t="n"/>
      <x:c r="G275" s="8" t="n"/>
      <x:c r="H275" s="8" t="n"/>
      <x:c r="I275" s="8" t="n"/>
      <x:c r="J275" s="8" t="n"/>
      <x:c r="K275" s="8" t="n"/>
      <x:c r="L275" s="8" t="n"/>
      <x:c r="M275" s="8" t="n"/>
      <x:c r="N275" s="8" t="n"/>
      <x:c r="O275" s="8" t="n"/>
      <x:c r="P275">
        <x:f>COUNTA(J275:N275)</x:f>
      </x:c>
      <x:c r="Q275">
        <x:f>IF(A275="","",IF(P275&lt;&gt;5,1,0))</x:f>
      </x:c>
      <x:c r="R275">
        <x:f>IF(A275="","",IF(COUNTIF($A$5:$A$604,A275)&gt;1,1,0))</x:f>
      </x:c>
    </x:row>
    <x:row r="276">
      <x:c r="A276" s="8" t="n"/>
      <x:c r="B276" s="12" t="n"/>
      <x:c r="C276" s="8" t="n"/>
      <x:c r="D276" s="8" t="n"/>
      <x:c r="E276" s="8" t="n"/>
      <x:c r="F276" s="8" t="n"/>
      <x:c r="G276" s="8" t="n"/>
      <x:c r="H276" s="8" t="n"/>
      <x:c r="I276" s="8" t="n"/>
      <x:c r="J276" s="8" t="n"/>
      <x:c r="K276" s="8" t="n"/>
      <x:c r="L276" s="8" t="n"/>
      <x:c r="M276" s="8" t="n"/>
      <x:c r="N276" s="8" t="n"/>
      <x:c r="O276" s="8" t="n"/>
      <x:c r="P276">
        <x:f>COUNTA(J276:N276)</x:f>
      </x:c>
      <x:c r="Q276">
        <x:f>IF(A276="","",IF(P276&lt;&gt;5,1,0))</x:f>
      </x:c>
      <x:c r="R276">
        <x:f>IF(A276="","",IF(COUNTIF($A$5:$A$604,A276)&gt;1,1,0))</x:f>
      </x:c>
    </x:row>
    <x:row r="277">
      <x:c r="A277" s="8" t="n"/>
      <x:c r="B277" s="12" t="n"/>
      <x:c r="C277" s="8" t="n"/>
      <x:c r="D277" s="8" t="n"/>
      <x:c r="E277" s="8" t="n"/>
      <x:c r="F277" s="8" t="n"/>
      <x:c r="G277" s="8" t="n"/>
      <x:c r="H277" s="8" t="n"/>
      <x:c r="I277" s="8" t="n"/>
      <x:c r="J277" s="8" t="n"/>
      <x:c r="K277" s="8" t="n"/>
      <x:c r="L277" s="8" t="n"/>
      <x:c r="M277" s="8" t="n"/>
      <x:c r="N277" s="8" t="n"/>
      <x:c r="O277" s="8" t="n"/>
      <x:c r="P277">
        <x:f>COUNTA(J277:N277)</x:f>
      </x:c>
      <x:c r="Q277">
        <x:f>IF(A277="","",IF(P277&lt;&gt;5,1,0))</x:f>
      </x:c>
      <x:c r="R277">
        <x:f>IF(A277="","",IF(COUNTIF($A$5:$A$604,A277)&gt;1,1,0))</x:f>
      </x:c>
    </x:row>
    <x:row r="278">
      <x:c r="A278" s="8" t="n"/>
      <x:c r="B278" s="12" t="n"/>
      <x:c r="C278" s="8" t="n"/>
      <x:c r="D278" s="8" t="n"/>
      <x:c r="E278" s="8" t="n"/>
      <x:c r="F278" s="8" t="n"/>
      <x:c r="G278" s="8" t="n"/>
      <x:c r="H278" s="8" t="n"/>
      <x:c r="I278" s="8" t="n"/>
      <x:c r="J278" s="8" t="n"/>
      <x:c r="K278" s="8" t="n"/>
      <x:c r="L278" s="8" t="n"/>
      <x:c r="M278" s="8" t="n"/>
      <x:c r="N278" s="8" t="n"/>
      <x:c r="O278" s="8" t="n"/>
      <x:c r="P278">
        <x:f>COUNTA(J278:N278)</x:f>
      </x:c>
      <x:c r="Q278">
        <x:f>IF(A278="","",IF(P278&lt;&gt;5,1,0))</x:f>
      </x:c>
      <x:c r="R278">
        <x:f>IF(A278="","",IF(COUNTIF($A$5:$A$604,A278)&gt;1,1,0))</x:f>
      </x:c>
    </x:row>
    <x:row r="279">
      <x:c r="A279" s="8" t="n"/>
      <x:c r="B279" s="12" t="n"/>
      <x:c r="C279" s="8" t="n"/>
      <x:c r="D279" s="8" t="n"/>
      <x:c r="E279" s="8" t="n"/>
      <x:c r="F279" s="8" t="n"/>
      <x:c r="G279" s="8" t="n"/>
      <x:c r="H279" s="8" t="n"/>
      <x:c r="I279" s="8" t="n"/>
      <x:c r="J279" s="8" t="n"/>
      <x:c r="K279" s="8" t="n"/>
      <x:c r="L279" s="8" t="n"/>
      <x:c r="M279" s="8" t="n"/>
      <x:c r="N279" s="8" t="n"/>
      <x:c r="O279" s="8" t="n"/>
      <x:c r="P279">
        <x:f>COUNTA(J279:N279)</x:f>
      </x:c>
      <x:c r="Q279">
        <x:f>IF(A279="","",IF(P279&lt;&gt;5,1,0))</x:f>
      </x:c>
      <x:c r="R279">
        <x:f>IF(A279="","",IF(COUNTIF($A$5:$A$604,A279)&gt;1,1,0))</x:f>
      </x:c>
    </x:row>
    <x:row r="280">
      <x:c r="A280" s="8" t="n"/>
      <x:c r="B280" s="12" t="n"/>
      <x:c r="C280" s="8" t="n"/>
      <x:c r="D280" s="8" t="n"/>
      <x:c r="E280" s="8" t="n"/>
      <x:c r="F280" s="8" t="n"/>
      <x:c r="G280" s="8" t="n"/>
      <x:c r="H280" s="8" t="n"/>
      <x:c r="I280" s="8" t="n"/>
      <x:c r="J280" s="8" t="n"/>
      <x:c r="K280" s="8" t="n"/>
      <x:c r="L280" s="8" t="n"/>
      <x:c r="M280" s="8" t="n"/>
      <x:c r="N280" s="8" t="n"/>
      <x:c r="O280" s="8" t="n"/>
      <x:c r="P280">
        <x:f>COUNTA(J280:N280)</x:f>
      </x:c>
      <x:c r="Q280">
        <x:f>IF(A280="","",IF(P280&lt;&gt;5,1,0))</x:f>
      </x:c>
      <x:c r="R280">
        <x:f>IF(A280="","",IF(COUNTIF($A$5:$A$604,A280)&gt;1,1,0))</x:f>
      </x:c>
    </x:row>
    <x:row r="281">
      <x:c r="A281" s="8" t="n"/>
      <x:c r="B281" s="12" t="n"/>
      <x:c r="C281" s="8" t="n"/>
      <x:c r="D281" s="8" t="n"/>
      <x:c r="E281" s="8" t="n"/>
      <x:c r="F281" s="8" t="n"/>
      <x:c r="G281" s="8" t="n"/>
      <x:c r="H281" s="8" t="n"/>
      <x:c r="I281" s="8" t="n"/>
      <x:c r="J281" s="8" t="n"/>
      <x:c r="K281" s="8" t="n"/>
      <x:c r="L281" s="8" t="n"/>
      <x:c r="M281" s="8" t="n"/>
      <x:c r="N281" s="8" t="n"/>
      <x:c r="O281" s="8" t="n"/>
      <x:c r="P281">
        <x:f>COUNTA(J281:N281)</x:f>
      </x:c>
      <x:c r="Q281">
        <x:f>IF(A281="","",IF(P281&lt;&gt;5,1,0))</x:f>
      </x:c>
      <x:c r="R281">
        <x:f>IF(A281="","",IF(COUNTIF($A$5:$A$604,A281)&gt;1,1,0))</x:f>
      </x:c>
    </x:row>
    <x:row r="282">
      <x:c r="A282" s="8" t="n"/>
      <x:c r="B282" s="12" t="n"/>
      <x:c r="C282" s="8" t="n"/>
      <x:c r="D282" s="8" t="n"/>
      <x:c r="E282" s="8" t="n"/>
      <x:c r="F282" s="8" t="n"/>
      <x:c r="G282" s="8" t="n"/>
      <x:c r="H282" s="8" t="n"/>
      <x:c r="I282" s="8" t="n"/>
      <x:c r="J282" s="8" t="n"/>
      <x:c r="K282" s="8" t="n"/>
      <x:c r="L282" s="8" t="n"/>
      <x:c r="M282" s="8" t="n"/>
      <x:c r="N282" s="8" t="n"/>
      <x:c r="O282" s="8" t="n"/>
      <x:c r="P282">
        <x:f>COUNTA(J282:N282)</x:f>
      </x:c>
      <x:c r="Q282">
        <x:f>IF(A282="","",IF(P282&lt;&gt;5,1,0))</x:f>
      </x:c>
      <x:c r="R282">
        <x:f>IF(A282="","",IF(COUNTIF($A$5:$A$604,A282)&gt;1,1,0))</x:f>
      </x:c>
    </x:row>
    <x:row r="283">
      <x:c r="A283" s="8" t="n"/>
      <x:c r="B283" s="12" t="n"/>
      <x:c r="C283" s="8" t="n"/>
      <x:c r="D283" s="8" t="n"/>
      <x:c r="E283" s="8" t="n"/>
      <x:c r="F283" s="8" t="n"/>
      <x:c r="G283" s="8" t="n"/>
      <x:c r="H283" s="8" t="n"/>
      <x:c r="I283" s="8" t="n"/>
      <x:c r="J283" s="8" t="n"/>
      <x:c r="K283" s="8" t="n"/>
      <x:c r="L283" s="8" t="n"/>
      <x:c r="M283" s="8" t="n"/>
      <x:c r="N283" s="8" t="n"/>
      <x:c r="O283" s="8" t="n"/>
      <x:c r="P283">
        <x:f>COUNTA(J283:N283)</x:f>
      </x:c>
      <x:c r="Q283">
        <x:f>IF(A283="","",IF(P283&lt;&gt;5,1,0))</x:f>
      </x:c>
      <x:c r="R283">
        <x:f>IF(A283="","",IF(COUNTIF($A$5:$A$604,A283)&gt;1,1,0))</x:f>
      </x:c>
    </x:row>
    <x:row r="284">
      <x:c r="A284" s="8" t="n"/>
      <x:c r="B284" s="12" t="n"/>
      <x:c r="C284" s="8" t="n"/>
      <x:c r="D284" s="8" t="n"/>
      <x:c r="E284" s="8" t="n"/>
      <x:c r="F284" s="8" t="n"/>
      <x:c r="G284" s="8" t="n"/>
      <x:c r="H284" s="8" t="n"/>
      <x:c r="I284" s="8" t="n"/>
      <x:c r="J284" s="8" t="n"/>
      <x:c r="K284" s="8" t="n"/>
      <x:c r="L284" s="8" t="n"/>
      <x:c r="M284" s="8" t="n"/>
      <x:c r="N284" s="8" t="n"/>
      <x:c r="O284" s="8" t="n"/>
      <x:c r="P284">
        <x:f>COUNTA(J284:N284)</x:f>
      </x:c>
      <x:c r="Q284">
        <x:f>IF(A284="","",IF(P284&lt;&gt;5,1,0))</x:f>
      </x:c>
      <x:c r="R284">
        <x:f>IF(A284="","",IF(COUNTIF($A$5:$A$604,A284)&gt;1,1,0))</x:f>
      </x:c>
    </x:row>
    <x:row r="285">
      <x:c r="A285" s="8" t="n"/>
      <x:c r="B285" s="12" t="n"/>
      <x:c r="C285" s="8" t="n"/>
      <x:c r="D285" s="8" t="n"/>
      <x:c r="E285" s="8" t="n"/>
      <x:c r="F285" s="8" t="n"/>
      <x:c r="G285" s="8" t="n"/>
      <x:c r="H285" s="8" t="n"/>
      <x:c r="I285" s="8" t="n"/>
      <x:c r="J285" s="8" t="n"/>
      <x:c r="K285" s="8" t="n"/>
      <x:c r="L285" s="8" t="n"/>
      <x:c r="M285" s="8" t="n"/>
      <x:c r="N285" s="8" t="n"/>
      <x:c r="O285" s="8" t="n"/>
      <x:c r="P285">
        <x:f>COUNTA(J285:N285)</x:f>
      </x:c>
      <x:c r="Q285">
        <x:f>IF(A285="","",IF(P285&lt;&gt;5,1,0))</x:f>
      </x:c>
      <x:c r="R285">
        <x:f>IF(A285="","",IF(COUNTIF($A$5:$A$604,A285)&gt;1,1,0))</x:f>
      </x:c>
    </x:row>
    <x:row r="286">
      <x:c r="A286" s="8" t="n"/>
      <x:c r="B286" s="12" t="n"/>
      <x:c r="C286" s="8" t="n"/>
      <x:c r="D286" s="8" t="n"/>
      <x:c r="E286" s="8" t="n"/>
      <x:c r="F286" s="8" t="n"/>
      <x:c r="G286" s="8" t="n"/>
      <x:c r="H286" s="8" t="n"/>
      <x:c r="I286" s="8" t="n"/>
      <x:c r="J286" s="8" t="n"/>
      <x:c r="K286" s="8" t="n"/>
      <x:c r="L286" s="8" t="n"/>
      <x:c r="M286" s="8" t="n"/>
      <x:c r="N286" s="8" t="n"/>
      <x:c r="O286" s="8" t="n"/>
      <x:c r="P286">
        <x:f>COUNTA(J286:N286)</x:f>
      </x:c>
      <x:c r="Q286">
        <x:f>IF(A286="","",IF(P286&lt;&gt;5,1,0))</x:f>
      </x:c>
      <x:c r="R286">
        <x:f>IF(A286="","",IF(COUNTIF($A$5:$A$604,A286)&gt;1,1,0))</x:f>
      </x:c>
    </x:row>
    <x:row r="287">
      <x:c r="A287" s="8" t="n"/>
      <x:c r="B287" s="12" t="n"/>
      <x:c r="C287" s="8" t="n"/>
      <x:c r="D287" s="8" t="n"/>
      <x:c r="E287" s="8" t="n"/>
      <x:c r="F287" s="8" t="n"/>
      <x:c r="G287" s="8" t="n"/>
      <x:c r="H287" s="8" t="n"/>
      <x:c r="I287" s="8" t="n"/>
      <x:c r="J287" s="8" t="n"/>
      <x:c r="K287" s="8" t="n"/>
      <x:c r="L287" s="8" t="n"/>
      <x:c r="M287" s="8" t="n"/>
      <x:c r="N287" s="8" t="n"/>
      <x:c r="O287" s="8" t="n"/>
      <x:c r="P287">
        <x:f>COUNTA(J287:N287)</x:f>
      </x:c>
      <x:c r="Q287">
        <x:f>IF(A287="","",IF(P287&lt;&gt;5,1,0))</x:f>
      </x:c>
      <x:c r="R287">
        <x:f>IF(A287="","",IF(COUNTIF($A$5:$A$604,A287)&gt;1,1,0))</x:f>
      </x:c>
    </x:row>
    <x:row r="288">
      <x:c r="A288" s="8" t="n"/>
      <x:c r="B288" s="12" t="n"/>
      <x:c r="C288" s="8" t="n"/>
      <x:c r="D288" s="8" t="n"/>
      <x:c r="E288" s="8" t="n"/>
      <x:c r="F288" s="8" t="n"/>
      <x:c r="G288" s="8" t="n"/>
      <x:c r="H288" s="8" t="n"/>
      <x:c r="I288" s="8" t="n"/>
      <x:c r="J288" s="8" t="n"/>
      <x:c r="K288" s="8" t="n"/>
      <x:c r="L288" s="8" t="n"/>
      <x:c r="M288" s="8" t="n"/>
      <x:c r="N288" s="8" t="n"/>
      <x:c r="O288" s="8" t="n"/>
      <x:c r="P288">
        <x:f>COUNTA(J288:N288)</x:f>
      </x:c>
      <x:c r="Q288">
        <x:f>IF(A288="","",IF(P288&lt;&gt;5,1,0))</x:f>
      </x:c>
      <x:c r="R288">
        <x:f>IF(A288="","",IF(COUNTIF($A$5:$A$604,A288)&gt;1,1,0))</x:f>
      </x:c>
    </x:row>
    <x:row r="289">
      <x:c r="A289" s="8" t="n"/>
      <x:c r="B289" s="12" t="n"/>
      <x:c r="C289" s="8" t="n"/>
      <x:c r="D289" s="8" t="n"/>
      <x:c r="E289" s="8" t="n"/>
      <x:c r="F289" s="8" t="n"/>
      <x:c r="G289" s="8" t="n"/>
      <x:c r="H289" s="8" t="n"/>
      <x:c r="I289" s="8" t="n"/>
      <x:c r="J289" s="8" t="n"/>
      <x:c r="K289" s="8" t="n"/>
      <x:c r="L289" s="8" t="n"/>
      <x:c r="M289" s="8" t="n"/>
      <x:c r="N289" s="8" t="n"/>
      <x:c r="O289" s="8" t="n"/>
      <x:c r="P289">
        <x:f>COUNTA(J289:N289)</x:f>
      </x:c>
      <x:c r="Q289">
        <x:f>IF(A289="","",IF(P289&lt;&gt;5,1,0))</x:f>
      </x:c>
      <x:c r="R289">
        <x:f>IF(A289="","",IF(COUNTIF($A$5:$A$604,A289)&gt;1,1,0))</x:f>
      </x:c>
    </x:row>
    <x:row r="290">
      <x:c r="A290" s="8" t="n"/>
      <x:c r="B290" s="12" t="n"/>
      <x:c r="C290" s="8" t="n"/>
      <x:c r="D290" s="8" t="n"/>
      <x:c r="E290" s="8" t="n"/>
      <x:c r="F290" s="8" t="n"/>
      <x:c r="G290" s="8" t="n"/>
      <x:c r="H290" s="8" t="n"/>
      <x:c r="I290" s="8" t="n"/>
      <x:c r="J290" s="8" t="n"/>
      <x:c r="K290" s="8" t="n"/>
      <x:c r="L290" s="8" t="n"/>
      <x:c r="M290" s="8" t="n"/>
      <x:c r="N290" s="8" t="n"/>
      <x:c r="O290" s="8" t="n"/>
      <x:c r="P290">
        <x:f>COUNTA(J290:N290)</x:f>
      </x:c>
      <x:c r="Q290">
        <x:f>IF(A290="","",IF(P290&lt;&gt;5,1,0))</x:f>
      </x:c>
      <x:c r="R290">
        <x:f>IF(A290="","",IF(COUNTIF($A$5:$A$604,A290)&gt;1,1,0))</x:f>
      </x:c>
    </x:row>
    <x:row r="291">
      <x:c r="A291" s="8" t="n"/>
      <x:c r="B291" s="12" t="n"/>
      <x:c r="C291" s="8" t="n"/>
      <x:c r="D291" s="8" t="n"/>
      <x:c r="E291" s="8" t="n"/>
      <x:c r="F291" s="8" t="n"/>
      <x:c r="G291" s="8" t="n"/>
      <x:c r="H291" s="8" t="n"/>
      <x:c r="I291" s="8" t="n"/>
      <x:c r="J291" s="8" t="n"/>
      <x:c r="K291" s="8" t="n"/>
      <x:c r="L291" s="8" t="n"/>
      <x:c r="M291" s="8" t="n"/>
      <x:c r="N291" s="8" t="n"/>
      <x:c r="O291" s="8" t="n"/>
      <x:c r="P291">
        <x:f>COUNTA(J291:N291)</x:f>
      </x:c>
      <x:c r="Q291">
        <x:f>IF(A291="","",IF(P291&lt;&gt;5,1,0))</x:f>
      </x:c>
      <x:c r="R291">
        <x:f>IF(A291="","",IF(COUNTIF($A$5:$A$604,A291)&gt;1,1,0))</x:f>
      </x:c>
    </x:row>
    <x:row r="292">
      <x:c r="A292" s="8" t="n"/>
      <x:c r="B292" s="12" t="n"/>
      <x:c r="C292" s="8" t="n"/>
      <x:c r="D292" s="8" t="n"/>
      <x:c r="E292" s="8" t="n"/>
      <x:c r="F292" s="8" t="n"/>
      <x:c r="G292" s="8" t="n"/>
      <x:c r="H292" s="8" t="n"/>
      <x:c r="I292" s="8" t="n"/>
      <x:c r="J292" s="8" t="n"/>
      <x:c r="K292" s="8" t="n"/>
      <x:c r="L292" s="8" t="n"/>
      <x:c r="M292" s="8" t="n"/>
      <x:c r="N292" s="8" t="n"/>
      <x:c r="O292" s="8" t="n"/>
      <x:c r="P292">
        <x:f>COUNTA(J292:N292)</x:f>
      </x:c>
      <x:c r="Q292">
        <x:f>IF(A292="","",IF(P292&lt;&gt;5,1,0))</x:f>
      </x:c>
      <x:c r="R292">
        <x:f>IF(A292="","",IF(COUNTIF($A$5:$A$604,A292)&gt;1,1,0))</x:f>
      </x:c>
    </x:row>
    <x:row r="293">
      <x:c r="A293" s="8" t="n"/>
      <x:c r="B293" s="12" t="n"/>
      <x:c r="C293" s="8" t="n"/>
      <x:c r="D293" s="8" t="n"/>
      <x:c r="E293" s="8" t="n"/>
      <x:c r="F293" s="8" t="n"/>
      <x:c r="G293" s="8" t="n"/>
      <x:c r="H293" s="8" t="n"/>
      <x:c r="I293" s="8" t="n"/>
      <x:c r="J293" s="8" t="n"/>
      <x:c r="K293" s="8" t="n"/>
      <x:c r="L293" s="8" t="n"/>
      <x:c r="M293" s="8" t="n"/>
      <x:c r="N293" s="8" t="n"/>
      <x:c r="O293" s="8" t="n"/>
      <x:c r="P293">
        <x:f>COUNTA(J293:N293)</x:f>
      </x:c>
      <x:c r="Q293">
        <x:f>IF(A293="","",IF(P293&lt;&gt;5,1,0))</x:f>
      </x:c>
      <x:c r="R293">
        <x:f>IF(A293="","",IF(COUNTIF($A$5:$A$604,A293)&gt;1,1,0))</x:f>
      </x:c>
    </x:row>
    <x:row r="294">
      <x:c r="A294" s="8" t="n"/>
      <x:c r="B294" s="12" t="n"/>
      <x:c r="C294" s="8" t="n"/>
      <x:c r="D294" s="8" t="n"/>
      <x:c r="E294" s="8" t="n"/>
      <x:c r="F294" s="8" t="n"/>
      <x:c r="G294" s="8" t="n"/>
      <x:c r="H294" s="8" t="n"/>
      <x:c r="I294" s="8" t="n"/>
      <x:c r="J294" s="8" t="n"/>
      <x:c r="K294" s="8" t="n"/>
      <x:c r="L294" s="8" t="n"/>
      <x:c r="M294" s="8" t="n"/>
      <x:c r="N294" s="8" t="n"/>
      <x:c r="O294" s="8" t="n"/>
      <x:c r="P294">
        <x:f>COUNTA(J294:N294)</x:f>
      </x:c>
      <x:c r="Q294">
        <x:f>IF(A294="","",IF(P294&lt;&gt;5,1,0))</x:f>
      </x:c>
      <x:c r="R294">
        <x:f>IF(A294="","",IF(COUNTIF($A$5:$A$604,A294)&gt;1,1,0))</x:f>
      </x:c>
    </x:row>
    <x:row r="295">
      <x:c r="A295" s="8" t="n"/>
      <x:c r="B295" s="12" t="n"/>
      <x:c r="C295" s="8" t="n"/>
      <x:c r="D295" s="8" t="n"/>
      <x:c r="E295" s="8" t="n"/>
      <x:c r="F295" s="8" t="n"/>
      <x:c r="G295" s="8" t="n"/>
      <x:c r="H295" s="8" t="n"/>
      <x:c r="I295" s="8" t="n"/>
      <x:c r="J295" s="8" t="n"/>
      <x:c r="K295" s="8" t="n"/>
      <x:c r="L295" s="8" t="n"/>
      <x:c r="M295" s="8" t="n"/>
      <x:c r="N295" s="8" t="n"/>
      <x:c r="O295" s="8" t="n"/>
      <x:c r="P295">
        <x:f>COUNTA(J295:N295)</x:f>
      </x:c>
      <x:c r="Q295">
        <x:f>IF(A295="","",IF(P295&lt;&gt;5,1,0))</x:f>
      </x:c>
      <x:c r="R295">
        <x:f>IF(A295="","",IF(COUNTIF($A$5:$A$604,A295)&gt;1,1,0))</x:f>
      </x:c>
    </x:row>
    <x:row r="296">
      <x:c r="A296" s="8" t="n"/>
      <x:c r="B296" s="12" t="n"/>
      <x:c r="C296" s="8" t="n"/>
      <x:c r="D296" s="8" t="n"/>
      <x:c r="E296" s="8" t="n"/>
      <x:c r="F296" s="8" t="n"/>
      <x:c r="G296" s="8" t="n"/>
      <x:c r="H296" s="8" t="n"/>
      <x:c r="I296" s="8" t="n"/>
      <x:c r="J296" s="8" t="n"/>
      <x:c r="K296" s="8" t="n"/>
      <x:c r="L296" s="8" t="n"/>
      <x:c r="M296" s="8" t="n"/>
      <x:c r="N296" s="8" t="n"/>
      <x:c r="O296" s="8" t="n"/>
      <x:c r="P296">
        <x:f>COUNTA(J296:N296)</x:f>
      </x:c>
      <x:c r="Q296">
        <x:f>IF(A296="","",IF(P296&lt;&gt;5,1,0))</x:f>
      </x:c>
      <x:c r="R296">
        <x:f>IF(A296="","",IF(COUNTIF($A$5:$A$604,A296)&gt;1,1,0))</x:f>
      </x:c>
    </x:row>
    <x:row r="297">
      <x:c r="A297" s="8" t="n"/>
      <x:c r="B297" s="12" t="n"/>
      <x:c r="C297" s="8" t="n"/>
      <x:c r="D297" s="8" t="n"/>
      <x:c r="E297" s="8" t="n"/>
      <x:c r="F297" s="8" t="n"/>
      <x:c r="G297" s="8" t="n"/>
      <x:c r="H297" s="8" t="n"/>
      <x:c r="I297" s="8" t="n"/>
      <x:c r="J297" s="8" t="n"/>
      <x:c r="K297" s="8" t="n"/>
      <x:c r="L297" s="8" t="n"/>
      <x:c r="M297" s="8" t="n"/>
      <x:c r="N297" s="8" t="n"/>
      <x:c r="O297" s="8" t="n"/>
      <x:c r="P297">
        <x:f>COUNTA(J297:N297)</x:f>
      </x:c>
      <x:c r="Q297">
        <x:f>IF(A297="","",IF(P297&lt;&gt;5,1,0))</x:f>
      </x:c>
      <x:c r="R297">
        <x:f>IF(A297="","",IF(COUNTIF($A$5:$A$604,A297)&gt;1,1,0))</x:f>
      </x:c>
    </x:row>
    <x:row r="298">
      <x:c r="A298" s="8" t="n"/>
      <x:c r="B298" s="12" t="n"/>
      <x:c r="C298" s="8" t="n"/>
      <x:c r="D298" s="8" t="n"/>
      <x:c r="E298" s="8" t="n"/>
      <x:c r="F298" s="8" t="n"/>
      <x:c r="G298" s="8" t="n"/>
      <x:c r="H298" s="8" t="n"/>
      <x:c r="I298" s="8" t="n"/>
      <x:c r="J298" s="8" t="n"/>
      <x:c r="K298" s="8" t="n"/>
      <x:c r="L298" s="8" t="n"/>
      <x:c r="M298" s="8" t="n"/>
      <x:c r="N298" s="8" t="n"/>
      <x:c r="O298" s="8" t="n"/>
      <x:c r="P298">
        <x:f>COUNTA(J298:N298)</x:f>
      </x:c>
      <x:c r="Q298">
        <x:f>IF(A298="","",IF(P298&lt;&gt;5,1,0))</x:f>
      </x:c>
      <x:c r="R298">
        <x:f>IF(A298="","",IF(COUNTIF($A$5:$A$604,A298)&gt;1,1,0))</x:f>
      </x:c>
    </x:row>
    <x:row r="299">
      <x:c r="A299" s="8" t="n"/>
      <x:c r="B299" s="12" t="n"/>
      <x:c r="C299" s="8" t="n"/>
      <x:c r="D299" s="8" t="n"/>
      <x:c r="E299" s="8" t="n"/>
      <x:c r="F299" s="8" t="n"/>
      <x:c r="G299" s="8" t="n"/>
      <x:c r="H299" s="8" t="n"/>
      <x:c r="I299" s="8" t="n"/>
      <x:c r="J299" s="8" t="n"/>
      <x:c r="K299" s="8" t="n"/>
      <x:c r="L299" s="8" t="n"/>
      <x:c r="M299" s="8" t="n"/>
      <x:c r="N299" s="8" t="n"/>
      <x:c r="O299" s="8" t="n"/>
      <x:c r="P299">
        <x:f>COUNTA(J299:N299)</x:f>
      </x:c>
      <x:c r="Q299">
        <x:f>IF(A299="","",IF(P299&lt;&gt;5,1,0))</x:f>
      </x:c>
      <x:c r="R299">
        <x:f>IF(A299="","",IF(COUNTIF($A$5:$A$604,A299)&gt;1,1,0))</x:f>
      </x:c>
    </x:row>
    <x:row r="300">
      <x:c r="A300" s="8" t="n"/>
      <x:c r="B300" s="12" t="n"/>
      <x:c r="C300" s="8" t="n"/>
      <x:c r="D300" s="8" t="n"/>
      <x:c r="E300" s="8" t="n"/>
      <x:c r="F300" s="8" t="n"/>
      <x:c r="G300" s="8" t="n"/>
      <x:c r="H300" s="8" t="n"/>
      <x:c r="I300" s="8" t="n"/>
      <x:c r="J300" s="8" t="n"/>
      <x:c r="K300" s="8" t="n"/>
      <x:c r="L300" s="8" t="n"/>
      <x:c r="M300" s="8" t="n"/>
      <x:c r="N300" s="8" t="n"/>
      <x:c r="O300" s="8" t="n"/>
      <x:c r="P300">
        <x:f>COUNTA(J300:N300)</x:f>
      </x:c>
      <x:c r="Q300">
        <x:f>IF(A300="","",IF(P300&lt;&gt;5,1,0))</x:f>
      </x:c>
      <x:c r="R300">
        <x:f>IF(A300="","",IF(COUNTIF($A$5:$A$604,A300)&gt;1,1,0))</x:f>
      </x:c>
    </x:row>
    <x:row r="301">
      <x:c r="A301" s="8" t="n"/>
      <x:c r="B301" s="12" t="n"/>
      <x:c r="C301" s="8" t="n"/>
      <x:c r="D301" s="8" t="n"/>
      <x:c r="E301" s="8" t="n"/>
      <x:c r="F301" s="8" t="n"/>
      <x:c r="G301" s="8" t="n"/>
      <x:c r="H301" s="8" t="n"/>
      <x:c r="I301" s="8" t="n"/>
      <x:c r="J301" s="8" t="n"/>
      <x:c r="K301" s="8" t="n"/>
      <x:c r="L301" s="8" t="n"/>
      <x:c r="M301" s="8" t="n"/>
      <x:c r="N301" s="8" t="n"/>
      <x:c r="O301" s="8" t="n"/>
      <x:c r="P301">
        <x:f>COUNTA(J301:N301)</x:f>
      </x:c>
      <x:c r="Q301">
        <x:f>IF(A301="","",IF(P301&lt;&gt;5,1,0))</x:f>
      </x:c>
      <x:c r="R301">
        <x:f>IF(A301="","",IF(COUNTIF($A$5:$A$604,A301)&gt;1,1,0))</x:f>
      </x:c>
    </x:row>
    <x:row r="302">
      <x:c r="A302" s="8" t="n"/>
      <x:c r="B302" s="12" t="n"/>
      <x:c r="C302" s="8" t="n"/>
      <x:c r="D302" s="8" t="n"/>
      <x:c r="E302" s="8" t="n"/>
      <x:c r="F302" s="8" t="n"/>
      <x:c r="G302" s="8" t="n"/>
      <x:c r="H302" s="8" t="n"/>
      <x:c r="I302" s="8" t="n"/>
      <x:c r="J302" s="8" t="n"/>
      <x:c r="K302" s="8" t="n"/>
      <x:c r="L302" s="8" t="n"/>
      <x:c r="M302" s="8" t="n"/>
      <x:c r="N302" s="8" t="n"/>
      <x:c r="O302" s="8" t="n"/>
      <x:c r="P302">
        <x:f>COUNTA(J302:N302)</x:f>
      </x:c>
      <x:c r="Q302">
        <x:f>IF(A302="","",IF(P302&lt;&gt;5,1,0))</x:f>
      </x:c>
      <x:c r="R302">
        <x:f>IF(A302="","",IF(COUNTIF($A$5:$A$604,A302)&gt;1,1,0))</x:f>
      </x:c>
    </x:row>
    <x:row r="303">
      <x:c r="A303" s="8" t="n"/>
      <x:c r="B303" s="12" t="n"/>
      <x:c r="C303" s="8" t="n"/>
      <x:c r="D303" s="8" t="n"/>
      <x:c r="E303" s="8" t="n"/>
      <x:c r="F303" s="8" t="n"/>
      <x:c r="G303" s="8" t="n"/>
      <x:c r="H303" s="8" t="n"/>
      <x:c r="I303" s="8" t="n"/>
      <x:c r="J303" s="8" t="n"/>
      <x:c r="K303" s="8" t="n"/>
      <x:c r="L303" s="8" t="n"/>
      <x:c r="M303" s="8" t="n"/>
      <x:c r="N303" s="8" t="n"/>
      <x:c r="O303" s="8" t="n"/>
      <x:c r="P303">
        <x:f>COUNTA(J303:N303)</x:f>
      </x:c>
      <x:c r="Q303">
        <x:f>IF(A303="","",IF(P303&lt;&gt;5,1,0))</x:f>
      </x:c>
      <x:c r="R303">
        <x:f>IF(A303="","",IF(COUNTIF($A$5:$A$604,A303)&gt;1,1,0))</x:f>
      </x:c>
    </x:row>
    <x:row r="304">
      <x:c r="A304" s="8" t="n"/>
      <x:c r="B304" s="12" t="n"/>
      <x:c r="C304" s="8" t="n"/>
      <x:c r="D304" s="8" t="n"/>
      <x:c r="E304" s="8" t="n"/>
      <x:c r="F304" s="8" t="n"/>
      <x:c r="G304" s="8" t="n"/>
      <x:c r="H304" s="8" t="n"/>
      <x:c r="I304" s="8" t="n"/>
      <x:c r="J304" s="8" t="n"/>
      <x:c r="K304" s="8" t="n"/>
      <x:c r="L304" s="8" t="n"/>
      <x:c r="M304" s="8" t="n"/>
      <x:c r="N304" s="8" t="n"/>
      <x:c r="O304" s="8" t="n"/>
      <x:c r="P304">
        <x:f>COUNTA(J304:N304)</x:f>
      </x:c>
      <x:c r="Q304">
        <x:f>IF(A304="","",IF(P304&lt;&gt;5,1,0))</x:f>
      </x:c>
      <x:c r="R304">
        <x:f>IF(A304="","",IF(COUNTIF($A$5:$A$604,A304)&gt;1,1,0))</x:f>
      </x:c>
    </x:row>
    <x:row r="305">
      <x:c r="A305" s="8" t="n"/>
      <x:c r="B305" s="12" t="n"/>
      <x:c r="C305" s="8" t="n"/>
      <x:c r="D305" s="8" t="n"/>
      <x:c r="E305" s="8" t="n"/>
      <x:c r="F305" s="8" t="n"/>
      <x:c r="G305" s="8" t="n"/>
      <x:c r="H305" s="8" t="n"/>
      <x:c r="I305" s="8" t="n"/>
      <x:c r="J305" s="8" t="n"/>
      <x:c r="K305" s="8" t="n"/>
      <x:c r="L305" s="8" t="n"/>
      <x:c r="M305" s="8" t="n"/>
      <x:c r="N305" s="8" t="n"/>
      <x:c r="O305" s="8" t="n"/>
      <x:c r="P305">
        <x:f>COUNTA(J305:N305)</x:f>
      </x:c>
      <x:c r="Q305">
        <x:f>IF(A305="","",IF(P305&lt;&gt;5,1,0))</x:f>
      </x:c>
      <x:c r="R305">
        <x:f>IF(A305="","",IF(COUNTIF($A$5:$A$604,A305)&gt;1,1,0))</x:f>
      </x:c>
    </x:row>
    <x:row r="306">
      <x:c r="A306" s="8" t="n"/>
      <x:c r="B306" s="12" t="n"/>
      <x:c r="C306" s="8" t="n"/>
      <x:c r="D306" s="8" t="n"/>
      <x:c r="E306" s="8" t="n"/>
      <x:c r="F306" s="8" t="n"/>
      <x:c r="G306" s="8" t="n"/>
      <x:c r="H306" s="8" t="n"/>
      <x:c r="I306" s="8" t="n"/>
      <x:c r="J306" s="8" t="n"/>
      <x:c r="K306" s="8" t="n"/>
      <x:c r="L306" s="8" t="n"/>
      <x:c r="M306" s="8" t="n"/>
      <x:c r="N306" s="8" t="n"/>
      <x:c r="O306" s="8" t="n"/>
      <x:c r="P306">
        <x:f>COUNTA(J306:N306)</x:f>
      </x:c>
      <x:c r="Q306">
        <x:f>IF(A306="","",IF(P306&lt;&gt;5,1,0))</x:f>
      </x:c>
      <x:c r="R306">
        <x:f>IF(A306="","",IF(COUNTIF($A$5:$A$604,A306)&gt;1,1,0))</x:f>
      </x:c>
    </x:row>
    <x:row r="307">
      <x:c r="A307" s="8" t="n"/>
      <x:c r="B307" s="12" t="n"/>
      <x:c r="C307" s="8" t="n"/>
      <x:c r="D307" s="8" t="n"/>
      <x:c r="E307" s="8" t="n"/>
      <x:c r="F307" s="8" t="n"/>
      <x:c r="G307" s="8" t="n"/>
      <x:c r="H307" s="8" t="n"/>
      <x:c r="I307" s="8" t="n"/>
      <x:c r="J307" s="8" t="n"/>
      <x:c r="K307" s="8" t="n"/>
      <x:c r="L307" s="8" t="n"/>
      <x:c r="M307" s="8" t="n"/>
      <x:c r="N307" s="8" t="n"/>
      <x:c r="O307" s="8" t="n"/>
      <x:c r="P307">
        <x:f>COUNTA(J307:N307)</x:f>
      </x:c>
      <x:c r="Q307">
        <x:f>IF(A307="","",IF(P307&lt;&gt;5,1,0))</x:f>
      </x:c>
      <x:c r="R307">
        <x:f>IF(A307="","",IF(COUNTIF($A$5:$A$604,A307)&gt;1,1,0))</x:f>
      </x:c>
    </x:row>
    <x:row r="308">
      <x:c r="A308" s="8" t="n"/>
      <x:c r="B308" s="12" t="n"/>
      <x:c r="C308" s="8" t="n"/>
      <x:c r="D308" s="8" t="n"/>
      <x:c r="E308" s="8" t="n"/>
      <x:c r="F308" s="8" t="n"/>
      <x:c r="G308" s="8" t="n"/>
      <x:c r="H308" s="8" t="n"/>
      <x:c r="I308" s="8" t="n"/>
      <x:c r="J308" s="8" t="n"/>
      <x:c r="K308" s="8" t="n"/>
      <x:c r="L308" s="8" t="n"/>
      <x:c r="M308" s="8" t="n"/>
      <x:c r="N308" s="8" t="n"/>
      <x:c r="O308" s="8" t="n"/>
      <x:c r="P308">
        <x:f>COUNTA(J308:N308)</x:f>
      </x:c>
      <x:c r="Q308">
        <x:f>IF(A308="","",IF(P308&lt;&gt;5,1,0))</x:f>
      </x:c>
      <x:c r="R308">
        <x:f>IF(A308="","",IF(COUNTIF($A$5:$A$604,A308)&gt;1,1,0))</x:f>
      </x:c>
    </x:row>
    <x:row r="309">
      <x:c r="A309" s="8" t="n"/>
      <x:c r="B309" s="12" t="n"/>
      <x:c r="C309" s="8" t="n"/>
      <x:c r="D309" s="8" t="n"/>
      <x:c r="E309" s="8" t="n"/>
      <x:c r="F309" s="8" t="n"/>
      <x:c r="G309" s="8" t="n"/>
      <x:c r="H309" s="8" t="n"/>
      <x:c r="I309" s="8" t="n"/>
      <x:c r="J309" s="8" t="n"/>
      <x:c r="K309" s="8" t="n"/>
      <x:c r="L309" s="8" t="n"/>
      <x:c r="M309" s="8" t="n"/>
      <x:c r="N309" s="8" t="n"/>
      <x:c r="O309" s="8" t="n"/>
      <x:c r="P309">
        <x:f>COUNTA(J309:N309)</x:f>
      </x:c>
      <x:c r="Q309">
        <x:f>IF(A309="","",IF(P309&lt;&gt;5,1,0))</x:f>
      </x:c>
      <x:c r="R309">
        <x:f>IF(A309="","",IF(COUNTIF($A$5:$A$604,A309)&gt;1,1,0))</x:f>
      </x:c>
    </x:row>
    <x:row r="310">
      <x:c r="A310" s="8" t="n"/>
      <x:c r="B310" s="12" t="n"/>
      <x:c r="C310" s="8" t="n"/>
      <x:c r="D310" s="8" t="n"/>
      <x:c r="E310" s="8" t="n"/>
      <x:c r="F310" s="8" t="n"/>
      <x:c r="G310" s="8" t="n"/>
      <x:c r="H310" s="8" t="n"/>
      <x:c r="I310" s="8" t="n"/>
      <x:c r="J310" s="8" t="n"/>
      <x:c r="K310" s="8" t="n"/>
      <x:c r="L310" s="8" t="n"/>
      <x:c r="M310" s="8" t="n"/>
      <x:c r="N310" s="8" t="n"/>
      <x:c r="O310" s="8" t="n"/>
      <x:c r="P310">
        <x:f>COUNTA(J310:N310)</x:f>
      </x:c>
      <x:c r="Q310">
        <x:f>IF(A310="","",IF(P310&lt;&gt;5,1,0))</x:f>
      </x:c>
      <x:c r="R310">
        <x:f>IF(A310="","",IF(COUNTIF($A$5:$A$604,A310)&gt;1,1,0))</x:f>
      </x:c>
    </x:row>
    <x:row r="311">
      <x:c r="A311" s="8" t="n"/>
      <x:c r="B311" s="12" t="n"/>
      <x:c r="C311" s="8" t="n"/>
      <x:c r="D311" s="8" t="n"/>
      <x:c r="E311" s="8" t="n"/>
      <x:c r="F311" s="8" t="n"/>
      <x:c r="G311" s="8" t="n"/>
      <x:c r="H311" s="8" t="n"/>
      <x:c r="I311" s="8" t="n"/>
      <x:c r="J311" s="8" t="n"/>
      <x:c r="K311" s="8" t="n"/>
      <x:c r="L311" s="8" t="n"/>
      <x:c r="M311" s="8" t="n"/>
      <x:c r="N311" s="8" t="n"/>
      <x:c r="O311" s="8" t="n"/>
      <x:c r="P311">
        <x:f>COUNTA(J311:N311)</x:f>
      </x:c>
      <x:c r="Q311">
        <x:f>IF(A311="","",IF(P311&lt;&gt;5,1,0))</x:f>
      </x:c>
      <x:c r="R311">
        <x:f>IF(A311="","",IF(COUNTIF($A$5:$A$604,A311)&gt;1,1,0))</x:f>
      </x:c>
    </x:row>
    <x:row r="312">
      <x:c r="A312" s="8" t="n"/>
      <x:c r="B312" s="12" t="n"/>
      <x:c r="C312" s="8" t="n"/>
      <x:c r="D312" s="8" t="n"/>
      <x:c r="E312" s="8" t="n"/>
      <x:c r="F312" s="8" t="n"/>
      <x:c r="G312" s="8" t="n"/>
      <x:c r="H312" s="8" t="n"/>
      <x:c r="I312" s="8" t="n"/>
      <x:c r="J312" s="8" t="n"/>
      <x:c r="K312" s="8" t="n"/>
      <x:c r="L312" s="8" t="n"/>
      <x:c r="M312" s="8" t="n"/>
      <x:c r="N312" s="8" t="n"/>
      <x:c r="O312" s="8" t="n"/>
      <x:c r="P312">
        <x:f>COUNTA(J312:N312)</x:f>
      </x:c>
      <x:c r="Q312">
        <x:f>IF(A312="","",IF(P312&lt;&gt;5,1,0))</x:f>
      </x:c>
      <x:c r="R312">
        <x:f>IF(A312="","",IF(COUNTIF($A$5:$A$604,A312)&gt;1,1,0))</x:f>
      </x:c>
    </x:row>
    <x:row r="313">
      <x:c r="A313" s="8" t="n"/>
      <x:c r="B313" s="12" t="n"/>
      <x:c r="C313" s="8" t="n"/>
      <x:c r="D313" s="8" t="n"/>
      <x:c r="E313" s="8" t="n"/>
      <x:c r="F313" s="8" t="n"/>
      <x:c r="G313" s="8" t="n"/>
      <x:c r="H313" s="8" t="n"/>
      <x:c r="I313" s="8" t="n"/>
      <x:c r="J313" s="8" t="n"/>
      <x:c r="K313" s="8" t="n"/>
      <x:c r="L313" s="8" t="n"/>
      <x:c r="M313" s="8" t="n"/>
      <x:c r="N313" s="8" t="n"/>
      <x:c r="O313" s="8" t="n"/>
      <x:c r="P313">
        <x:f>COUNTA(J313:N313)</x:f>
      </x:c>
      <x:c r="Q313">
        <x:f>IF(A313="","",IF(P313&lt;&gt;5,1,0))</x:f>
      </x:c>
      <x:c r="R313">
        <x:f>IF(A313="","",IF(COUNTIF($A$5:$A$604,A313)&gt;1,1,0))</x:f>
      </x:c>
    </x:row>
    <x:row r="314">
      <x:c r="A314" s="8" t="n"/>
      <x:c r="B314" s="12" t="n"/>
      <x:c r="C314" s="8" t="n"/>
      <x:c r="D314" s="8" t="n"/>
      <x:c r="E314" s="8" t="n"/>
      <x:c r="F314" s="8" t="n"/>
      <x:c r="G314" s="8" t="n"/>
      <x:c r="H314" s="8" t="n"/>
      <x:c r="I314" s="8" t="n"/>
      <x:c r="J314" s="8" t="n"/>
      <x:c r="K314" s="8" t="n"/>
      <x:c r="L314" s="8" t="n"/>
      <x:c r="M314" s="8" t="n"/>
      <x:c r="N314" s="8" t="n"/>
      <x:c r="O314" s="8" t="n"/>
      <x:c r="P314">
        <x:f>COUNTA(J314:N314)</x:f>
      </x:c>
      <x:c r="Q314">
        <x:f>IF(A314="","",IF(P314&lt;&gt;5,1,0))</x:f>
      </x:c>
      <x:c r="R314">
        <x:f>IF(A314="","",IF(COUNTIF($A$5:$A$604,A314)&gt;1,1,0))</x:f>
      </x:c>
    </x:row>
    <x:row r="315">
      <x:c r="A315" s="8" t="n"/>
      <x:c r="B315" s="12" t="n"/>
      <x:c r="C315" s="8" t="n"/>
      <x:c r="D315" s="8" t="n"/>
      <x:c r="E315" s="8" t="n"/>
      <x:c r="F315" s="8" t="n"/>
      <x:c r="G315" s="8" t="n"/>
      <x:c r="H315" s="8" t="n"/>
      <x:c r="I315" s="8" t="n"/>
      <x:c r="J315" s="8" t="n"/>
      <x:c r="K315" s="8" t="n"/>
      <x:c r="L315" s="8" t="n"/>
      <x:c r="M315" s="8" t="n"/>
      <x:c r="N315" s="8" t="n"/>
      <x:c r="O315" s="8" t="n"/>
      <x:c r="P315">
        <x:f>COUNTA(J315:N315)</x:f>
      </x:c>
      <x:c r="Q315">
        <x:f>IF(A315="","",IF(P315&lt;&gt;5,1,0))</x:f>
      </x:c>
      <x:c r="R315">
        <x:f>IF(A315="","",IF(COUNTIF($A$5:$A$604,A315)&gt;1,1,0))</x:f>
      </x:c>
    </x:row>
    <x:row r="316">
      <x:c r="A316" s="8" t="n"/>
      <x:c r="B316" s="12" t="n"/>
      <x:c r="C316" s="8" t="n"/>
      <x:c r="D316" s="8" t="n"/>
      <x:c r="E316" s="8" t="n"/>
      <x:c r="F316" s="8" t="n"/>
      <x:c r="G316" s="8" t="n"/>
      <x:c r="H316" s="8" t="n"/>
      <x:c r="I316" s="8" t="n"/>
      <x:c r="J316" s="8" t="n"/>
      <x:c r="K316" s="8" t="n"/>
      <x:c r="L316" s="8" t="n"/>
      <x:c r="M316" s="8" t="n"/>
      <x:c r="N316" s="8" t="n"/>
      <x:c r="O316" s="8" t="n"/>
      <x:c r="P316">
        <x:f>COUNTA(J316:N316)</x:f>
      </x:c>
      <x:c r="Q316">
        <x:f>IF(A316="","",IF(P316&lt;&gt;5,1,0))</x:f>
      </x:c>
      <x:c r="R316">
        <x:f>IF(A316="","",IF(COUNTIF($A$5:$A$604,A316)&gt;1,1,0))</x:f>
      </x:c>
    </x:row>
    <x:row r="317">
      <x:c r="A317" s="8" t="n"/>
      <x:c r="B317" s="12" t="n"/>
      <x:c r="C317" s="8" t="n"/>
      <x:c r="D317" s="8" t="n"/>
      <x:c r="E317" s="8" t="n"/>
      <x:c r="F317" s="8" t="n"/>
      <x:c r="G317" s="8" t="n"/>
      <x:c r="H317" s="8" t="n"/>
      <x:c r="I317" s="8" t="n"/>
      <x:c r="J317" s="8" t="n"/>
      <x:c r="K317" s="8" t="n"/>
      <x:c r="L317" s="8" t="n"/>
      <x:c r="M317" s="8" t="n"/>
      <x:c r="N317" s="8" t="n"/>
      <x:c r="O317" s="8" t="n"/>
      <x:c r="P317">
        <x:f>COUNTA(J317:N317)</x:f>
      </x:c>
      <x:c r="Q317">
        <x:f>IF(A317="","",IF(P317&lt;&gt;5,1,0))</x:f>
      </x:c>
      <x:c r="R317">
        <x:f>IF(A317="","",IF(COUNTIF($A$5:$A$604,A317)&gt;1,1,0))</x:f>
      </x:c>
    </x:row>
    <x:row r="318">
      <x:c r="A318" s="8" t="n"/>
      <x:c r="B318" s="12" t="n"/>
      <x:c r="C318" s="8" t="n"/>
      <x:c r="D318" s="8" t="n"/>
      <x:c r="E318" s="8" t="n"/>
      <x:c r="F318" s="8" t="n"/>
      <x:c r="G318" s="8" t="n"/>
      <x:c r="H318" s="8" t="n"/>
      <x:c r="I318" s="8" t="n"/>
      <x:c r="J318" s="8" t="n"/>
      <x:c r="K318" s="8" t="n"/>
      <x:c r="L318" s="8" t="n"/>
      <x:c r="M318" s="8" t="n"/>
      <x:c r="N318" s="8" t="n"/>
      <x:c r="O318" s="8" t="n"/>
      <x:c r="P318">
        <x:f>COUNTA(J318:N318)</x:f>
      </x:c>
      <x:c r="Q318">
        <x:f>IF(A318="","",IF(P318&lt;&gt;5,1,0))</x:f>
      </x:c>
      <x:c r="R318">
        <x:f>IF(A318="","",IF(COUNTIF($A$5:$A$604,A318)&gt;1,1,0))</x:f>
      </x:c>
    </x:row>
    <x:row r="319">
      <x:c r="A319" s="8" t="n"/>
      <x:c r="B319" s="12" t="n"/>
      <x:c r="C319" s="8" t="n"/>
      <x:c r="D319" s="8" t="n"/>
      <x:c r="E319" s="8" t="n"/>
      <x:c r="F319" s="8" t="n"/>
      <x:c r="G319" s="8" t="n"/>
      <x:c r="H319" s="8" t="n"/>
      <x:c r="I319" s="8" t="n"/>
      <x:c r="J319" s="8" t="n"/>
      <x:c r="K319" s="8" t="n"/>
      <x:c r="L319" s="8" t="n"/>
      <x:c r="M319" s="8" t="n"/>
      <x:c r="N319" s="8" t="n"/>
      <x:c r="O319" s="8" t="n"/>
      <x:c r="P319">
        <x:f>COUNTA(J319:N319)</x:f>
      </x:c>
      <x:c r="Q319">
        <x:f>IF(A319="","",IF(P319&lt;&gt;5,1,0))</x:f>
      </x:c>
      <x:c r="R319">
        <x:f>IF(A319="","",IF(COUNTIF($A$5:$A$604,A319)&gt;1,1,0))</x:f>
      </x:c>
    </x:row>
    <x:row r="320">
      <x:c r="A320" s="8" t="n"/>
      <x:c r="B320" s="12" t="n"/>
      <x:c r="C320" s="8" t="n"/>
      <x:c r="D320" s="8" t="n"/>
      <x:c r="E320" s="8" t="n"/>
      <x:c r="F320" s="8" t="n"/>
      <x:c r="G320" s="8" t="n"/>
      <x:c r="H320" s="8" t="n"/>
      <x:c r="I320" s="8" t="n"/>
      <x:c r="J320" s="8" t="n"/>
      <x:c r="K320" s="8" t="n"/>
      <x:c r="L320" s="8" t="n"/>
      <x:c r="M320" s="8" t="n"/>
      <x:c r="N320" s="8" t="n"/>
      <x:c r="O320" s="8" t="n"/>
      <x:c r="P320">
        <x:f>COUNTA(J320:N320)</x:f>
      </x:c>
      <x:c r="Q320">
        <x:f>IF(A320="","",IF(P320&lt;&gt;5,1,0))</x:f>
      </x:c>
      <x:c r="R320">
        <x:f>IF(A320="","",IF(COUNTIF($A$5:$A$604,A320)&gt;1,1,0))</x:f>
      </x:c>
    </x:row>
    <x:row r="321">
      <x:c r="A321" s="8" t="n"/>
      <x:c r="B321" s="12" t="n"/>
      <x:c r="C321" s="8" t="n"/>
      <x:c r="D321" s="8" t="n"/>
      <x:c r="E321" s="8" t="n"/>
      <x:c r="F321" s="8" t="n"/>
      <x:c r="G321" s="8" t="n"/>
      <x:c r="H321" s="8" t="n"/>
      <x:c r="I321" s="8" t="n"/>
      <x:c r="J321" s="8" t="n"/>
      <x:c r="K321" s="8" t="n"/>
      <x:c r="L321" s="8" t="n"/>
      <x:c r="M321" s="8" t="n"/>
      <x:c r="N321" s="8" t="n"/>
      <x:c r="O321" s="8" t="n"/>
      <x:c r="P321">
        <x:f>COUNTA(J321:N321)</x:f>
      </x:c>
      <x:c r="Q321">
        <x:f>IF(A321="","",IF(P321&lt;&gt;5,1,0))</x:f>
      </x:c>
      <x:c r="R321">
        <x:f>IF(A321="","",IF(COUNTIF($A$5:$A$604,A321)&gt;1,1,0))</x:f>
      </x:c>
    </x:row>
    <x:row r="322">
      <x:c r="A322" s="8" t="n"/>
      <x:c r="B322" s="12" t="n"/>
      <x:c r="C322" s="8" t="n"/>
      <x:c r="D322" s="8" t="n"/>
      <x:c r="E322" s="8" t="n"/>
      <x:c r="F322" s="8" t="n"/>
      <x:c r="G322" s="8" t="n"/>
      <x:c r="H322" s="8" t="n"/>
      <x:c r="I322" s="8" t="n"/>
      <x:c r="J322" s="8" t="n"/>
      <x:c r="K322" s="8" t="n"/>
      <x:c r="L322" s="8" t="n"/>
      <x:c r="M322" s="8" t="n"/>
      <x:c r="N322" s="8" t="n"/>
      <x:c r="O322" s="8" t="n"/>
      <x:c r="P322">
        <x:f>COUNTA(J322:N322)</x:f>
      </x:c>
      <x:c r="Q322">
        <x:f>IF(A322="","",IF(P322&lt;&gt;5,1,0))</x:f>
      </x:c>
      <x:c r="R322">
        <x:f>IF(A322="","",IF(COUNTIF($A$5:$A$604,A322)&gt;1,1,0))</x:f>
      </x:c>
    </x:row>
    <x:row r="323">
      <x:c r="A323" s="8" t="n"/>
      <x:c r="B323" s="12" t="n"/>
      <x:c r="C323" s="8" t="n"/>
      <x:c r="D323" s="8" t="n"/>
      <x:c r="E323" s="8" t="n"/>
      <x:c r="F323" s="8" t="n"/>
      <x:c r="G323" s="8" t="n"/>
      <x:c r="H323" s="8" t="n"/>
      <x:c r="I323" s="8" t="n"/>
      <x:c r="J323" s="8" t="n"/>
      <x:c r="K323" s="8" t="n"/>
      <x:c r="L323" s="8" t="n"/>
      <x:c r="M323" s="8" t="n"/>
      <x:c r="N323" s="8" t="n"/>
      <x:c r="O323" s="8" t="n"/>
      <x:c r="P323">
        <x:f>COUNTA(J323:N323)</x:f>
      </x:c>
      <x:c r="Q323">
        <x:f>IF(A323="","",IF(P323&lt;&gt;5,1,0))</x:f>
      </x:c>
      <x:c r="R323">
        <x:f>IF(A323="","",IF(COUNTIF($A$5:$A$604,A323)&gt;1,1,0))</x:f>
      </x:c>
    </x:row>
    <x:row r="324">
      <x:c r="A324" s="8" t="n"/>
      <x:c r="B324" s="12" t="n"/>
      <x:c r="C324" s="8" t="n"/>
      <x:c r="D324" s="8" t="n"/>
      <x:c r="E324" s="8" t="n"/>
      <x:c r="F324" s="8" t="n"/>
      <x:c r="G324" s="8" t="n"/>
      <x:c r="H324" s="8" t="n"/>
      <x:c r="I324" s="8" t="n"/>
      <x:c r="J324" s="8" t="n"/>
      <x:c r="K324" s="8" t="n"/>
      <x:c r="L324" s="8" t="n"/>
      <x:c r="M324" s="8" t="n"/>
      <x:c r="N324" s="8" t="n"/>
      <x:c r="O324" s="8" t="n"/>
      <x:c r="P324">
        <x:f>COUNTA(J324:N324)</x:f>
      </x:c>
      <x:c r="Q324">
        <x:f>IF(A324="","",IF(P324&lt;&gt;5,1,0))</x:f>
      </x:c>
      <x:c r="R324">
        <x:f>IF(A324="","",IF(COUNTIF($A$5:$A$604,A324)&gt;1,1,0))</x:f>
      </x:c>
    </x:row>
    <x:row r="325">
      <x:c r="A325" s="8" t="n"/>
      <x:c r="B325" s="12" t="n"/>
      <x:c r="C325" s="8" t="n"/>
      <x:c r="D325" s="8" t="n"/>
      <x:c r="E325" s="8" t="n"/>
      <x:c r="F325" s="8" t="n"/>
      <x:c r="G325" s="8" t="n"/>
      <x:c r="H325" s="8" t="n"/>
      <x:c r="I325" s="8" t="n"/>
      <x:c r="J325" s="8" t="n"/>
      <x:c r="K325" s="8" t="n"/>
      <x:c r="L325" s="8" t="n"/>
      <x:c r="M325" s="8" t="n"/>
      <x:c r="N325" s="8" t="n"/>
      <x:c r="O325" s="8" t="n"/>
      <x:c r="P325">
        <x:f>COUNTA(J325:N325)</x:f>
      </x:c>
      <x:c r="Q325">
        <x:f>IF(A325="","",IF(P325&lt;&gt;5,1,0))</x:f>
      </x:c>
      <x:c r="R325">
        <x:f>IF(A325="","",IF(COUNTIF($A$5:$A$604,A325)&gt;1,1,0))</x:f>
      </x:c>
    </x:row>
    <x:row r="326">
      <x:c r="A326" s="8" t="n"/>
      <x:c r="B326" s="12" t="n"/>
      <x:c r="C326" s="8" t="n"/>
      <x:c r="D326" s="8" t="n"/>
      <x:c r="E326" s="8" t="n"/>
      <x:c r="F326" s="8" t="n"/>
      <x:c r="G326" s="8" t="n"/>
      <x:c r="H326" s="8" t="n"/>
      <x:c r="I326" s="8" t="n"/>
      <x:c r="J326" s="8" t="n"/>
      <x:c r="K326" s="8" t="n"/>
      <x:c r="L326" s="8" t="n"/>
      <x:c r="M326" s="8" t="n"/>
      <x:c r="N326" s="8" t="n"/>
      <x:c r="O326" s="8" t="n"/>
      <x:c r="P326">
        <x:f>COUNTA(J326:N326)</x:f>
      </x:c>
      <x:c r="Q326">
        <x:f>IF(A326="","",IF(P326&lt;&gt;5,1,0))</x:f>
      </x:c>
      <x:c r="R326">
        <x:f>IF(A326="","",IF(COUNTIF($A$5:$A$604,A326)&gt;1,1,0))</x:f>
      </x:c>
    </x:row>
    <x:row r="327">
      <x:c r="A327" s="8" t="n"/>
      <x:c r="B327" s="12" t="n"/>
      <x:c r="C327" s="8" t="n"/>
      <x:c r="D327" s="8" t="n"/>
      <x:c r="E327" s="8" t="n"/>
      <x:c r="F327" s="8" t="n"/>
      <x:c r="G327" s="8" t="n"/>
      <x:c r="H327" s="8" t="n"/>
      <x:c r="I327" s="8" t="n"/>
      <x:c r="J327" s="8" t="n"/>
      <x:c r="K327" s="8" t="n"/>
      <x:c r="L327" s="8" t="n"/>
      <x:c r="M327" s="8" t="n"/>
      <x:c r="N327" s="8" t="n"/>
      <x:c r="O327" s="8" t="n"/>
      <x:c r="P327">
        <x:f>COUNTA(J327:N327)</x:f>
      </x:c>
      <x:c r="Q327">
        <x:f>IF(A327="","",IF(P327&lt;&gt;5,1,0))</x:f>
      </x:c>
      <x:c r="R327">
        <x:f>IF(A327="","",IF(COUNTIF($A$5:$A$604,A327)&gt;1,1,0))</x:f>
      </x:c>
    </x:row>
    <x:row r="328">
      <x:c r="A328" s="8" t="n"/>
      <x:c r="B328" s="12" t="n"/>
      <x:c r="C328" s="8" t="n"/>
      <x:c r="D328" s="8" t="n"/>
      <x:c r="E328" s="8" t="n"/>
      <x:c r="F328" s="8" t="n"/>
      <x:c r="G328" s="8" t="n"/>
      <x:c r="H328" s="8" t="n"/>
      <x:c r="I328" s="8" t="n"/>
      <x:c r="J328" s="8" t="n"/>
      <x:c r="K328" s="8" t="n"/>
      <x:c r="L328" s="8" t="n"/>
      <x:c r="M328" s="8" t="n"/>
      <x:c r="N328" s="8" t="n"/>
      <x:c r="O328" s="8" t="n"/>
      <x:c r="P328">
        <x:f>COUNTA(J328:N328)</x:f>
      </x:c>
      <x:c r="Q328">
        <x:f>IF(A328="","",IF(P328&lt;&gt;5,1,0))</x:f>
      </x:c>
      <x:c r="R328">
        <x:f>IF(A328="","",IF(COUNTIF($A$5:$A$604,A328)&gt;1,1,0))</x:f>
      </x:c>
    </x:row>
    <x:row r="329">
      <x:c r="A329" s="8" t="n"/>
      <x:c r="B329" s="12" t="n"/>
      <x:c r="C329" s="8" t="n"/>
      <x:c r="D329" s="8" t="n"/>
      <x:c r="E329" s="8" t="n"/>
      <x:c r="F329" s="8" t="n"/>
      <x:c r="G329" s="8" t="n"/>
      <x:c r="H329" s="8" t="n"/>
      <x:c r="I329" s="8" t="n"/>
      <x:c r="J329" s="8" t="n"/>
      <x:c r="K329" s="8" t="n"/>
      <x:c r="L329" s="8" t="n"/>
      <x:c r="M329" s="8" t="n"/>
      <x:c r="N329" s="8" t="n"/>
      <x:c r="O329" s="8" t="n"/>
      <x:c r="P329">
        <x:f>COUNTA(J329:N329)</x:f>
      </x:c>
      <x:c r="Q329">
        <x:f>IF(A329="","",IF(P329&lt;&gt;5,1,0))</x:f>
      </x:c>
      <x:c r="R329">
        <x:f>IF(A329="","",IF(COUNTIF($A$5:$A$604,A329)&gt;1,1,0))</x:f>
      </x:c>
    </x:row>
    <x:row r="330">
      <x:c r="A330" s="8" t="n"/>
      <x:c r="B330" s="12" t="n"/>
      <x:c r="C330" s="8" t="n"/>
      <x:c r="D330" s="8" t="n"/>
      <x:c r="E330" s="8" t="n"/>
      <x:c r="F330" s="8" t="n"/>
      <x:c r="G330" s="8" t="n"/>
      <x:c r="H330" s="8" t="n"/>
      <x:c r="I330" s="8" t="n"/>
      <x:c r="J330" s="8" t="n"/>
      <x:c r="K330" s="8" t="n"/>
      <x:c r="L330" s="8" t="n"/>
      <x:c r="M330" s="8" t="n"/>
      <x:c r="N330" s="8" t="n"/>
      <x:c r="O330" s="8" t="n"/>
      <x:c r="P330">
        <x:f>COUNTA(J330:N330)</x:f>
      </x:c>
      <x:c r="Q330">
        <x:f>IF(A330="","",IF(P330&lt;&gt;5,1,0))</x:f>
      </x:c>
      <x:c r="R330">
        <x:f>IF(A330="","",IF(COUNTIF($A$5:$A$604,A330)&gt;1,1,0))</x:f>
      </x:c>
    </x:row>
    <x:row r="331">
      <x:c r="A331" s="8" t="n"/>
      <x:c r="B331" s="12" t="n"/>
      <x:c r="C331" s="8" t="n"/>
      <x:c r="D331" s="8" t="n"/>
      <x:c r="E331" s="8" t="n"/>
      <x:c r="F331" s="8" t="n"/>
      <x:c r="G331" s="8" t="n"/>
      <x:c r="H331" s="8" t="n"/>
      <x:c r="I331" s="8" t="n"/>
      <x:c r="J331" s="8" t="n"/>
      <x:c r="K331" s="8" t="n"/>
      <x:c r="L331" s="8" t="n"/>
      <x:c r="M331" s="8" t="n"/>
      <x:c r="N331" s="8" t="n"/>
      <x:c r="O331" s="8" t="n"/>
      <x:c r="P331">
        <x:f>COUNTA(J331:N331)</x:f>
      </x:c>
      <x:c r="Q331">
        <x:f>IF(A331="","",IF(P331&lt;&gt;5,1,0))</x:f>
      </x:c>
      <x:c r="R331">
        <x:f>IF(A331="","",IF(COUNTIF($A$5:$A$604,A331)&gt;1,1,0))</x:f>
      </x:c>
    </x:row>
    <x:row r="332">
      <x:c r="A332" s="8" t="n"/>
      <x:c r="B332" s="12" t="n"/>
      <x:c r="C332" s="8" t="n"/>
      <x:c r="D332" s="8" t="n"/>
      <x:c r="E332" s="8" t="n"/>
      <x:c r="F332" s="8" t="n"/>
      <x:c r="G332" s="8" t="n"/>
      <x:c r="H332" s="8" t="n"/>
      <x:c r="I332" s="8" t="n"/>
      <x:c r="J332" s="8" t="n"/>
      <x:c r="K332" s="8" t="n"/>
      <x:c r="L332" s="8" t="n"/>
      <x:c r="M332" s="8" t="n"/>
      <x:c r="N332" s="8" t="n"/>
      <x:c r="O332" s="8" t="n"/>
      <x:c r="P332">
        <x:f>COUNTA(J332:N332)</x:f>
      </x:c>
      <x:c r="Q332">
        <x:f>IF(A332="","",IF(P332&lt;&gt;5,1,0))</x:f>
      </x:c>
      <x:c r="R332">
        <x:f>IF(A332="","",IF(COUNTIF($A$5:$A$604,A332)&gt;1,1,0))</x:f>
      </x:c>
    </x:row>
    <x:row r="333">
      <x:c r="A333" s="8" t="n"/>
      <x:c r="B333" s="12" t="n"/>
      <x:c r="C333" s="8" t="n"/>
      <x:c r="D333" s="8" t="n"/>
      <x:c r="E333" s="8" t="n"/>
      <x:c r="F333" s="8" t="n"/>
      <x:c r="G333" s="8" t="n"/>
      <x:c r="H333" s="8" t="n"/>
      <x:c r="I333" s="8" t="n"/>
      <x:c r="J333" s="8" t="n"/>
      <x:c r="K333" s="8" t="n"/>
      <x:c r="L333" s="8" t="n"/>
      <x:c r="M333" s="8" t="n"/>
      <x:c r="N333" s="8" t="n"/>
      <x:c r="O333" s="8" t="n"/>
      <x:c r="P333">
        <x:f>COUNTA(J333:N333)</x:f>
      </x:c>
      <x:c r="Q333">
        <x:f>IF(A333="","",IF(P333&lt;&gt;5,1,0))</x:f>
      </x:c>
      <x:c r="R333">
        <x:f>IF(A333="","",IF(COUNTIF($A$5:$A$604,A333)&gt;1,1,0))</x:f>
      </x:c>
    </x:row>
    <x:row r="334">
      <x:c r="A334" s="8" t="n"/>
      <x:c r="B334" s="12" t="n"/>
      <x:c r="C334" s="8" t="n"/>
      <x:c r="D334" s="8" t="n"/>
      <x:c r="E334" s="8" t="n"/>
      <x:c r="F334" s="8" t="n"/>
      <x:c r="G334" s="8" t="n"/>
      <x:c r="H334" s="8" t="n"/>
      <x:c r="I334" s="8" t="n"/>
      <x:c r="J334" s="8" t="n"/>
      <x:c r="K334" s="8" t="n"/>
      <x:c r="L334" s="8" t="n"/>
      <x:c r="M334" s="8" t="n"/>
      <x:c r="N334" s="8" t="n"/>
      <x:c r="O334" s="8" t="n"/>
      <x:c r="P334">
        <x:f>COUNTA(J334:N334)</x:f>
      </x:c>
      <x:c r="Q334">
        <x:f>IF(A334="","",IF(P334&lt;&gt;5,1,0))</x:f>
      </x:c>
      <x:c r="R334">
        <x:f>IF(A334="","",IF(COUNTIF($A$5:$A$604,A334)&gt;1,1,0))</x:f>
      </x:c>
    </x:row>
    <x:row r="335">
      <x:c r="A335" s="8" t="n"/>
      <x:c r="B335" s="12" t="n"/>
      <x:c r="C335" s="8" t="n"/>
      <x:c r="D335" s="8" t="n"/>
      <x:c r="E335" s="8" t="n"/>
      <x:c r="F335" s="8" t="n"/>
      <x:c r="G335" s="8" t="n"/>
      <x:c r="H335" s="8" t="n"/>
      <x:c r="I335" s="8" t="n"/>
      <x:c r="J335" s="8" t="n"/>
      <x:c r="K335" s="8" t="n"/>
      <x:c r="L335" s="8" t="n"/>
      <x:c r="M335" s="8" t="n"/>
      <x:c r="N335" s="8" t="n"/>
      <x:c r="O335" s="8" t="n"/>
      <x:c r="P335">
        <x:f>COUNTA(J335:N335)</x:f>
      </x:c>
      <x:c r="Q335">
        <x:f>IF(A335="","",IF(P335&lt;&gt;5,1,0))</x:f>
      </x:c>
      <x:c r="R335">
        <x:f>IF(A335="","",IF(COUNTIF($A$5:$A$604,A335)&gt;1,1,0))</x:f>
      </x:c>
    </x:row>
    <x:row r="336">
      <x:c r="A336" s="8" t="n"/>
      <x:c r="B336" s="12" t="n"/>
      <x:c r="C336" s="8" t="n"/>
      <x:c r="D336" s="8" t="n"/>
      <x:c r="E336" s="8" t="n"/>
      <x:c r="F336" s="8" t="n"/>
      <x:c r="G336" s="8" t="n"/>
      <x:c r="H336" s="8" t="n"/>
      <x:c r="I336" s="8" t="n"/>
      <x:c r="J336" s="8" t="n"/>
      <x:c r="K336" s="8" t="n"/>
      <x:c r="L336" s="8" t="n"/>
      <x:c r="M336" s="8" t="n"/>
      <x:c r="N336" s="8" t="n"/>
      <x:c r="O336" s="8" t="n"/>
      <x:c r="P336">
        <x:f>COUNTA(J336:N336)</x:f>
      </x:c>
      <x:c r="Q336">
        <x:f>IF(A336="","",IF(P336&lt;&gt;5,1,0))</x:f>
      </x:c>
      <x:c r="R336">
        <x:f>IF(A336="","",IF(COUNTIF($A$5:$A$604,A336)&gt;1,1,0))</x:f>
      </x:c>
    </x:row>
    <x:row r="337">
      <x:c r="A337" s="8" t="n"/>
      <x:c r="B337" s="12" t="n"/>
      <x:c r="C337" s="8" t="n"/>
      <x:c r="D337" s="8" t="n"/>
      <x:c r="E337" s="8" t="n"/>
      <x:c r="F337" s="8" t="n"/>
      <x:c r="G337" s="8" t="n"/>
      <x:c r="H337" s="8" t="n"/>
      <x:c r="I337" s="8" t="n"/>
      <x:c r="J337" s="8" t="n"/>
      <x:c r="K337" s="8" t="n"/>
      <x:c r="L337" s="8" t="n"/>
      <x:c r="M337" s="8" t="n"/>
      <x:c r="N337" s="8" t="n"/>
      <x:c r="O337" s="8" t="n"/>
      <x:c r="P337">
        <x:f>COUNTA(J337:N337)</x:f>
      </x:c>
      <x:c r="Q337">
        <x:f>IF(A337="","",IF(P337&lt;&gt;5,1,0))</x:f>
      </x:c>
      <x:c r="R337">
        <x:f>IF(A337="","",IF(COUNTIF($A$5:$A$604,A337)&gt;1,1,0))</x:f>
      </x:c>
    </x:row>
    <x:row r="338">
      <x:c r="A338" s="8" t="n"/>
      <x:c r="B338" s="12" t="n"/>
      <x:c r="C338" s="8" t="n"/>
      <x:c r="D338" s="8" t="n"/>
      <x:c r="E338" s="8" t="n"/>
      <x:c r="F338" s="8" t="n"/>
      <x:c r="G338" s="8" t="n"/>
      <x:c r="H338" s="8" t="n"/>
      <x:c r="I338" s="8" t="n"/>
      <x:c r="J338" s="8" t="n"/>
      <x:c r="K338" s="8" t="n"/>
      <x:c r="L338" s="8" t="n"/>
      <x:c r="M338" s="8" t="n"/>
      <x:c r="N338" s="8" t="n"/>
      <x:c r="O338" s="8" t="n"/>
      <x:c r="P338">
        <x:f>COUNTA(J338:N338)</x:f>
      </x:c>
      <x:c r="Q338">
        <x:f>IF(A338="","",IF(P338&lt;&gt;5,1,0))</x:f>
      </x:c>
      <x:c r="R338">
        <x:f>IF(A338="","",IF(COUNTIF($A$5:$A$604,A338)&gt;1,1,0))</x:f>
      </x:c>
    </x:row>
    <x:row r="339">
      <x:c r="A339" s="8" t="n"/>
      <x:c r="B339" s="12" t="n"/>
      <x:c r="C339" s="8" t="n"/>
      <x:c r="D339" s="8" t="n"/>
      <x:c r="E339" s="8" t="n"/>
      <x:c r="F339" s="8" t="n"/>
      <x:c r="G339" s="8" t="n"/>
      <x:c r="H339" s="8" t="n"/>
      <x:c r="I339" s="8" t="n"/>
      <x:c r="J339" s="8" t="n"/>
      <x:c r="K339" s="8" t="n"/>
      <x:c r="L339" s="8" t="n"/>
      <x:c r="M339" s="8" t="n"/>
      <x:c r="N339" s="8" t="n"/>
      <x:c r="O339" s="8" t="n"/>
      <x:c r="P339">
        <x:f>COUNTA(J339:N339)</x:f>
      </x:c>
      <x:c r="Q339">
        <x:f>IF(A339="","",IF(P339&lt;&gt;5,1,0))</x:f>
      </x:c>
      <x:c r="R339">
        <x:f>IF(A339="","",IF(COUNTIF($A$5:$A$604,A339)&gt;1,1,0))</x:f>
      </x:c>
    </x:row>
    <x:row r="340">
      <x:c r="A340" s="8" t="n"/>
      <x:c r="B340" s="12" t="n"/>
      <x:c r="C340" s="8" t="n"/>
      <x:c r="D340" s="8" t="n"/>
      <x:c r="E340" s="8" t="n"/>
      <x:c r="F340" s="8" t="n"/>
      <x:c r="G340" s="8" t="n"/>
      <x:c r="H340" s="8" t="n"/>
      <x:c r="I340" s="8" t="n"/>
      <x:c r="J340" s="8" t="n"/>
      <x:c r="K340" s="8" t="n"/>
      <x:c r="L340" s="8" t="n"/>
      <x:c r="M340" s="8" t="n"/>
      <x:c r="N340" s="8" t="n"/>
      <x:c r="O340" s="8" t="n"/>
      <x:c r="P340">
        <x:f>COUNTA(J340:N340)</x:f>
      </x:c>
      <x:c r="Q340">
        <x:f>IF(A340="","",IF(P340&lt;&gt;5,1,0))</x:f>
      </x:c>
      <x:c r="R340">
        <x:f>IF(A340="","",IF(COUNTIF($A$5:$A$604,A340)&gt;1,1,0))</x:f>
      </x:c>
    </x:row>
    <x:row r="341">
      <x:c r="A341" s="8" t="n"/>
      <x:c r="B341" s="12" t="n"/>
      <x:c r="C341" s="8" t="n"/>
      <x:c r="D341" s="8" t="n"/>
      <x:c r="E341" s="8" t="n"/>
      <x:c r="F341" s="8" t="n"/>
      <x:c r="G341" s="8" t="n"/>
      <x:c r="H341" s="8" t="n"/>
      <x:c r="I341" s="8" t="n"/>
      <x:c r="J341" s="8" t="n"/>
      <x:c r="K341" s="8" t="n"/>
      <x:c r="L341" s="8" t="n"/>
      <x:c r="M341" s="8" t="n"/>
      <x:c r="N341" s="8" t="n"/>
      <x:c r="O341" s="8" t="n"/>
      <x:c r="P341">
        <x:f>COUNTA(J341:N341)</x:f>
      </x:c>
      <x:c r="Q341">
        <x:f>IF(A341="","",IF(P341&lt;&gt;5,1,0))</x:f>
      </x:c>
      <x:c r="R341">
        <x:f>IF(A341="","",IF(COUNTIF($A$5:$A$604,A341)&gt;1,1,0))</x:f>
      </x:c>
    </x:row>
    <x:row r="342">
      <x:c r="A342" s="8" t="n"/>
      <x:c r="B342" s="12" t="n"/>
      <x:c r="C342" s="8" t="n"/>
      <x:c r="D342" s="8" t="n"/>
      <x:c r="E342" s="8" t="n"/>
      <x:c r="F342" s="8" t="n"/>
      <x:c r="G342" s="8" t="n"/>
      <x:c r="H342" s="8" t="n"/>
      <x:c r="I342" s="8" t="n"/>
      <x:c r="J342" s="8" t="n"/>
      <x:c r="K342" s="8" t="n"/>
      <x:c r="L342" s="8" t="n"/>
      <x:c r="M342" s="8" t="n"/>
      <x:c r="N342" s="8" t="n"/>
      <x:c r="O342" s="8" t="n"/>
      <x:c r="P342">
        <x:f>COUNTA(J342:N342)</x:f>
      </x:c>
      <x:c r="Q342">
        <x:f>IF(A342="","",IF(P342&lt;&gt;5,1,0))</x:f>
      </x:c>
      <x:c r="R342">
        <x:f>IF(A342="","",IF(COUNTIF($A$5:$A$604,A342)&gt;1,1,0))</x:f>
      </x:c>
    </x:row>
    <x:row r="343">
      <x:c r="A343" s="8" t="n"/>
      <x:c r="B343" s="12" t="n"/>
      <x:c r="C343" s="8" t="n"/>
      <x:c r="D343" s="8" t="n"/>
      <x:c r="E343" s="8" t="n"/>
      <x:c r="F343" s="8" t="n"/>
      <x:c r="G343" s="8" t="n"/>
      <x:c r="H343" s="8" t="n"/>
      <x:c r="I343" s="8" t="n"/>
      <x:c r="J343" s="8" t="n"/>
      <x:c r="K343" s="8" t="n"/>
      <x:c r="L343" s="8" t="n"/>
      <x:c r="M343" s="8" t="n"/>
      <x:c r="N343" s="8" t="n"/>
      <x:c r="O343" s="8" t="n"/>
      <x:c r="P343">
        <x:f>COUNTA(J343:N343)</x:f>
      </x:c>
      <x:c r="Q343">
        <x:f>IF(A343="","",IF(P343&lt;&gt;5,1,0))</x:f>
      </x:c>
      <x:c r="R343">
        <x:f>IF(A343="","",IF(COUNTIF($A$5:$A$604,A343)&gt;1,1,0))</x:f>
      </x:c>
    </x:row>
    <x:row r="344">
      <x:c r="A344" s="8" t="n"/>
      <x:c r="B344" s="12" t="n"/>
      <x:c r="C344" s="8" t="n"/>
      <x:c r="D344" s="8" t="n"/>
      <x:c r="E344" s="8" t="n"/>
      <x:c r="F344" s="8" t="n"/>
      <x:c r="G344" s="8" t="n"/>
      <x:c r="H344" s="8" t="n"/>
      <x:c r="I344" s="8" t="n"/>
      <x:c r="J344" s="8" t="n"/>
      <x:c r="K344" s="8" t="n"/>
      <x:c r="L344" s="8" t="n"/>
      <x:c r="M344" s="8" t="n"/>
      <x:c r="N344" s="8" t="n"/>
      <x:c r="O344" s="8" t="n"/>
      <x:c r="P344">
        <x:f>COUNTA(J344:N344)</x:f>
      </x:c>
      <x:c r="Q344">
        <x:f>IF(A344="","",IF(P344&lt;&gt;5,1,0))</x:f>
      </x:c>
      <x:c r="R344">
        <x:f>IF(A344="","",IF(COUNTIF($A$5:$A$604,A344)&gt;1,1,0))</x:f>
      </x:c>
    </x:row>
    <x:row r="345">
      <x:c r="A345" s="8" t="n"/>
      <x:c r="B345" s="12" t="n"/>
      <x:c r="C345" s="8" t="n"/>
      <x:c r="D345" s="8" t="n"/>
      <x:c r="E345" s="8" t="n"/>
      <x:c r="F345" s="8" t="n"/>
      <x:c r="G345" s="8" t="n"/>
      <x:c r="H345" s="8" t="n"/>
      <x:c r="I345" s="8" t="n"/>
      <x:c r="J345" s="8" t="n"/>
      <x:c r="K345" s="8" t="n"/>
      <x:c r="L345" s="8" t="n"/>
      <x:c r="M345" s="8" t="n"/>
      <x:c r="N345" s="8" t="n"/>
      <x:c r="O345" s="8" t="n"/>
      <x:c r="P345">
        <x:f>COUNTA(J345:N345)</x:f>
      </x:c>
      <x:c r="Q345">
        <x:f>IF(A345="","",IF(P345&lt;&gt;5,1,0))</x:f>
      </x:c>
      <x:c r="R345">
        <x:f>IF(A345="","",IF(COUNTIF($A$5:$A$604,A345)&gt;1,1,0))</x:f>
      </x:c>
    </x:row>
    <x:row r="346">
      <x:c r="A346" s="8" t="n"/>
      <x:c r="B346" s="12" t="n"/>
      <x:c r="C346" s="8" t="n"/>
      <x:c r="D346" s="8" t="n"/>
      <x:c r="E346" s="8" t="n"/>
      <x:c r="F346" s="8" t="n"/>
      <x:c r="G346" s="8" t="n"/>
      <x:c r="H346" s="8" t="n"/>
      <x:c r="I346" s="8" t="n"/>
      <x:c r="J346" s="8" t="n"/>
      <x:c r="K346" s="8" t="n"/>
      <x:c r="L346" s="8" t="n"/>
      <x:c r="M346" s="8" t="n"/>
      <x:c r="N346" s="8" t="n"/>
      <x:c r="O346" s="8" t="n"/>
      <x:c r="P346">
        <x:f>COUNTA(J346:N346)</x:f>
      </x:c>
      <x:c r="Q346">
        <x:f>IF(A346="","",IF(P346&lt;&gt;5,1,0))</x:f>
      </x:c>
      <x:c r="R346">
        <x:f>IF(A346="","",IF(COUNTIF($A$5:$A$604,A346)&gt;1,1,0))</x:f>
      </x:c>
    </x:row>
    <x:row r="347">
      <x:c r="A347" s="8" t="n"/>
      <x:c r="B347" s="12" t="n"/>
      <x:c r="C347" s="8" t="n"/>
      <x:c r="D347" s="8" t="n"/>
      <x:c r="E347" s="8" t="n"/>
      <x:c r="F347" s="8" t="n"/>
      <x:c r="G347" s="8" t="n"/>
      <x:c r="H347" s="8" t="n"/>
      <x:c r="I347" s="8" t="n"/>
      <x:c r="J347" s="8" t="n"/>
      <x:c r="K347" s="8" t="n"/>
      <x:c r="L347" s="8" t="n"/>
      <x:c r="M347" s="8" t="n"/>
      <x:c r="N347" s="8" t="n"/>
      <x:c r="O347" s="8" t="n"/>
      <x:c r="P347">
        <x:f>COUNTA(J347:N347)</x:f>
      </x:c>
      <x:c r="Q347">
        <x:f>IF(A347="","",IF(P347&lt;&gt;5,1,0))</x:f>
      </x:c>
      <x:c r="R347">
        <x:f>IF(A347="","",IF(COUNTIF($A$5:$A$604,A347)&gt;1,1,0))</x:f>
      </x:c>
    </x:row>
    <x:row r="348">
      <x:c r="A348" s="8" t="n"/>
      <x:c r="B348" s="12" t="n"/>
      <x:c r="C348" s="8" t="n"/>
      <x:c r="D348" s="8" t="n"/>
      <x:c r="E348" s="8" t="n"/>
      <x:c r="F348" s="8" t="n"/>
      <x:c r="G348" s="8" t="n"/>
      <x:c r="H348" s="8" t="n"/>
      <x:c r="I348" s="8" t="n"/>
      <x:c r="J348" s="8" t="n"/>
      <x:c r="K348" s="8" t="n"/>
      <x:c r="L348" s="8" t="n"/>
      <x:c r="M348" s="8" t="n"/>
      <x:c r="N348" s="8" t="n"/>
      <x:c r="O348" s="8" t="n"/>
      <x:c r="P348">
        <x:f>COUNTA(J348:N348)</x:f>
      </x:c>
      <x:c r="Q348">
        <x:f>IF(A348="","",IF(P348&lt;&gt;5,1,0))</x:f>
      </x:c>
      <x:c r="R348">
        <x:f>IF(A348="","",IF(COUNTIF($A$5:$A$604,A348)&gt;1,1,0))</x:f>
      </x:c>
    </x:row>
    <x:row r="349">
      <x:c r="A349" s="8" t="n"/>
      <x:c r="B349" s="12" t="n"/>
      <x:c r="C349" s="8" t="n"/>
      <x:c r="D349" s="8" t="n"/>
      <x:c r="E349" s="8" t="n"/>
      <x:c r="F349" s="8" t="n"/>
      <x:c r="G349" s="8" t="n"/>
      <x:c r="H349" s="8" t="n"/>
      <x:c r="I349" s="8" t="n"/>
      <x:c r="J349" s="8" t="n"/>
      <x:c r="K349" s="8" t="n"/>
      <x:c r="L349" s="8" t="n"/>
      <x:c r="M349" s="8" t="n"/>
      <x:c r="N349" s="8" t="n"/>
      <x:c r="O349" s="8" t="n"/>
      <x:c r="P349">
        <x:f>COUNTA(J349:N349)</x:f>
      </x:c>
      <x:c r="Q349">
        <x:f>IF(A349="","",IF(P349&lt;&gt;5,1,0))</x:f>
      </x:c>
      <x:c r="R349">
        <x:f>IF(A349="","",IF(COUNTIF($A$5:$A$604,A349)&gt;1,1,0))</x:f>
      </x:c>
    </x:row>
    <x:row r="350">
      <x:c r="A350" s="8" t="n"/>
      <x:c r="B350" s="12" t="n"/>
      <x:c r="C350" s="8" t="n"/>
      <x:c r="D350" s="8" t="n"/>
      <x:c r="E350" s="8" t="n"/>
      <x:c r="F350" s="8" t="n"/>
      <x:c r="G350" s="8" t="n"/>
      <x:c r="H350" s="8" t="n"/>
      <x:c r="I350" s="8" t="n"/>
      <x:c r="J350" s="8" t="n"/>
      <x:c r="K350" s="8" t="n"/>
      <x:c r="L350" s="8" t="n"/>
      <x:c r="M350" s="8" t="n"/>
      <x:c r="N350" s="8" t="n"/>
      <x:c r="O350" s="8" t="n"/>
      <x:c r="P350">
        <x:f>COUNTA(J350:N350)</x:f>
      </x:c>
      <x:c r="Q350">
        <x:f>IF(A350="","",IF(P350&lt;&gt;5,1,0))</x:f>
      </x:c>
      <x:c r="R350">
        <x:f>IF(A350="","",IF(COUNTIF($A$5:$A$604,A350)&gt;1,1,0))</x:f>
      </x:c>
    </x:row>
    <x:row r="351">
      <x:c r="A351" s="8" t="n"/>
      <x:c r="B351" s="12" t="n"/>
      <x:c r="C351" s="8" t="n"/>
      <x:c r="D351" s="8" t="n"/>
      <x:c r="E351" s="8" t="n"/>
      <x:c r="F351" s="8" t="n"/>
      <x:c r="G351" s="8" t="n"/>
      <x:c r="H351" s="8" t="n"/>
      <x:c r="I351" s="8" t="n"/>
      <x:c r="J351" s="8" t="n"/>
      <x:c r="K351" s="8" t="n"/>
      <x:c r="L351" s="8" t="n"/>
      <x:c r="M351" s="8" t="n"/>
      <x:c r="N351" s="8" t="n"/>
      <x:c r="O351" s="8" t="n"/>
      <x:c r="P351">
        <x:f>COUNTA(J351:N351)</x:f>
      </x:c>
      <x:c r="Q351">
        <x:f>IF(A351="","",IF(P351&lt;&gt;5,1,0))</x:f>
      </x:c>
      <x:c r="R351">
        <x:f>IF(A351="","",IF(COUNTIF($A$5:$A$604,A351)&gt;1,1,0))</x:f>
      </x:c>
    </x:row>
    <x:row r="352">
      <x:c r="A352" s="8" t="n"/>
      <x:c r="B352" s="12" t="n"/>
      <x:c r="C352" s="8" t="n"/>
      <x:c r="D352" s="8" t="n"/>
      <x:c r="E352" s="8" t="n"/>
      <x:c r="F352" s="8" t="n"/>
      <x:c r="G352" s="8" t="n"/>
      <x:c r="H352" s="8" t="n"/>
      <x:c r="I352" s="8" t="n"/>
      <x:c r="J352" s="8" t="n"/>
      <x:c r="K352" s="8" t="n"/>
      <x:c r="L352" s="8" t="n"/>
      <x:c r="M352" s="8" t="n"/>
      <x:c r="N352" s="8" t="n"/>
      <x:c r="O352" s="8" t="n"/>
      <x:c r="P352">
        <x:f>COUNTA(J352:N352)</x:f>
      </x:c>
      <x:c r="Q352">
        <x:f>IF(A352="","",IF(P352&lt;&gt;5,1,0))</x:f>
      </x:c>
      <x:c r="R352">
        <x:f>IF(A352="","",IF(COUNTIF($A$5:$A$604,A352)&gt;1,1,0))</x:f>
      </x:c>
    </x:row>
    <x:row r="353">
      <x:c r="A353" s="8" t="n"/>
      <x:c r="B353" s="12" t="n"/>
      <x:c r="C353" s="8" t="n"/>
      <x:c r="D353" s="8" t="n"/>
      <x:c r="E353" s="8" t="n"/>
      <x:c r="F353" s="8" t="n"/>
      <x:c r="G353" s="8" t="n"/>
      <x:c r="H353" s="8" t="n"/>
      <x:c r="I353" s="8" t="n"/>
      <x:c r="J353" s="8" t="n"/>
      <x:c r="K353" s="8" t="n"/>
      <x:c r="L353" s="8" t="n"/>
      <x:c r="M353" s="8" t="n"/>
      <x:c r="N353" s="8" t="n"/>
      <x:c r="O353" s="8" t="n"/>
      <x:c r="P353">
        <x:f>COUNTA(J353:N353)</x:f>
      </x:c>
      <x:c r="Q353">
        <x:f>IF(A353="","",IF(P353&lt;&gt;5,1,0))</x:f>
      </x:c>
      <x:c r="R353">
        <x:f>IF(A353="","",IF(COUNTIF($A$5:$A$604,A353)&gt;1,1,0))</x:f>
      </x:c>
    </x:row>
    <x:row r="354">
      <x:c r="A354" s="8" t="n"/>
      <x:c r="B354" s="12" t="n"/>
      <x:c r="C354" s="8" t="n"/>
      <x:c r="D354" s="8" t="n"/>
      <x:c r="E354" s="8" t="n"/>
      <x:c r="F354" s="8" t="n"/>
      <x:c r="G354" s="8" t="n"/>
      <x:c r="H354" s="8" t="n"/>
      <x:c r="I354" s="8" t="n"/>
      <x:c r="J354" s="8" t="n"/>
      <x:c r="K354" s="8" t="n"/>
      <x:c r="L354" s="8" t="n"/>
      <x:c r="M354" s="8" t="n"/>
      <x:c r="N354" s="8" t="n"/>
      <x:c r="O354" s="8" t="n"/>
      <x:c r="P354">
        <x:f>COUNTA(J354:N354)</x:f>
      </x:c>
      <x:c r="Q354">
        <x:f>IF(A354="","",IF(P354&lt;&gt;5,1,0))</x:f>
      </x:c>
      <x:c r="R354">
        <x:f>IF(A354="","",IF(COUNTIF($A$5:$A$604,A354)&gt;1,1,0))</x:f>
      </x:c>
    </x:row>
    <x:row r="355">
      <x:c r="A355" s="8" t="n"/>
      <x:c r="B355" s="12" t="n"/>
      <x:c r="C355" s="8" t="n"/>
      <x:c r="D355" s="8" t="n"/>
      <x:c r="E355" s="8" t="n"/>
      <x:c r="F355" s="8" t="n"/>
      <x:c r="G355" s="8" t="n"/>
      <x:c r="H355" s="8" t="n"/>
      <x:c r="I355" s="8" t="n"/>
      <x:c r="J355" s="8" t="n"/>
      <x:c r="K355" s="8" t="n"/>
      <x:c r="L355" s="8" t="n"/>
      <x:c r="M355" s="8" t="n"/>
      <x:c r="N355" s="8" t="n"/>
      <x:c r="O355" s="8" t="n"/>
      <x:c r="P355">
        <x:f>COUNTA(J355:N355)</x:f>
      </x:c>
      <x:c r="Q355">
        <x:f>IF(A355="","",IF(P355&lt;&gt;5,1,0))</x:f>
      </x:c>
      <x:c r="R355">
        <x:f>IF(A355="","",IF(COUNTIF($A$5:$A$604,A355)&gt;1,1,0))</x:f>
      </x:c>
    </x:row>
    <x:row r="356">
      <x:c r="A356" s="8" t="n"/>
      <x:c r="B356" s="12" t="n"/>
      <x:c r="C356" s="8" t="n"/>
      <x:c r="D356" s="8" t="n"/>
      <x:c r="E356" s="8" t="n"/>
      <x:c r="F356" s="8" t="n"/>
      <x:c r="G356" s="8" t="n"/>
      <x:c r="H356" s="8" t="n"/>
      <x:c r="I356" s="8" t="n"/>
      <x:c r="J356" s="8" t="n"/>
      <x:c r="K356" s="8" t="n"/>
      <x:c r="L356" s="8" t="n"/>
      <x:c r="M356" s="8" t="n"/>
      <x:c r="N356" s="8" t="n"/>
      <x:c r="O356" s="8" t="n"/>
      <x:c r="P356">
        <x:f>COUNTA(J356:N356)</x:f>
      </x:c>
      <x:c r="Q356">
        <x:f>IF(A356="","",IF(P356&lt;&gt;5,1,0))</x:f>
      </x:c>
      <x:c r="R356">
        <x:f>IF(A356="","",IF(COUNTIF($A$5:$A$604,A356)&gt;1,1,0))</x:f>
      </x:c>
    </x:row>
    <x:row r="357">
      <x:c r="A357" s="8" t="n"/>
      <x:c r="B357" s="12" t="n"/>
      <x:c r="C357" s="8" t="n"/>
      <x:c r="D357" s="8" t="n"/>
      <x:c r="E357" s="8" t="n"/>
      <x:c r="F357" s="8" t="n"/>
      <x:c r="G357" s="8" t="n"/>
      <x:c r="H357" s="8" t="n"/>
      <x:c r="I357" s="8" t="n"/>
      <x:c r="J357" s="8" t="n"/>
      <x:c r="K357" s="8" t="n"/>
      <x:c r="L357" s="8" t="n"/>
      <x:c r="M357" s="8" t="n"/>
      <x:c r="N357" s="8" t="n"/>
      <x:c r="O357" s="8" t="n"/>
      <x:c r="P357">
        <x:f>COUNTA(J357:N357)</x:f>
      </x:c>
      <x:c r="Q357">
        <x:f>IF(A357="","",IF(P357&lt;&gt;5,1,0))</x:f>
      </x:c>
      <x:c r="R357">
        <x:f>IF(A357="","",IF(COUNTIF($A$5:$A$604,A357)&gt;1,1,0))</x:f>
      </x:c>
    </x:row>
    <x:row r="358">
      <x:c r="A358" s="8" t="n"/>
      <x:c r="B358" s="12" t="n"/>
      <x:c r="C358" s="8" t="n"/>
      <x:c r="D358" s="8" t="n"/>
      <x:c r="E358" s="8" t="n"/>
      <x:c r="F358" s="8" t="n"/>
      <x:c r="G358" s="8" t="n"/>
      <x:c r="H358" s="8" t="n"/>
      <x:c r="I358" s="8" t="n"/>
      <x:c r="J358" s="8" t="n"/>
      <x:c r="K358" s="8" t="n"/>
      <x:c r="L358" s="8" t="n"/>
      <x:c r="M358" s="8" t="n"/>
      <x:c r="N358" s="8" t="n"/>
      <x:c r="O358" s="8" t="n"/>
      <x:c r="P358">
        <x:f>COUNTA(J358:N358)</x:f>
      </x:c>
      <x:c r="Q358">
        <x:f>IF(A358="","",IF(P358&lt;&gt;5,1,0))</x:f>
      </x:c>
      <x:c r="R358">
        <x:f>IF(A358="","",IF(COUNTIF($A$5:$A$604,A358)&gt;1,1,0))</x:f>
      </x:c>
    </x:row>
    <x:row r="359">
      <x:c r="A359" s="8" t="n"/>
      <x:c r="B359" s="12" t="n"/>
      <x:c r="C359" s="8" t="n"/>
      <x:c r="D359" s="8" t="n"/>
      <x:c r="E359" s="8" t="n"/>
      <x:c r="F359" s="8" t="n"/>
      <x:c r="G359" s="8" t="n"/>
      <x:c r="H359" s="8" t="n"/>
      <x:c r="I359" s="8" t="n"/>
      <x:c r="J359" s="8" t="n"/>
      <x:c r="K359" s="8" t="n"/>
      <x:c r="L359" s="8" t="n"/>
      <x:c r="M359" s="8" t="n"/>
      <x:c r="N359" s="8" t="n"/>
      <x:c r="O359" s="8" t="n"/>
      <x:c r="P359">
        <x:f>COUNTA(J359:N359)</x:f>
      </x:c>
      <x:c r="Q359">
        <x:f>IF(A359="","",IF(P359&lt;&gt;5,1,0))</x:f>
      </x:c>
      <x:c r="R359">
        <x:f>IF(A359="","",IF(COUNTIF($A$5:$A$604,A359)&gt;1,1,0))</x:f>
      </x:c>
    </x:row>
    <x:row r="360">
      <x:c r="A360" s="8" t="n"/>
      <x:c r="B360" s="12" t="n"/>
      <x:c r="C360" s="8" t="n"/>
      <x:c r="D360" s="8" t="n"/>
      <x:c r="E360" s="8" t="n"/>
      <x:c r="F360" s="8" t="n"/>
      <x:c r="G360" s="8" t="n"/>
      <x:c r="H360" s="8" t="n"/>
      <x:c r="I360" s="8" t="n"/>
      <x:c r="J360" s="8" t="n"/>
      <x:c r="K360" s="8" t="n"/>
      <x:c r="L360" s="8" t="n"/>
      <x:c r="M360" s="8" t="n"/>
      <x:c r="N360" s="8" t="n"/>
      <x:c r="O360" s="8" t="n"/>
      <x:c r="P360">
        <x:f>COUNTA(J360:N360)</x:f>
      </x:c>
      <x:c r="Q360">
        <x:f>IF(A360="","",IF(P360&lt;&gt;5,1,0))</x:f>
      </x:c>
      <x:c r="R360">
        <x:f>IF(A360="","",IF(COUNTIF($A$5:$A$604,A360)&gt;1,1,0))</x:f>
      </x:c>
    </x:row>
    <x:row r="361">
      <x:c r="A361" s="8" t="n"/>
      <x:c r="B361" s="12" t="n"/>
      <x:c r="C361" s="8" t="n"/>
      <x:c r="D361" s="8" t="n"/>
      <x:c r="E361" s="8" t="n"/>
      <x:c r="F361" s="8" t="n"/>
      <x:c r="G361" s="8" t="n"/>
      <x:c r="H361" s="8" t="n"/>
      <x:c r="I361" s="8" t="n"/>
      <x:c r="J361" s="8" t="n"/>
      <x:c r="K361" s="8" t="n"/>
      <x:c r="L361" s="8" t="n"/>
      <x:c r="M361" s="8" t="n"/>
      <x:c r="N361" s="8" t="n"/>
      <x:c r="O361" s="8" t="n"/>
      <x:c r="P361">
        <x:f>COUNTA(J361:N361)</x:f>
      </x:c>
      <x:c r="Q361">
        <x:f>IF(A361="","",IF(P361&lt;&gt;5,1,0))</x:f>
      </x:c>
      <x:c r="R361">
        <x:f>IF(A361="","",IF(COUNTIF($A$5:$A$604,A361)&gt;1,1,0))</x:f>
      </x:c>
    </x:row>
    <x:row r="362">
      <x:c r="A362" s="8" t="n"/>
      <x:c r="B362" s="12" t="n"/>
      <x:c r="C362" s="8" t="n"/>
      <x:c r="D362" s="8" t="n"/>
      <x:c r="E362" s="8" t="n"/>
      <x:c r="F362" s="8" t="n"/>
      <x:c r="G362" s="8" t="n"/>
      <x:c r="H362" s="8" t="n"/>
      <x:c r="I362" s="8" t="n"/>
      <x:c r="J362" s="8" t="n"/>
      <x:c r="K362" s="8" t="n"/>
      <x:c r="L362" s="8" t="n"/>
      <x:c r="M362" s="8" t="n"/>
      <x:c r="N362" s="8" t="n"/>
      <x:c r="O362" s="8" t="n"/>
      <x:c r="P362">
        <x:f>COUNTA(J362:N362)</x:f>
      </x:c>
      <x:c r="Q362">
        <x:f>IF(A362="","",IF(P362&lt;&gt;5,1,0))</x:f>
      </x:c>
      <x:c r="R362">
        <x:f>IF(A362="","",IF(COUNTIF($A$5:$A$604,A362)&gt;1,1,0))</x:f>
      </x:c>
    </x:row>
    <x:row r="363">
      <x:c r="A363" s="8" t="n"/>
      <x:c r="B363" s="12" t="n"/>
      <x:c r="C363" s="8" t="n"/>
      <x:c r="D363" s="8" t="n"/>
      <x:c r="E363" s="8" t="n"/>
      <x:c r="F363" s="8" t="n"/>
      <x:c r="G363" s="8" t="n"/>
      <x:c r="H363" s="8" t="n"/>
      <x:c r="I363" s="8" t="n"/>
      <x:c r="J363" s="8" t="n"/>
      <x:c r="K363" s="8" t="n"/>
      <x:c r="L363" s="8" t="n"/>
      <x:c r="M363" s="8" t="n"/>
      <x:c r="N363" s="8" t="n"/>
      <x:c r="O363" s="8" t="n"/>
      <x:c r="P363">
        <x:f>COUNTA(J363:N363)</x:f>
      </x:c>
      <x:c r="Q363">
        <x:f>IF(A363="","",IF(P363&lt;&gt;5,1,0))</x:f>
      </x:c>
      <x:c r="R363">
        <x:f>IF(A363="","",IF(COUNTIF($A$5:$A$604,A363)&gt;1,1,0))</x:f>
      </x:c>
    </x:row>
    <x:row r="364">
      <x:c r="A364" s="8" t="n"/>
      <x:c r="B364" s="12" t="n"/>
      <x:c r="C364" s="8" t="n"/>
      <x:c r="D364" s="8" t="n"/>
      <x:c r="E364" s="8" t="n"/>
      <x:c r="F364" s="8" t="n"/>
      <x:c r="G364" s="8" t="n"/>
      <x:c r="H364" s="8" t="n"/>
      <x:c r="I364" s="8" t="n"/>
      <x:c r="J364" s="8" t="n"/>
      <x:c r="K364" s="8" t="n"/>
      <x:c r="L364" s="8" t="n"/>
      <x:c r="M364" s="8" t="n"/>
      <x:c r="N364" s="8" t="n"/>
      <x:c r="O364" s="8" t="n"/>
      <x:c r="P364">
        <x:f>COUNTA(J364:N364)</x:f>
      </x:c>
      <x:c r="Q364">
        <x:f>IF(A364="","",IF(P364&lt;&gt;5,1,0))</x:f>
      </x:c>
      <x:c r="R364">
        <x:f>IF(A364="","",IF(COUNTIF($A$5:$A$604,A364)&gt;1,1,0))</x:f>
      </x:c>
    </x:row>
    <x:row r="365">
      <x:c r="A365" s="8" t="n"/>
      <x:c r="B365" s="12" t="n"/>
      <x:c r="C365" s="8" t="n"/>
      <x:c r="D365" s="8" t="n"/>
      <x:c r="E365" s="8" t="n"/>
      <x:c r="F365" s="8" t="n"/>
      <x:c r="G365" s="8" t="n"/>
      <x:c r="H365" s="8" t="n"/>
      <x:c r="I365" s="8" t="n"/>
      <x:c r="J365" s="8" t="n"/>
      <x:c r="K365" s="8" t="n"/>
      <x:c r="L365" s="8" t="n"/>
      <x:c r="M365" s="8" t="n"/>
      <x:c r="N365" s="8" t="n"/>
      <x:c r="O365" s="8" t="n"/>
      <x:c r="P365">
        <x:f>COUNTA(J365:N365)</x:f>
      </x:c>
      <x:c r="Q365">
        <x:f>IF(A365="","",IF(P365&lt;&gt;5,1,0))</x:f>
      </x:c>
      <x:c r="R365">
        <x:f>IF(A365="","",IF(COUNTIF($A$5:$A$604,A365)&gt;1,1,0))</x:f>
      </x:c>
    </x:row>
    <x:row r="366">
      <x:c r="A366" s="8" t="n"/>
      <x:c r="B366" s="12" t="n"/>
      <x:c r="C366" s="8" t="n"/>
      <x:c r="D366" s="8" t="n"/>
      <x:c r="E366" s="8" t="n"/>
      <x:c r="F366" s="8" t="n"/>
      <x:c r="G366" s="8" t="n"/>
      <x:c r="H366" s="8" t="n"/>
      <x:c r="I366" s="8" t="n"/>
      <x:c r="J366" s="8" t="n"/>
      <x:c r="K366" s="8" t="n"/>
      <x:c r="L366" s="8" t="n"/>
      <x:c r="M366" s="8" t="n"/>
      <x:c r="N366" s="8" t="n"/>
      <x:c r="O366" s="8" t="n"/>
      <x:c r="P366">
        <x:f>COUNTA(J366:N366)</x:f>
      </x:c>
      <x:c r="Q366">
        <x:f>IF(A366="","",IF(P366&lt;&gt;5,1,0))</x:f>
      </x:c>
      <x:c r="R366">
        <x:f>IF(A366="","",IF(COUNTIF($A$5:$A$604,A366)&gt;1,1,0))</x:f>
      </x:c>
    </x:row>
    <x:row r="367">
      <x:c r="A367" s="8" t="n"/>
      <x:c r="B367" s="12" t="n"/>
      <x:c r="C367" s="8" t="n"/>
      <x:c r="D367" s="8" t="n"/>
      <x:c r="E367" s="8" t="n"/>
      <x:c r="F367" s="8" t="n"/>
      <x:c r="G367" s="8" t="n"/>
      <x:c r="H367" s="8" t="n"/>
      <x:c r="I367" s="8" t="n"/>
      <x:c r="J367" s="8" t="n"/>
      <x:c r="K367" s="8" t="n"/>
      <x:c r="L367" s="8" t="n"/>
      <x:c r="M367" s="8" t="n"/>
      <x:c r="N367" s="8" t="n"/>
      <x:c r="O367" s="8" t="n"/>
      <x:c r="P367">
        <x:f>COUNTA(J367:N367)</x:f>
      </x:c>
      <x:c r="Q367">
        <x:f>IF(A367="","",IF(P367&lt;&gt;5,1,0))</x:f>
      </x:c>
      <x:c r="R367">
        <x:f>IF(A367="","",IF(COUNTIF($A$5:$A$604,A367)&gt;1,1,0))</x:f>
      </x:c>
    </x:row>
    <x:row r="368">
      <x:c r="A368" s="8" t="n"/>
      <x:c r="B368" s="12" t="n"/>
      <x:c r="C368" s="8" t="n"/>
      <x:c r="D368" s="8" t="n"/>
      <x:c r="E368" s="8" t="n"/>
      <x:c r="F368" s="8" t="n"/>
      <x:c r="G368" s="8" t="n"/>
      <x:c r="H368" s="8" t="n"/>
      <x:c r="I368" s="8" t="n"/>
      <x:c r="J368" s="8" t="n"/>
      <x:c r="K368" s="8" t="n"/>
      <x:c r="L368" s="8" t="n"/>
      <x:c r="M368" s="8" t="n"/>
      <x:c r="N368" s="8" t="n"/>
      <x:c r="O368" s="8" t="n"/>
      <x:c r="P368">
        <x:f>COUNTA(J368:N368)</x:f>
      </x:c>
      <x:c r="Q368">
        <x:f>IF(A368="","",IF(P368&lt;&gt;5,1,0))</x:f>
      </x:c>
      <x:c r="R368">
        <x:f>IF(A368="","",IF(COUNTIF($A$5:$A$604,A368)&gt;1,1,0))</x:f>
      </x:c>
    </x:row>
    <x:row r="369">
      <x:c r="A369" s="8" t="n"/>
      <x:c r="B369" s="12" t="n"/>
      <x:c r="C369" s="8" t="n"/>
      <x:c r="D369" s="8" t="n"/>
      <x:c r="E369" s="8" t="n"/>
      <x:c r="F369" s="8" t="n"/>
      <x:c r="G369" s="8" t="n"/>
      <x:c r="H369" s="8" t="n"/>
      <x:c r="I369" s="8" t="n"/>
      <x:c r="J369" s="8" t="n"/>
      <x:c r="K369" s="8" t="n"/>
      <x:c r="L369" s="8" t="n"/>
      <x:c r="M369" s="8" t="n"/>
      <x:c r="N369" s="8" t="n"/>
      <x:c r="O369" s="8" t="n"/>
      <x:c r="P369">
        <x:f>COUNTA(J369:N369)</x:f>
      </x:c>
      <x:c r="Q369">
        <x:f>IF(A369="","",IF(P369&lt;&gt;5,1,0))</x:f>
      </x:c>
      <x:c r="R369">
        <x:f>IF(A369="","",IF(COUNTIF($A$5:$A$604,A369)&gt;1,1,0))</x:f>
      </x:c>
    </x:row>
    <x:row r="370">
      <x:c r="A370" s="8" t="n"/>
      <x:c r="B370" s="12" t="n"/>
      <x:c r="C370" s="8" t="n"/>
      <x:c r="D370" s="8" t="n"/>
      <x:c r="E370" s="8" t="n"/>
      <x:c r="F370" s="8" t="n"/>
      <x:c r="G370" s="8" t="n"/>
      <x:c r="H370" s="8" t="n"/>
      <x:c r="I370" s="8" t="n"/>
      <x:c r="J370" s="8" t="n"/>
      <x:c r="K370" s="8" t="n"/>
      <x:c r="L370" s="8" t="n"/>
      <x:c r="M370" s="8" t="n"/>
      <x:c r="N370" s="8" t="n"/>
      <x:c r="O370" s="8" t="n"/>
      <x:c r="P370">
        <x:f>COUNTA(J370:N370)</x:f>
      </x:c>
      <x:c r="Q370">
        <x:f>IF(A370="","",IF(P370&lt;&gt;5,1,0))</x:f>
      </x:c>
      <x:c r="R370">
        <x:f>IF(A370="","",IF(COUNTIF($A$5:$A$604,A370)&gt;1,1,0))</x:f>
      </x:c>
    </x:row>
    <x:row r="371">
      <x:c r="A371" s="8" t="n"/>
      <x:c r="B371" s="12" t="n"/>
      <x:c r="C371" s="8" t="n"/>
      <x:c r="D371" s="8" t="n"/>
      <x:c r="E371" s="8" t="n"/>
      <x:c r="F371" s="8" t="n"/>
      <x:c r="G371" s="8" t="n"/>
      <x:c r="H371" s="8" t="n"/>
      <x:c r="I371" s="8" t="n"/>
      <x:c r="J371" s="8" t="n"/>
      <x:c r="K371" s="8" t="n"/>
      <x:c r="L371" s="8" t="n"/>
      <x:c r="M371" s="8" t="n"/>
      <x:c r="N371" s="8" t="n"/>
      <x:c r="O371" s="8" t="n"/>
      <x:c r="P371">
        <x:f>COUNTA(J371:N371)</x:f>
      </x:c>
      <x:c r="Q371">
        <x:f>IF(A371="","",IF(P371&lt;&gt;5,1,0))</x:f>
      </x:c>
      <x:c r="R371">
        <x:f>IF(A371="","",IF(COUNTIF($A$5:$A$604,A371)&gt;1,1,0))</x:f>
      </x:c>
    </x:row>
    <x:row r="372">
      <x:c r="A372" s="8" t="n"/>
      <x:c r="B372" s="12" t="n"/>
      <x:c r="C372" s="8" t="n"/>
      <x:c r="D372" s="8" t="n"/>
      <x:c r="E372" s="8" t="n"/>
      <x:c r="F372" s="8" t="n"/>
      <x:c r="G372" s="8" t="n"/>
      <x:c r="H372" s="8" t="n"/>
      <x:c r="I372" s="8" t="n"/>
      <x:c r="J372" s="8" t="n"/>
      <x:c r="K372" s="8" t="n"/>
      <x:c r="L372" s="8" t="n"/>
      <x:c r="M372" s="8" t="n"/>
      <x:c r="N372" s="8" t="n"/>
      <x:c r="O372" s="8" t="n"/>
      <x:c r="P372">
        <x:f>COUNTA(J372:N372)</x:f>
      </x:c>
      <x:c r="Q372">
        <x:f>IF(A372="","",IF(P372&lt;&gt;5,1,0))</x:f>
      </x:c>
      <x:c r="R372">
        <x:f>IF(A372="","",IF(COUNTIF($A$5:$A$604,A372)&gt;1,1,0))</x:f>
      </x:c>
    </x:row>
    <x:row r="373">
      <x:c r="A373" s="8" t="n"/>
      <x:c r="B373" s="12" t="n"/>
      <x:c r="C373" s="8" t="n"/>
      <x:c r="D373" s="8" t="n"/>
      <x:c r="E373" s="8" t="n"/>
      <x:c r="F373" s="8" t="n"/>
      <x:c r="G373" s="8" t="n"/>
      <x:c r="H373" s="8" t="n"/>
      <x:c r="I373" s="8" t="n"/>
      <x:c r="J373" s="8" t="n"/>
      <x:c r="K373" s="8" t="n"/>
      <x:c r="L373" s="8" t="n"/>
      <x:c r="M373" s="8" t="n"/>
      <x:c r="N373" s="8" t="n"/>
      <x:c r="O373" s="8" t="n"/>
      <x:c r="P373">
        <x:f>COUNTA(J373:N373)</x:f>
      </x:c>
      <x:c r="Q373">
        <x:f>IF(A373="","",IF(P373&lt;&gt;5,1,0))</x:f>
      </x:c>
      <x:c r="R373">
        <x:f>IF(A373="","",IF(COUNTIF($A$5:$A$604,A373)&gt;1,1,0))</x:f>
      </x:c>
    </x:row>
    <x:row r="374">
      <x:c r="A374" s="8" t="n"/>
      <x:c r="B374" s="12" t="n"/>
      <x:c r="C374" s="8" t="n"/>
      <x:c r="D374" s="8" t="n"/>
      <x:c r="E374" s="8" t="n"/>
      <x:c r="F374" s="8" t="n"/>
      <x:c r="G374" s="8" t="n"/>
      <x:c r="H374" s="8" t="n"/>
      <x:c r="I374" s="8" t="n"/>
      <x:c r="J374" s="8" t="n"/>
      <x:c r="K374" s="8" t="n"/>
      <x:c r="L374" s="8" t="n"/>
      <x:c r="M374" s="8" t="n"/>
      <x:c r="N374" s="8" t="n"/>
      <x:c r="O374" s="8" t="n"/>
      <x:c r="P374">
        <x:f>COUNTA(J374:N374)</x:f>
      </x:c>
      <x:c r="Q374">
        <x:f>IF(A374="","",IF(P374&lt;&gt;5,1,0))</x:f>
      </x:c>
      <x:c r="R374">
        <x:f>IF(A374="","",IF(COUNTIF($A$5:$A$604,A374)&gt;1,1,0))</x:f>
      </x:c>
    </x:row>
    <x:row r="375">
      <x:c r="A375" s="8" t="n"/>
      <x:c r="B375" s="12" t="n"/>
      <x:c r="C375" s="8" t="n"/>
      <x:c r="D375" s="8" t="n"/>
      <x:c r="E375" s="8" t="n"/>
      <x:c r="F375" s="8" t="n"/>
      <x:c r="G375" s="8" t="n"/>
      <x:c r="H375" s="8" t="n"/>
      <x:c r="I375" s="8" t="n"/>
      <x:c r="J375" s="8" t="n"/>
      <x:c r="K375" s="8" t="n"/>
      <x:c r="L375" s="8" t="n"/>
      <x:c r="M375" s="8" t="n"/>
      <x:c r="N375" s="8" t="n"/>
      <x:c r="O375" s="8" t="n"/>
      <x:c r="P375">
        <x:f>COUNTA(J375:N375)</x:f>
      </x:c>
      <x:c r="Q375">
        <x:f>IF(A375="","",IF(P375&lt;&gt;5,1,0))</x:f>
      </x:c>
      <x:c r="R375">
        <x:f>IF(A375="","",IF(COUNTIF($A$5:$A$604,A375)&gt;1,1,0))</x:f>
      </x:c>
    </x:row>
    <x:row r="376">
      <x:c r="A376" s="8" t="n"/>
      <x:c r="B376" s="12" t="n"/>
      <x:c r="C376" s="8" t="n"/>
      <x:c r="D376" s="8" t="n"/>
      <x:c r="E376" s="8" t="n"/>
      <x:c r="F376" s="8" t="n"/>
      <x:c r="G376" s="8" t="n"/>
      <x:c r="H376" s="8" t="n"/>
      <x:c r="I376" s="8" t="n"/>
      <x:c r="J376" s="8" t="n"/>
      <x:c r="K376" s="8" t="n"/>
      <x:c r="L376" s="8" t="n"/>
      <x:c r="M376" s="8" t="n"/>
      <x:c r="N376" s="8" t="n"/>
      <x:c r="O376" s="8" t="n"/>
      <x:c r="P376">
        <x:f>COUNTA(J376:N376)</x:f>
      </x:c>
      <x:c r="Q376">
        <x:f>IF(A376="","",IF(P376&lt;&gt;5,1,0))</x:f>
      </x:c>
      <x:c r="R376">
        <x:f>IF(A376="","",IF(COUNTIF($A$5:$A$604,A376)&gt;1,1,0))</x:f>
      </x:c>
    </x:row>
    <x:row r="377">
      <x:c r="A377" s="8" t="n"/>
      <x:c r="B377" s="12" t="n"/>
      <x:c r="C377" s="8" t="n"/>
      <x:c r="D377" s="8" t="n"/>
      <x:c r="E377" s="8" t="n"/>
      <x:c r="F377" s="8" t="n"/>
      <x:c r="G377" s="8" t="n"/>
      <x:c r="H377" s="8" t="n"/>
      <x:c r="I377" s="8" t="n"/>
      <x:c r="J377" s="8" t="n"/>
      <x:c r="K377" s="8" t="n"/>
      <x:c r="L377" s="8" t="n"/>
      <x:c r="M377" s="8" t="n"/>
      <x:c r="N377" s="8" t="n"/>
      <x:c r="O377" s="8" t="n"/>
      <x:c r="P377">
        <x:f>COUNTA(J377:N377)</x:f>
      </x:c>
      <x:c r="Q377">
        <x:f>IF(A377="","",IF(P377&lt;&gt;5,1,0))</x:f>
      </x:c>
      <x:c r="R377">
        <x:f>IF(A377="","",IF(COUNTIF($A$5:$A$604,A377)&gt;1,1,0))</x:f>
      </x:c>
    </x:row>
    <x:row r="378">
      <x:c r="A378" s="8" t="n"/>
      <x:c r="B378" s="12" t="n"/>
      <x:c r="C378" s="8" t="n"/>
      <x:c r="D378" s="8" t="n"/>
      <x:c r="E378" s="8" t="n"/>
      <x:c r="F378" s="8" t="n"/>
      <x:c r="G378" s="8" t="n"/>
      <x:c r="H378" s="8" t="n"/>
      <x:c r="I378" s="8" t="n"/>
      <x:c r="J378" s="8" t="n"/>
      <x:c r="K378" s="8" t="n"/>
      <x:c r="L378" s="8" t="n"/>
      <x:c r="M378" s="8" t="n"/>
      <x:c r="N378" s="8" t="n"/>
      <x:c r="O378" s="8" t="n"/>
      <x:c r="P378">
        <x:f>COUNTA(J378:N378)</x:f>
      </x:c>
      <x:c r="Q378">
        <x:f>IF(A378="","",IF(P378&lt;&gt;5,1,0))</x:f>
      </x:c>
      <x:c r="R378">
        <x:f>IF(A378="","",IF(COUNTIF($A$5:$A$604,A378)&gt;1,1,0))</x:f>
      </x:c>
    </x:row>
    <x:row r="379">
      <x:c r="A379" s="8" t="n"/>
      <x:c r="B379" s="12" t="n"/>
      <x:c r="C379" s="8" t="n"/>
      <x:c r="D379" s="8" t="n"/>
      <x:c r="E379" s="8" t="n"/>
      <x:c r="F379" s="8" t="n"/>
      <x:c r="G379" s="8" t="n"/>
      <x:c r="H379" s="8" t="n"/>
      <x:c r="I379" s="8" t="n"/>
      <x:c r="J379" s="8" t="n"/>
      <x:c r="K379" s="8" t="n"/>
      <x:c r="L379" s="8" t="n"/>
      <x:c r="M379" s="8" t="n"/>
      <x:c r="N379" s="8" t="n"/>
      <x:c r="O379" s="8" t="n"/>
      <x:c r="P379">
        <x:f>COUNTA(J379:N379)</x:f>
      </x:c>
      <x:c r="Q379">
        <x:f>IF(A379="","",IF(P379&lt;&gt;5,1,0))</x:f>
      </x:c>
      <x:c r="R379">
        <x:f>IF(A379="","",IF(COUNTIF($A$5:$A$604,A379)&gt;1,1,0))</x:f>
      </x:c>
    </x:row>
    <x:row r="380">
      <x:c r="A380" s="8" t="n"/>
      <x:c r="B380" s="12" t="n"/>
      <x:c r="C380" s="8" t="n"/>
      <x:c r="D380" s="8" t="n"/>
      <x:c r="E380" s="8" t="n"/>
      <x:c r="F380" s="8" t="n"/>
      <x:c r="G380" s="8" t="n"/>
      <x:c r="H380" s="8" t="n"/>
      <x:c r="I380" s="8" t="n"/>
      <x:c r="J380" s="8" t="n"/>
      <x:c r="K380" s="8" t="n"/>
      <x:c r="L380" s="8" t="n"/>
      <x:c r="M380" s="8" t="n"/>
      <x:c r="N380" s="8" t="n"/>
      <x:c r="O380" s="8" t="n"/>
      <x:c r="P380">
        <x:f>COUNTA(J380:N380)</x:f>
      </x:c>
      <x:c r="Q380">
        <x:f>IF(A380="","",IF(P380&lt;&gt;5,1,0))</x:f>
      </x:c>
      <x:c r="R380">
        <x:f>IF(A380="","",IF(COUNTIF($A$5:$A$604,A380)&gt;1,1,0))</x:f>
      </x:c>
    </x:row>
    <x:row r="381">
      <x:c r="A381" s="8" t="n"/>
      <x:c r="B381" s="12" t="n"/>
      <x:c r="C381" s="8" t="n"/>
      <x:c r="D381" s="8" t="n"/>
      <x:c r="E381" s="8" t="n"/>
      <x:c r="F381" s="8" t="n"/>
      <x:c r="G381" s="8" t="n"/>
      <x:c r="H381" s="8" t="n"/>
      <x:c r="I381" s="8" t="n"/>
      <x:c r="J381" s="8" t="n"/>
      <x:c r="K381" s="8" t="n"/>
      <x:c r="L381" s="8" t="n"/>
      <x:c r="M381" s="8" t="n"/>
      <x:c r="N381" s="8" t="n"/>
      <x:c r="O381" s="8" t="n"/>
      <x:c r="P381">
        <x:f>COUNTA(J381:N381)</x:f>
      </x:c>
      <x:c r="Q381">
        <x:f>IF(A381="","",IF(P381&lt;&gt;5,1,0))</x:f>
      </x:c>
      <x:c r="R381">
        <x:f>IF(A381="","",IF(COUNTIF($A$5:$A$604,A381)&gt;1,1,0))</x:f>
      </x:c>
    </x:row>
    <x:row r="382">
      <x:c r="A382" s="8" t="n"/>
      <x:c r="B382" s="12" t="n"/>
      <x:c r="C382" s="8" t="n"/>
      <x:c r="D382" s="8" t="n"/>
      <x:c r="E382" s="8" t="n"/>
      <x:c r="F382" s="8" t="n"/>
      <x:c r="G382" s="8" t="n"/>
      <x:c r="H382" s="8" t="n"/>
      <x:c r="I382" s="8" t="n"/>
      <x:c r="J382" s="8" t="n"/>
      <x:c r="K382" s="8" t="n"/>
      <x:c r="L382" s="8" t="n"/>
      <x:c r="M382" s="8" t="n"/>
      <x:c r="N382" s="8" t="n"/>
      <x:c r="O382" s="8" t="n"/>
      <x:c r="P382">
        <x:f>COUNTA(J382:N382)</x:f>
      </x:c>
      <x:c r="Q382">
        <x:f>IF(A382="","",IF(P382&lt;&gt;5,1,0))</x:f>
      </x:c>
      <x:c r="R382">
        <x:f>IF(A382="","",IF(COUNTIF($A$5:$A$604,A382)&gt;1,1,0))</x:f>
      </x:c>
    </x:row>
    <x:row r="383">
      <x:c r="A383" s="8" t="n"/>
      <x:c r="B383" s="12" t="n"/>
      <x:c r="C383" s="8" t="n"/>
      <x:c r="D383" s="8" t="n"/>
      <x:c r="E383" s="8" t="n"/>
      <x:c r="F383" s="8" t="n"/>
      <x:c r="G383" s="8" t="n"/>
      <x:c r="H383" s="8" t="n"/>
      <x:c r="I383" s="8" t="n"/>
      <x:c r="J383" s="8" t="n"/>
      <x:c r="K383" s="8" t="n"/>
      <x:c r="L383" s="8" t="n"/>
      <x:c r="M383" s="8" t="n"/>
      <x:c r="N383" s="8" t="n"/>
      <x:c r="O383" s="8" t="n"/>
      <x:c r="P383">
        <x:f>COUNTA(J383:N383)</x:f>
      </x:c>
      <x:c r="Q383">
        <x:f>IF(A383="","",IF(P383&lt;&gt;5,1,0))</x:f>
      </x:c>
      <x:c r="R383">
        <x:f>IF(A383="","",IF(COUNTIF($A$5:$A$604,A383)&gt;1,1,0))</x:f>
      </x:c>
    </x:row>
    <x:row r="384">
      <x:c r="A384" s="8" t="n"/>
      <x:c r="B384" s="12" t="n"/>
      <x:c r="C384" s="8" t="n"/>
      <x:c r="D384" s="8" t="n"/>
      <x:c r="E384" s="8" t="n"/>
      <x:c r="F384" s="8" t="n"/>
      <x:c r="G384" s="8" t="n"/>
      <x:c r="H384" s="8" t="n"/>
      <x:c r="I384" s="8" t="n"/>
      <x:c r="J384" s="8" t="n"/>
      <x:c r="K384" s="8" t="n"/>
      <x:c r="L384" s="8" t="n"/>
      <x:c r="M384" s="8" t="n"/>
      <x:c r="N384" s="8" t="n"/>
      <x:c r="O384" s="8" t="n"/>
      <x:c r="P384">
        <x:f>COUNTA(J384:N384)</x:f>
      </x:c>
      <x:c r="Q384">
        <x:f>IF(A384="","",IF(P384&lt;&gt;5,1,0))</x:f>
      </x:c>
      <x:c r="R384">
        <x:f>IF(A384="","",IF(COUNTIF($A$5:$A$604,A384)&gt;1,1,0))</x:f>
      </x:c>
    </x:row>
    <x:row r="385">
      <x:c r="A385" s="8" t="n"/>
      <x:c r="B385" s="12" t="n"/>
      <x:c r="C385" s="8" t="n"/>
      <x:c r="D385" s="8" t="n"/>
      <x:c r="E385" s="8" t="n"/>
      <x:c r="F385" s="8" t="n"/>
      <x:c r="G385" s="8" t="n"/>
      <x:c r="H385" s="8" t="n"/>
      <x:c r="I385" s="8" t="n"/>
      <x:c r="J385" s="8" t="n"/>
      <x:c r="K385" s="8" t="n"/>
      <x:c r="L385" s="8" t="n"/>
      <x:c r="M385" s="8" t="n"/>
      <x:c r="N385" s="8" t="n"/>
      <x:c r="O385" s="8" t="n"/>
      <x:c r="P385">
        <x:f>COUNTA(J385:N385)</x:f>
      </x:c>
      <x:c r="Q385">
        <x:f>IF(A385="","",IF(P385&lt;&gt;5,1,0))</x:f>
      </x:c>
      <x:c r="R385">
        <x:f>IF(A385="","",IF(COUNTIF($A$5:$A$604,A385)&gt;1,1,0))</x:f>
      </x:c>
    </x:row>
    <x:row r="386">
      <x:c r="A386" s="8" t="n"/>
      <x:c r="B386" s="12" t="n"/>
      <x:c r="C386" s="8" t="n"/>
      <x:c r="D386" s="8" t="n"/>
      <x:c r="E386" s="8" t="n"/>
      <x:c r="F386" s="8" t="n"/>
      <x:c r="G386" s="8" t="n"/>
      <x:c r="H386" s="8" t="n"/>
      <x:c r="I386" s="8" t="n"/>
      <x:c r="J386" s="8" t="n"/>
      <x:c r="K386" s="8" t="n"/>
      <x:c r="L386" s="8" t="n"/>
      <x:c r="M386" s="8" t="n"/>
      <x:c r="N386" s="8" t="n"/>
      <x:c r="O386" s="8" t="n"/>
      <x:c r="P386">
        <x:f>COUNTA(J386:N386)</x:f>
      </x:c>
      <x:c r="Q386">
        <x:f>IF(A386="","",IF(P386&lt;&gt;5,1,0))</x:f>
      </x:c>
      <x:c r="R386">
        <x:f>IF(A386="","",IF(COUNTIF($A$5:$A$604,A386)&gt;1,1,0))</x:f>
      </x:c>
    </x:row>
    <x:row r="387">
      <x:c r="A387" s="8" t="n"/>
      <x:c r="B387" s="12" t="n"/>
      <x:c r="C387" s="8" t="n"/>
      <x:c r="D387" s="8" t="n"/>
      <x:c r="E387" s="8" t="n"/>
      <x:c r="F387" s="8" t="n"/>
      <x:c r="G387" s="8" t="n"/>
      <x:c r="H387" s="8" t="n"/>
      <x:c r="I387" s="8" t="n"/>
      <x:c r="J387" s="8" t="n"/>
      <x:c r="K387" s="8" t="n"/>
      <x:c r="L387" s="8" t="n"/>
      <x:c r="M387" s="8" t="n"/>
      <x:c r="N387" s="8" t="n"/>
      <x:c r="O387" s="8" t="n"/>
      <x:c r="P387">
        <x:f>COUNTA(J387:N387)</x:f>
      </x:c>
      <x:c r="Q387">
        <x:f>IF(A387="","",IF(P387&lt;&gt;5,1,0))</x:f>
      </x:c>
      <x:c r="R387">
        <x:f>IF(A387="","",IF(COUNTIF($A$5:$A$604,A387)&gt;1,1,0))</x:f>
      </x:c>
    </x:row>
    <x:row r="388">
      <x:c r="A388" s="8" t="n"/>
      <x:c r="B388" s="12" t="n"/>
      <x:c r="C388" s="8" t="n"/>
      <x:c r="D388" s="8" t="n"/>
      <x:c r="E388" s="8" t="n"/>
      <x:c r="F388" s="8" t="n"/>
      <x:c r="G388" s="8" t="n"/>
      <x:c r="H388" s="8" t="n"/>
      <x:c r="I388" s="8" t="n"/>
      <x:c r="J388" s="8" t="n"/>
      <x:c r="K388" s="8" t="n"/>
      <x:c r="L388" s="8" t="n"/>
      <x:c r="M388" s="8" t="n"/>
      <x:c r="N388" s="8" t="n"/>
      <x:c r="O388" s="8" t="n"/>
      <x:c r="P388">
        <x:f>COUNTA(J388:N388)</x:f>
      </x:c>
      <x:c r="Q388">
        <x:f>IF(A388="","",IF(P388&lt;&gt;5,1,0))</x:f>
      </x:c>
      <x:c r="R388">
        <x:f>IF(A388="","",IF(COUNTIF($A$5:$A$604,A388)&gt;1,1,0))</x:f>
      </x:c>
    </x:row>
    <x:row r="389">
      <x:c r="A389" s="8" t="n"/>
      <x:c r="B389" s="12" t="n"/>
      <x:c r="C389" s="8" t="n"/>
      <x:c r="D389" s="8" t="n"/>
      <x:c r="E389" s="8" t="n"/>
      <x:c r="F389" s="8" t="n"/>
      <x:c r="G389" s="8" t="n"/>
      <x:c r="H389" s="8" t="n"/>
      <x:c r="I389" s="8" t="n"/>
      <x:c r="J389" s="8" t="n"/>
      <x:c r="K389" s="8" t="n"/>
      <x:c r="L389" s="8" t="n"/>
      <x:c r="M389" s="8" t="n"/>
      <x:c r="N389" s="8" t="n"/>
      <x:c r="O389" s="8" t="n"/>
      <x:c r="P389">
        <x:f>COUNTA(J389:N389)</x:f>
      </x:c>
      <x:c r="Q389">
        <x:f>IF(A389="","",IF(P389&lt;&gt;5,1,0))</x:f>
      </x:c>
      <x:c r="R389">
        <x:f>IF(A389="","",IF(COUNTIF($A$5:$A$604,A389)&gt;1,1,0))</x:f>
      </x:c>
    </x:row>
    <x:row r="390">
      <x:c r="A390" s="8" t="n"/>
      <x:c r="B390" s="12" t="n"/>
      <x:c r="C390" s="8" t="n"/>
      <x:c r="D390" s="8" t="n"/>
      <x:c r="E390" s="8" t="n"/>
      <x:c r="F390" s="8" t="n"/>
      <x:c r="G390" s="8" t="n"/>
      <x:c r="H390" s="8" t="n"/>
      <x:c r="I390" s="8" t="n"/>
      <x:c r="J390" s="8" t="n"/>
      <x:c r="K390" s="8" t="n"/>
      <x:c r="L390" s="8" t="n"/>
      <x:c r="M390" s="8" t="n"/>
      <x:c r="N390" s="8" t="n"/>
      <x:c r="O390" s="8" t="n"/>
      <x:c r="P390">
        <x:f>COUNTA(J390:N390)</x:f>
      </x:c>
      <x:c r="Q390">
        <x:f>IF(A390="","",IF(P390&lt;&gt;5,1,0))</x:f>
      </x:c>
      <x:c r="R390">
        <x:f>IF(A390="","",IF(COUNTIF($A$5:$A$604,A390)&gt;1,1,0))</x:f>
      </x:c>
    </x:row>
    <x:row r="391">
      <x:c r="A391" s="8" t="n"/>
      <x:c r="B391" s="12" t="n"/>
      <x:c r="C391" s="8" t="n"/>
      <x:c r="D391" s="8" t="n"/>
      <x:c r="E391" s="8" t="n"/>
      <x:c r="F391" s="8" t="n"/>
      <x:c r="G391" s="8" t="n"/>
      <x:c r="H391" s="8" t="n"/>
      <x:c r="I391" s="8" t="n"/>
      <x:c r="J391" s="8" t="n"/>
      <x:c r="K391" s="8" t="n"/>
      <x:c r="L391" s="8" t="n"/>
      <x:c r="M391" s="8" t="n"/>
      <x:c r="N391" s="8" t="n"/>
      <x:c r="O391" s="8" t="n"/>
      <x:c r="P391">
        <x:f>COUNTA(J391:N391)</x:f>
      </x:c>
      <x:c r="Q391">
        <x:f>IF(A391="","",IF(P391&lt;&gt;5,1,0))</x:f>
      </x:c>
      <x:c r="R391">
        <x:f>IF(A391="","",IF(COUNTIF($A$5:$A$604,A391)&gt;1,1,0))</x:f>
      </x:c>
    </x:row>
    <x:row r="392">
      <x:c r="A392" s="8" t="n"/>
      <x:c r="B392" s="12" t="n"/>
      <x:c r="C392" s="8" t="n"/>
      <x:c r="D392" s="8" t="n"/>
      <x:c r="E392" s="8" t="n"/>
      <x:c r="F392" s="8" t="n"/>
      <x:c r="G392" s="8" t="n"/>
      <x:c r="H392" s="8" t="n"/>
      <x:c r="I392" s="8" t="n"/>
      <x:c r="J392" s="8" t="n"/>
      <x:c r="K392" s="8" t="n"/>
      <x:c r="L392" s="8" t="n"/>
      <x:c r="M392" s="8" t="n"/>
      <x:c r="N392" s="8" t="n"/>
      <x:c r="O392" s="8" t="n"/>
      <x:c r="P392">
        <x:f>COUNTA(J392:N392)</x:f>
      </x:c>
      <x:c r="Q392">
        <x:f>IF(A392="","",IF(P392&lt;&gt;5,1,0))</x:f>
      </x:c>
      <x:c r="R392">
        <x:f>IF(A392="","",IF(COUNTIF($A$5:$A$604,A392)&gt;1,1,0))</x:f>
      </x:c>
    </x:row>
    <x:row r="393">
      <x:c r="A393" s="8" t="n"/>
      <x:c r="B393" s="12" t="n"/>
      <x:c r="C393" s="8" t="n"/>
      <x:c r="D393" s="8" t="n"/>
      <x:c r="E393" s="8" t="n"/>
      <x:c r="F393" s="8" t="n"/>
      <x:c r="G393" s="8" t="n"/>
      <x:c r="H393" s="8" t="n"/>
      <x:c r="I393" s="8" t="n"/>
      <x:c r="J393" s="8" t="n"/>
      <x:c r="K393" s="8" t="n"/>
      <x:c r="L393" s="8" t="n"/>
      <x:c r="M393" s="8" t="n"/>
      <x:c r="N393" s="8" t="n"/>
      <x:c r="O393" s="8" t="n"/>
      <x:c r="P393">
        <x:f>COUNTA(J393:N393)</x:f>
      </x:c>
      <x:c r="Q393">
        <x:f>IF(A393="","",IF(P393&lt;&gt;5,1,0))</x:f>
      </x:c>
      <x:c r="R393">
        <x:f>IF(A393="","",IF(COUNTIF($A$5:$A$604,A393)&gt;1,1,0))</x:f>
      </x:c>
    </x:row>
    <x:row r="394">
      <x:c r="A394" s="8" t="n"/>
      <x:c r="B394" s="12" t="n"/>
      <x:c r="C394" s="8" t="n"/>
      <x:c r="D394" s="8" t="n"/>
      <x:c r="E394" s="8" t="n"/>
      <x:c r="F394" s="8" t="n"/>
      <x:c r="G394" s="8" t="n"/>
      <x:c r="H394" s="8" t="n"/>
      <x:c r="I394" s="8" t="n"/>
      <x:c r="J394" s="8" t="n"/>
      <x:c r="K394" s="8" t="n"/>
      <x:c r="L394" s="8" t="n"/>
      <x:c r="M394" s="8" t="n"/>
      <x:c r="N394" s="8" t="n"/>
      <x:c r="O394" s="8" t="n"/>
      <x:c r="P394">
        <x:f>COUNTA(J394:N394)</x:f>
      </x:c>
      <x:c r="Q394">
        <x:f>IF(A394="","",IF(P394&lt;&gt;5,1,0))</x:f>
      </x:c>
      <x:c r="R394">
        <x:f>IF(A394="","",IF(COUNTIF($A$5:$A$604,A394)&gt;1,1,0))</x:f>
      </x:c>
    </x:row>
    <x:row r="395">
      <x:c r="A395" s="8" t="n"/>
      <x:c r="B395" s="12" t="n"/>
      <x:c r="C395" s="8" t="n"/>
      <x:c r="D395" s="8" t="n"/>
      <x:c r="E395" s="8" t="n"/>
      <x:c r="F395" s="8" t="n"/>
      <x:c r="G395" s="8" t="n"/>
      <x:c r="H395" s="8" t="n"/>
      <x:c r="I395" s="8" t="n"/>
      <x:c r="J395" s="8" t="n"/>
      <x:c r="K395" s="8" t="n"/>
      <x:c r="L395" s="8" t="n"/>
      <x:c r="M395" s="8" t="n"/>
      <x:c r="N395" s="8" t="n"/>
      <x:c r="O395" s="8" t="n"/>
      <x:c r="P395">
        <x:f>COUNTA(J395:N395)</x:f>
      </x:c>
      <x:c r="Q395">
        <x:f>IF(A395="","",IF(P395&lt;&gt;5,1,0))</x:f>
      </x:c>
      <x:c r="R395">
        <x:f>IF(A395="","",IF(COUNTIF($A$5:$A$604,A395)&gt;1,1,0))</x:f>
      </x:c>
    </x:row>
    <x:row r="396">
      <x:c r="A396" s="8" t="n"/>
      <x:c r="B396" s="12" t="n"/>
      <x:c r="C396" s="8" t="n"/>
      <x:c r="D396" s="8" t="n"/>
      <x:c r="E396" s="8" t="n"/>
      <x:c r="F396" s="8" t="n"/>
      <x:c r="G396" s="8" t="n"/>
      <x:c r="H396" s="8" t="n"/>
      <x:c r="I396" s="8" t="n"/>
      <x:c r="J396" s="8" t="n"/>
      <x:c r="K396" s="8" t="n"/>
      <x:c r="L396" s="8" t="n"/>
      <x:c r="M396" s="8" t="n"/>
      <x:c r="N396" s="8" t="n"/>
      <x:c r="O396" s="8" t="n"/>
      <x:c r="P396">
        <x:f>COUNTA(J396:N396)</x:f>
      </x:c>
      <x:c r="Q396">
        <x:f>IF(A396="","",IF(P396&lt;&gt;5,1,0))</x:f>
      </x:c>
      <x:c r="R396">
        <x:f>IF(A396="","",IF(COUNTIF($A$5:$A$604,A396)&gt;1,1,0))</x:f>
      </x:c>
    </x:row>
    <x:row r="397">
      <x:c r="A397" s="8" t="n"/>
      <x:c r="B397" s="12" t="n"/>
      <x:c r="C397" s="8" t="n"/>
      <x:c r="D397" s="8" t="n"/>
      <x:c r="E397" s="8" t="n"/>
      <x:c r="F397" s="8" t="n"/>
      <x:c r="G397" s="8" t="n"/>
      <x:c r="H397" s="8" t="n"/>
      <x:c r="I397" s="8" t="n"/>
      <x:c r="J397" s="8" t="n"/>
      <x:c r="K397" s="8" t="n"/>
      <x:c r="L397" s="8" t="n"/>
      <x:c r="M397" s="8" t="n"/>
      <x:c r="N397" s="8" t="n"/>
      <x:c r="O397" s="8" t="n"/>
      <x:c r="P397">
        <x:f>COUNTA(J397:N397)</x:f>
      </x:c>
      <x:c r="Q397">
        <x:f>IF(A397="","",IF(P397&lt;&gt;5,1,0))</x:f>
      </x:c>
      <x:c r="R397">
        <x:f>IF(A397="","",IF(COUNTIF($A$5:$A$604,A397)&gt;1,1,0))</x:f>
      </x:c>
    </x:row>
    <x:row r="398">
      <x:c r="A398" s="8" t="n"/>
      <x:c r="B398" s="12" t="n"/>
      <x:c r="C398" s="8" t="n"/>
      <x:c r="D398" s="8" t="n"/>
      <x:c r="E398" s="8" t="n"/>
      <x:c r="F398" s="8" t="n"/>
      <x:c r="G398" s="8" t="n"/>
      <x:c r="H398" s="8" t="n"/>
      <x:c r="I398" s="8" t="n"/>
      <x:c r="J398" s="8" t="n"/>
      <x:c r="K398" s="8" t="n"/>
      <x:c r="L398" s="8" t="n"/>
      <x:c r="M398" s="8" t="n"/>
      <x:c r="N398" s="8" t="n"/>
      <x:c r="O398" s="8" t="n"/>
      <x:c r="P398">
        <x:f>COUNTA(J398:N398)</x:f>
      </x:c>
      <x:c r="Q398">
        <x:f>IF(A398="","",IF(P398&lt;&gt;5,1,0))</x:f>
      </x:c>
      <x:c r="R398">
        <x:f>IF(A398="","",IF(COUNTIF($A$5:$A$604,A398)&gt;1,1,0))</x:f>
      </x:c>
    </x:row>
    <x:row r="399">
      <x:c r="A399" s="8" t="n"/>
      <x:c r="B399" s="12" t="n"/>
      <x:c r="C399" s="8" t="n"/>
      <x:c r="D399" s="8" t="n"/>
      <x:c r="E399" s="8" t="n"/>
      <x:c r="F399" s="8" t="n"/>
      <x:c r="G399" s="8" t="n"/>
      <x:c r="H399" s="8" t="n"/>
      <x:c r="I399" s="8" t="n"/>
      <x:c r="J399" s="8" t="n"/>
      <x:c r="K399" s="8" t="n"/>
      <x:c r="L399" s="8" t="n"/>
      <x:c r="M399" s="8" t="n"/>
      <x:c r="N399" s="8" t="n"/>
      <x:c r="O399" s="8" t="n"/>
      <x:c r="P399">
        <x:f>COUNTA(J399:N399)</x:f>
      </x:c>
      <x:c r="Q399">
        <x:f>IF(A399="","",IF(P399&lt;&gt;5,1,0))</x:f>
      </x:c>
      <x:c r="R399">
        <x:f>IF(A399="","",IF(COUNTIF($A$5:$A$604,A399)&gt;1,1,0))</x:f>
      </x:c>
    </x:row>
    <x:row r="400">
      <x:c r="A400" s="8" t="n"/>
      <x:c r="B400" s="12" t="n"/>
      <x:c r="C400" s="8" t="n"/>
      <x:c r="D400" s="8" t="n"/>
      <x:c r="E400" s="8" t="n"/>
      <x:c r="F400" s="8" t="n"/>
      <x:c r="G400" s="8" t="n"/>
      <x:c r="H400" s="8" t="n"/>
      <x:c r="I400" s="8" t="n"/>
      <x:c r="J400" s="8" t="n"/>
      <x:c r="K400" s="8" t="n"/>
      <x:c r="L400" s="8" t="n"/>
      <x:c r="M400" s="8" t="n"/>
      <x:c r="N400" s="8" t="n"/>
      <x:c r="O400" s="8" t="n"/>
      <x:c r="P400">
        <x:f>COUNTA(J400:N400)</x:f>
      </x:c>
      <x:c r="Q400">
        <x:f>IF(A400="","",IF(P400&lt;&gt;5,1,0))</x:f>
      </x:c>
      <x:c r="R400">
        <x:f>IF(A400="","",IF(COUNTIF($A$5:$A$604,A400)&gt;1,1,0))</x:f>
      </x:c>
    </x:row>
    <x:row r="401">
      <x:c r="A401" s="8" t="n"/>
      <x:c r="B401" s="12" t="n"/>
      <x:c r="C401" s="8" t="n"/>
      <x:c r="D401" s="8" t="n"/>
      <x:c r="E401" s="8" t="n"/>
      <x:c r="F401" s="8" t="n"/>
      <x:c r="G401" s="8" t="n"/>
      <x:c r="H401" s="8" t="n"/>
      <x:c r="I401" s="8" t="n"/>
      <x:c r="J401" s="8" t="n"/>
      <x:c r="K401" s="8" t="n"/>
      <x:c r="L401" s="8" t="n"/>
      <x:c r="M401" s="8" t="n"/>
      <x:c r="N401" s="8" t="n"/>
      <x:c r="O401" s="8" t="n"/>
      <x:c r="P401">
        <x:f>COUNTA(J401:N401)</x:f>
      </x:c>
      <x:c r="Q401">
        <x:f>IF(A401="","",IF(P401&lt;&gt;5,1,0))</x:f>
      </x:c>
      <x:c r="R401">
        <x:f>IF(A401="","",IF(COUNTIF($A$5:$A$604,A401)&gt;1,1,0))</x:f>
      </x:c>
    </x:row>
    <x:row r="402">
      <x:c r="A402" s="8" t="n"/>
      <x:c r="B402" s="12" t="n"/>
      <x:c r="C402" s="8" t="n"/>
      <x:c r="D402" s="8" t="n"/>
      <x:c r="E402" s="8" t="n"/>
      <x:c r="F402" s="8" t="n"/>
      <x:c r="G402" s="8" t="n"/>
      <x:c r="H402" s="8" t="n"/>
      <x:c r="I402" s="8" t="n"/>
      <x:c r="J402" s="8" t="n"/>
      <x:c r="K402" s="8" t="n"/>
      <x:c r="L402" s="8" t="n"/>
      <x:c r="M402" s="8" t="n"/>
      <x:c r="N402" s="8" t="n"/>
      <x:c r="O402" s="8" t="n"/>
      <x:c r="P402">
        <x:f>COUNTA(J402:N402)</x:f>
      </x:c>
      <x:c r="Q402">
        <x:f>IF(A402="","",IF(P402&lt;&gt;5,1,0))</x:f>
      </x:c>
      <x:c r="R402">
        <x:f>IF(A402="","",IF(COUNTIF($A$5:$A$604,A402)&gt;1,1,0))</x:f>
      </x:c>
    </x:row>
    <x:row r="403">
      <x:c r="A403" s="8" t="n"/>
      <x:c r="B403" s="12" t="n"/>
      <x:c r="C403" s="8" t="n"/>
      <x:c r="D403" s="8" t="n"/>
      <x:c r="E403" s="8" t="n"/>
      <x:c r="F403" s="8" t="n"/>
      <x:c r="G403" s="8" t="n"/>
      <x:c r="H403" s="8" t="n"/>
      <x:c r="I403" s="8" t="n"/>
      <x:c r="J403" s="8" t="n"/>
      <x:c r="K403" s="8" t="n"/>
      <x:c r="L403" s="8" t="n"/>
      <x:c r="M403" s="8" t="n"/>
      <x:c r="N403" s="8" t="n"/>
      <x:c r="O403" s="8" t="n"/>
      <x:c r="P403">
        <x:f>COUNTA(J403:N403)</x:f>
      </x:c>
      <x:c r="Q403">
        <x:f>IF(A403="","",IF(P403&lt;&gt;5,1,0))</x:f>
      </x:c>
      <x:c r="R403">
        <x:f>IF(A403="","",IF(COUNTIF($A$5:$A$604,A403)&gt;1,1,0))</x:f>
      </x:c>
    </x:row>
    <x:row r="404">
      <x:c r="A404" s="8" t="n"/>
      <x:c r="B404" s="12" t="n"/>
      <x:c r="C404" s="8" t="n"/>
      <x:c r="D404" s="8" t="n"/>
      <x:c r="E404" s="8" t="n"/>
      <x:c r="F404" s="8" t="n"/>
      <x:c r="G404" s="8" t="n"/>
      <x:c r="H404" s="8" t="n"/>
      <x:c r="I404" s="8" t="n"/>
      <x:c r="J404" s="8" t="n"/>
      <x:c r="K404" s="8" t="n"/>
      <x:c r="L404" s="8" t="n"/>
      <x:c r="M404" s="8" t="n"/>
      <x:c r="N404" s="8" t="n"/>
      <x:c r="O404" s="8" t="n"/>
      <x:c r="P404">
        <x:f>COUNTA(J404:N404)</x:f>
      </x:c>
      <x:c r="Q404">
        <x:f>IF(A404="","",IF(P404&lt;&gt;5,1,0))</x:f>
      </x:c>
      <x:c r="R404">
        <x:f>IF(A404="","",IF(COUNTIF($A$5:$A$604,A404)&gt;1,1,0))</x:f>
      </x:c>
    </x:row>
    <x:row r="405">
      <x:c r="A405" s="8" t="n"/>
      <x:c r="B405" s="12" t="n"/>
      <x:c r="C405" s="8" t="n"/>
      <x:c r="D405" s="8" t="n"/>
      <x:c r="E405" s="8" t="n"/>
      <x:c r="F405" s="8" t="n"/>
      <x:c r="G405" s="8" t="n"/>
      <x:c r="H405" s="8" t="n"/>
      <x:c r="I405" s="8" t="n"/>
      <x:c r="J405" s="8" t="n"/>
      <x:c r="K405" s="8" t="n"/>
      <x:c r="L405" s="8" t="n"/>
      <x:c r="M405" s="8" t="n"/>
      <x:c r="N405" s="8" t="n"/>
      <x:c r="O405" s="8" t="n"/>
      <x:c r="P405">
        <x:f>COUNTA(J405:N405)</x:f>
      </x:c>
      <x:c r="Q405">
        <x:f>IF(A405="","",IF(P405&lt;&gt;5,1,0))</x:f>
      </x:c>
      <x:c r="R405">
        <x:f>IF(A405="","",IF(COUNTIF($A$5:$A$604,A405)&gt;1,1,0))</x:f>
      </x:c>
    </x:row>
    <x:row r="406">
      <x:c r="A406" s="8" t="n"/>
      <x:c r="B406" s="12" t="n"/>
      <x:c r="C406" s="8" t="n"/>
      <x:c r="D406" s="8" t="n"/>
      <x:c r="E406" s="8" t="n"/>
      <x:c r="F406" s="8" t="n"/>
      <x:c r="G406" s="8" t="n"/>
      <x:c r="H406" s="8" t="n"/>
      <x:c r="I406" s="8" t="n"/>
      <x:c r="J406" s="8" t="n"/>
      <x:c r="K406" s="8" t="n"/>
      <x:c r="L406" s="8" t="n"/>
      <x:c r="M406" s="8" t="n"/>
      <x:c r="N406" s="8" t="n"/>
      <x:c r="O406" s="8" t="n"/>
      <x:c r="P406">
        <x:f>COUNTA(J406:N406)</x:f>
      </x:c>
      <x:c r="Q406">
        <x:f>IF(A406="","",IF(P406&lt;&gt;5,1,0))</x:f>
      </x:c>
      <x:c r="R406">
        <x:f>IF(A406="","",IF(COUNTIF($A$5:$A$604,A406)&gt;1,1,0))</x:f>
      </x:c>
    </x:row>
    <x:row r="407">
      <x:c r="A407" s="8" t="n"/>
      <x:c r="B407" s="12" t="n"/>
      <x:c r="C407" s="8" t="n"/>
      <x:c r="D407" s="8" t="n"/>
      <x:c r="E407" s="8" t="n"/>
      <x:c r="F407" s="8" t="n"/>
      <x:c r="G407" s="8" t="n"/>
      <x:c r="H407" s="8" t="n"/>
      <x:c r="I407" s="8" t="n"/>
      <x:c r="J407" s="8" t="n"/>
      <x:c r="K407" s="8" t="n"/>
      <x:c r="L407" s="8" t="n"/>
      <x:c r="M407" s="8" t="n"/>
      <x:c r="N407" s="8" t="n"/>
      <x:c r="O407" s="8" t="n"/>
      <x:c r="P407">
        <x:f>COUNTA(J407:N407)</x:f>
      </x:c>
      <x:c r="Q407">
        <x:f>IF(A407="","",IF(P407&lt;&gt;5,1,0))</x:f>
      </x:c>
      <x:c r="R407">
        <x:f>IF(A407="","",IF(COUNTIF($A$5:$A$604,A407)&gt;1,1,0))</x:f>
      </x:c>
    </x:row>
    <x:row r="408">
      <x:c r="A408" s="8" t="n"/>
      <x:c r="B408" s="12" t="n"/>
      <x:c r="C408" s="8" t="n"/>
      <x:c r="D408" s="8" t="n"/>
      <x:c r="E408" s="8" t="n"/>
      <x:c r="F408" s="8" t="n"/>
      <x:c r="G408" s="8" t="n"/>
      <x:c r="H408" s="8" t="n"/>
      <x:c r="I408" s="8" t="n"/>
      <x:c r="J408" s="8" t="n"/>
      <x:c r="K408" s="8" t="n"/>
      <x:c r="L408" s="8" t="n"/>
      <x:c r="M408" s="8" t="n"/>
      <x:c r="N408" s="8" t="n"/>
      <x:c r="O408" s="8" t="n"/>
      <x:c r="P408">
        <x:f>COUNTA(J408:N408)</x:f>
      </x:c>
      <x:c r="Q408">
        <x:f>IF(A408="","",IF(P408&lt;&gt;5,1,0))</x:f>
      </x:c>
      <x:c r="R408">
        <x:f>IF(A408="","",IF(COUNTIF($A$5:$A$604,A408)&gt;1,1,0))</x:f>
      </x:c>
    </x:row>
    <x:row r="409">
      <x:c r="A409" s="8" t="n"/>
      <x:c r="B409" s="12" t="n"/>
      <x:c r="C409" s="8" t="n"/>
      <x:c r="D409" s="8" t="n"/>
      <x:c r="E409" s="8" t="n"/>
      <x:c r="F409" s="8" t="n"/>
      <x:c r="G409" s="8" t="n"/>
      <x:c r="H409" s="8" t="n"/>
      <x:c r="I409" s="8" t="n"/>
      <x:c r="J409" s="8" t="n"/>
      <x:c r="K409" s="8" t="n"/>
      <x:c r="L409" s="8" t="n"/>
      <x:c r="M409" s="8" t="n"/>
      <x:c r="N409" s="8" t="n"/>
      <x:c r="O409" s="8" t="n"/>
      <x:c r="P409">
        <x:f>COUNTA(J409:N409)</x:f>
      </x:c>
      <x:c r="Q409">
        <x:f>IF(A409="","",IF(P409&lt;&gt;5,1,0))</x:f>
      </x:c>
      <x:c r="R409">
        <x:f>IF(A409="","",IF(COUNTIF($A$5:$A$604,A409)&gt;1,1,0))</x:f>
      </x:c>
    </x:row>
    <x:row r="410">
      <x:c r="A410" s="8" t="n"/>
      <x:c r="B410" s="12" t="n"/>
      <x:c r="C410" s="8" t="n"/>
      <x:c r="D410" s="8" t="n"/>
      <x:c r="E410" s="8" t="n"/>
      <x:c r="F410" s="8" t="n"/>
      <x:c r="G410" s="8" t="n"/>
      <x:c r="H410" s="8" t="n"/>
      <x:c r="I410" s="8" t="n"/>
      <x:c r="J410" s="8" t="n"/>
      <x:c r="K410" s="8" t="n"/>
      <x:c r="L410" s="8" t="n"/>
      <x:c r="M410" s="8" t="n"/>
      <x:c r="N410" s="8" t="n"/>
      <x:c r="O410" s="8" t="n"/>
      <x:c r="P410">
        <x:f>COUNTA(J410:N410)</x:f>
      </x:c>
      <x:c r="Q410">
        <x:f>IF(A410="","",IF(P410&lt;&gt;5,1,0))</x:f>
      </x:c>
      <x:c r="R410">
        <x:f>IF(A410="","",IF(COUNTIF($A$5:$A$604,A410)&gt;1,1,0))</x:f>
      </x:c>
    </x:row>
    <x:row r="411">
      <x:c r="A411" s="8" t="n"/>
      <x:c r="B411" s="12" t="n"/>
      <x:c r="C411" s="8" t="n"/>
      <x:c r="D411" s="8" t="n"/>
      <x:c r="E411" s="8" t="n"/>
      <x:c r="F411" s="8" t="n"/>
      <x:c r="G411" s="8" t="n"/>
      <x:c r="H411" s="8" t="n"/>
      <x:c r="I411" s="8" t="n"/>
      <x:c r="J411" s="8" t="n"/>
      <x:c r="K411" s="8" t="n"/>
      <x:c r="L411" s="8" t="n"/>
      <x:c r="M411" s="8" t="n"/>
      <x:c r="N411" s="8" t="n"/>
      <x:c r="O411" s="8" t="n"/>
      <x:c r="P411">
        <x:f>COUNTA(J411:N411)</x:f>
      </x:c>
      <x:c r="Q411">
        <x:f>IF(A411="","",IF(P411&lt;&gt;5,1,0))</x:f>
      </x:c>
      <x:c r="R411">
        <x:f>IF(A411="","",IF(COUNTIF($A$5:$A$604,A411)&gt;1,1,0))</x:f>
      </x:c>
    </x:row>
    <x:row r="412">
      <x:c r="A412" s="8" t="n"/>
      <x:c r="B412" s="12" t="n"/>
      <x:c r="C412" s="8" t="n"/>
      <x:c r="D412" s="8" t="n"/>
      <x:c r="E412" s="8" t="n"/>
      <x:c r="F412" s="8" t="n"/>
      <x:c r="G412" s="8" t="n"/>
      <x:c r="H412" s="8" t="n"/>
      <x:c r="I412" s="8" t="n"/>
      <x:c r="J412" s="8" t="n"/>
      <x:c r="K412" s="8" t="n"/>
      <x:c r="L412" s="8" t="n"/>
      <x:c r="M412" s="8" t="n"/>
      <x:c r="N412" s="8" t="n"/>
      <x:c r="O412" s="8" t="n"/>
      <x:c r="P412">
        <x:f>COUNTA(J412:N412)</x:f>
      </x:c>
      <x:c r="Q412">
        <x:f>IF(A412="","",IF(P412&lt;&gt;5,1,0))</x:f>
      </x:c>
      <x:c r="R412">
        <x:f>IF(A412="","",IF(COUNTIF($A$5:$A$604,A412)&gt;1,1,0))</x:f>
      </x:c>
    </x:row>
    <x:row r="413">
      <x:c r="A413" s="8" t="n"/>
      <x:c r="B413" s="12" t="n"/>
      <x:c r="C413" s="8" t="n"/>
      <x:c r="D413" s="8" t="n"/>
      <x:c r="E413" s="8" t="n"/>
      <x:c r="F413" s="8" t="n"/>
      <x:c r="G413" s="8" t="n"/>
      <x:c r="H413" s="8" t="n"/>
      <x:c r="I413" s="8" t="n"/>
      <x:c r="J413" s="8" t="n"/>
      <x:c r="K413" s="8" t="n"/>
      <x:c r="L413" s="8" t="n"/>
      <x:c r="M413" s="8" t="n"/>
      <x:c r="N413" s="8" t="n"/>
      <x:c r="O413" s="8" t="n"/>
      <x:c r="P413">
        <x:f>COUNTA(J413:N413)</x:f>
      </x:c>
      <x:c r="Q413">
        <x:f>IF(A413="","",IF(P413&lt;&gt;5,1,0))</x:f>
      </x:c>
      <x:c r="R413">
        <x:f>IF(A413="","",IF(COUNTIF($A$5:$A$604,A413)&gt;1,1,0))</x:f>
      </x:c>
    </x:row>
    <x:row r="414">
      <x:c r="A414" s="8" t="n"/>
      <x:c r="B414" s="12" t="n"/>
      <x:c r="C414" s="8" t="n"/>
      <x:c r="D414" s="8" t="n"/>
      <x:c r="E414" s="8" t="n"/>
      <x:c r="F414" s="8" t="n"/>
      <x:c r="G414" s="8" t="n"/>
      <x:c r="H414" s="8" t="n"/>
      <x:c r="I414" s="8" t="n"/>
      <x:c r="J414" s="8" t="n"/>
      <x:c r="K414" s="8" t="n"/>
      <x:c r="L414" s="8" t="n"/>
      <x:c r="M414" s="8" t="n"/>
      <x:c r="N414" s="8" t="n"/>
      <x:c r="O414" s="8" t="n"/>
      <x:c r="P414">
        <x:f>COUNTA(J414:N414)</x:f>
      </x:c>
      <x:c r="Q414">
        <x:f>IF(A414="","",IF(P414&lt;&gt;5,1,0))</x:f>
      </x:c>
      <x:c r="R414">
        <x:f>IF(A414="","",IF(COUNTIF($A$5:$A$604,A414)&gt;1,1,0))</x:f>
      </x:c>
    </x:row>
    <x:row r="415">
      <x:c r="A415" s="8" t="n"/>
      <x:c r="B415" s="12" t="n"/>
      <x:c r="C415" s="8" t="n"/>
      <x:c r="D415" s="8" t="n"/>
      <x:c r="E415" s="8" t="n"/>
      <x:c r="F415" s="8" t="n"/>
      <x:c r="G415" s="8" t="n"/>
      <x:c r="H415" s="8" t="n"/>
      <x:c r="I415" s="8" t="n"/>
      <x:c r="J415" s="8" t="n"/>
      <x:c r="K415" s="8" t="n"/>
      <x:c r="L415" s="8" t="n"/>
      <x:c r="M415" s="8" t="n"/>
      <x:c r="N415" s="8" t="n"/>
      <x:c r="O415" s="8" t="n"/>
      <x:c r="P415">
        <x:f>COUNTA(J415:N415)</x:f>
      </x:c>
      <x:c r="Q415">
        <x:f>IF(A415="","",IF(P415&lt;&gt;5,1,0))</x:f>
      </x:c>
      <x:c r="R415">
        <x:f>IF(A415="","",IF(COUNTIF($A$5:$A$604,A415)&gt;1,1,0))</x:f>
      </x:c>
    </x:row>
    <x:row r="416">
      <x:c r="A416" s="8" t="n"/>
      <x:c r="B416" s="12" t="n"/>
      <x:c r="C416" s="8" t="n"/>
      <x:c r="D416" s="8" t="n"/>
      <x:c r="E416" s="8" t="n"/>
      <x:c r="F416" s="8" t="n"/>
      <x:c r="G416" s="8" t="n"/>
      <x:c r="H416" s="8" t="n"/>
      <x:c r="I416" s="8" t="n"/>
      <x:c r="J416" s="8" t="n"/>
      <x:c r="K416" s="8" t="n"/>
      <x:c r="L416" s="8" t="n"/>
      <x:c r="M416" s="8" t="n"/>
      <x:c r="N416" s="8" t="n"/>
      <x:c r="O416" s="8" t="n"/>
      <x:c r="P416">
        <x:f>COUNTA(J416:N416)</x:f>
      </x:c>
      <x:c r="Q416">
        <x:f>IF(A416="","",IF(P416&lt;&gt;5,1,0))</x:f>
      </x:c>
      <x:c r="R416">
        <x:f>IF(A416="","",IF(COUNTIF($A$5:$A$604,A416)&gt;1,1,0))</x:f>
      </x:c>
    </x:row>
    <x:row r="417">
      <x:c r="A417" s="8" t="n"/>
      <x:c r="B417" s="12" t="n"/>
      <x:c r="C417" s="8" t="n"/>
      <x:c r="D417" s="8" t="n"/>
      <x:c r="E417" s="8" t="n"/>
      <x:c r="F417" s="8" t="n"/>
      <x:c r="G417" s="8" t="n"/>
      <x:c r="H417" s="8" t="n"/>
      <x:c r="I417" s="8" t="n"/>
      <x:c r="J417" s="8" t="n"/>
      <x:c r="K417" s="8" t="n"/>
      <x:c r="L417" s="8" t="n"/>
      <x:c r="M417" s="8" t="n"/>
      <x:c r="N417" s="8" t="n"/>
      <x:c r="O417" s="8" t="n"/>
      <x:c r="P417">
        <x:f>COUNTA(J417:N417)</x:f>
      </x:c>
      <x:c r="Q417">
        <x:f>IF(A417="","",IF(P417&lt;&gt;5,1,0))</x:f>
      </x:c>
      <x:c r="R417">
        <x:f>IF(A417="","",IF(COUNTIF($A$5:$A$604,A417)&gt;1,1,0))</x:f>
      </x:c>
    </x:row>
    <x:row r="418">
      <x:c r="A418" s="8" t="n"/>
      <x:c r="B418" s="12" t="n"/>
      <x:c r="C418" s="8" t="n"/>
      <x:c r="D418" s="8" t="n"/>
      <x:c r="E418" s="8" t="n"/>
      <x:c r="F418" s="8" t="n"/>
      <x:c r="G418" s="8" t="n"/>
      <x:c r="H418" s="8" t="n"/>
      <x:c r="I418" s="8" t="n"/>
      <x:c r="J418" s="8" t="n"/>
      <x:c r="K418" s="8" t="n"/>
      <x:c r="L418" s="8" t="n"/>
      <x:c r="M418" s="8" t="n"/>
      <x:c r="N418" s="8" t="n"/>
      <x:c r="O418" s="8" t="n"/>
      <x:c r="P418">
        <x:f>COUNTA(J418:N418)</x:f>
      </x:c>
      <x:c r="Q418">
        <x:f>IF(A418="","",IF(P418&lt;&gt;5,1,0))</x:f>
      </x:c>
      <x:c r="R418">
        <x:f>IF(A418="","",IF(COUNTIF($A$5:$A$604,A418)&gt;1,1,0))</x:f>
      </x:c>
    </x:row>
    <x:row r="419">
      <x:c r="A419" s="8" t="n"/>
      <x:c r="B419" s="12" t="n"/>
      <x:c r="C419" s="8" t="n"/>
      <x:c r="D419" s="8" t="n"/>
      <x:c r="E419" s="8" t="n"/>
      <x:c r="F419" s="8" t="n"/>
      <x:c r="G419" s="8" t="n"/>
      <x:c r="H419" s="8" t="n"/>
      <x:c r="I419" s="8" t="n"/>
      <x:c r="J419" s="8" t="n"/>
      <x:c r="K419" s="8" t="n"/>
      <x:c r="L419" s="8" t="n"/>
      <x:c r="M419" s="8" t="n"/>
      <x:c r="N419" s="8" t="n"/>
      <x:c r="O419" s="8" t="n"/>
      <x:c r="P419">
        <x:f>COUNTA(J419:N419)</x:f>
      </x:c>
      <x:c r="Q419">
        <x:f>IF(A419="","",IF(P419&lt;&gt;5,1,0))</x:f>
      </x:c>
      <x:c r="R419">
        <x:f>IF(A419="","",IF(COUNTIF($A$5:$A$604,A419)&gt;1,1,0))</x:f>
      </x:c>
    </x:row>
    <x:row r="420">
      <x:c r="A420" s="8" t="n"/>
      <x:c r="B420" s="12" t="n"/>
      <x:c r="C420" s="8" t="n"/>
      <x:c r="D420" s="8" t="n"/>
      <x:c r="E420" s="8" t="n"/>
      <x:c r="F420" s="8" t="n"/>
      <x:c r="G420" s="8" t="n"/>
      <x:c r="H420" s="8" t="n"/>
      <x:c r="I420" s="8" t="n"/>
      <x:c r="J420" s="8" t="n"/>
      <x:c r="K420" s="8" t="n"/>
      <x:c r="L420" s="8" t="n"/>
      <x:c r="M420" s="8" t="n"/>
      <x:c r="N420" s="8" t="n"/>
      <x:c r="O420" s="8" t="n"/>
      <x:c r="P420">
        <x:f>COUNTA(J420:N420)</x:f>
      </x:c>
      <x:c r="Q420">
        <x:f>IF(A420="","",IF(P420&lt;&gt;5,1,0))</x:f>
      </x:c>
      <x:c r="R420">
        <x:f>IF(A420="","",IF(COUNTIF($A$5:$A$604,A420)&gt;1,1,0))</x:f>
      </x:c>
    </x:row>
    <x:row r="421">
      <x:c r="A421" s="8" t="n"/>
      <x:c r="B421" s="12" t="n"/>
      <x:c r="C421" s="8" t="n"/>
      <x:c r="D421" s="8" t="n"/>
      <x:c r="E421" s="8" t="n"/>
      <x:c r="F421" s="8" t="n"/>
      <x:c r="G421" s="8" t="n"/>
      <x:c r="H421" s="8" t="n"/>
      <x:c r="I421" s="8" t="n"/>
      <x:c r="J421" s="8" t="n"/>
      <x:c r="K421" s="8" t="n"/>
      <x:c r="L421" s="8" t="n"/>
      <x:c r="M421" s="8" t="n"/>
      <x:c r="N421" s="8" t="n"/>
      <x:c r="O421" s="8" t="n"/>
      <x:c r="P421">
        <x:f>COUNTA(J421:N421)</x:f>
      </x:c>
      <x:c r="Q421">
        <x:f>IF(A421="","",IF(P421&lt;&gt;5,1,0))</x:f>
      </x:c>
      <x:c r="R421">
        <x:f>IF(A421="","",IF(COUNTIF($A$5:$A$604,A421)&gt;1,1,0))</x:f>
      </x:c>
    </x:row>
    <x:row r="422">
      <x:c r="A422" s="8" t="n"/>
      <x:c r="B422" s="12" t="n"/>
      <x:c r="C422" s="8" t="n"/>
      <x:c r="D422" s="8" t="n"/>
      <x:c r="E422" s="8" t="n"/>
      <x:c r="F422" s="8" t="n"/>
      <x:c r="G422" s="8" t="n"/>
      <x:c r="H422" s="8" t="n"/>
      <x:c r="I422" s="8" t="n"/>
      <x:c r="J422" s="8" t="n"/>
      <x:c r="K422" s="8" t="n"/>
      <x:c r="L422" s="8" t="n"/>
      <x:c r="M422" s="8" t="n"/>
      <x:c r="N422" s="8" t="n"/>
      <x:c r="O422" s="8" t="n"/>
      <x:c r="P422">
        <x:f>COUNTA(J422:N422)</x:f>
      </x:c>
      <x:c r="Q422">
        <x:f>IF(A422="","",IF(P422&lt;&gt;5,1,0))</x:f>
      </x:c>
      <x:c r="R422">
        <x:f>IF(A422="","",IF(COUNTIF($A$5:$A$604,A422)&gt;1,1,0))</x:f>
      </x:c>
    </x:row>
    <x:row r="423">
      <x:c r="A423" s="8" t="n"/>
      <x:c r="B423" s="12" t="n"/>
      <x:c r="C423" s="8" t="n"/>
      <x:c r="D423" s="8" t="n"/>
      <x:c r="E423" s="8" t="n"/>
      <x:c r="F423" s="8" t="n"/>
      <x:c r="G423" s="8" t="n"/>
      <x:c r="H423" s="8" t="n"/>
      <x:c r="I423" s="8" t="n"/>
      <x:c r="J423" s="8" t="n"/>
      <x:c r="K423" s="8" t="n"/>
      <x:c r="L423" s="8" t="n"/>
      <x:c r="M423" s="8" t="n"/>
      <x:c r="N423" s="8" t="n"/>
      <x:c r="O423" s="8" t="n"/>
      <x:c r="P423">
        <x:f>COUNTA(J423:N423)</x:f>
      </x:c>
      <x:c r="Q423">
        <x:f>IF(A423="","",IF(P423&lt;&gt;5,1,0))</x:f>
      </x:c>
      <x:c r="R423">
        <x:f>IF(A423="","",IF(COUNTIF($A$5:$A$604,A423)&gt;1,1,0))</x:f>
      </x:c>
    </x:row>
    <x:row r="424">
      <x:c r="A424" s="8" t="n"/>
      <x:c r="B424" s="12" t="n"/>
      <x:c r="C424" s="8" t="n"/>
      <x:c r="D424" s="8" t="n"/>
      <x:c r="E424" s="8" t="n"/>
      <x:c r="F424" s="8" t="n"/>
      <x:c r="G424" s="8" t="n"/>
      <x:c r="H424" s="8" t="n"/>
      <x:c r="I424" s="8" t="n"/>
      <x:c r="J424" s="8" t="n"/>
      <x:c r="K424" s="8" t="n"/>
      <x:c r="L424" s="8" t="n"/>
      <x:c r="M424" s="8" t="n"/>
      <x:c r="N424" s="8" t="n"/>
      <x:c r="O424" s="8" t="n"/>
      <x:c r="P424">
        <x:f>COUNTA(J424:N424)</x:f>
      </x:c>
      <x:c r="Q424">
        <x:f>IF(A424="","",IF(P424&lt;&gt;5,1,0))</x:f>
      </x:c>
      <x:c r="R424">
        <x:f>IF(A424="","",IF(COUNTIF($A$5:$A$604,A424)&gt;1,1,0))</x:f>
      </x:c>
    </x:row>
    <x:row r="425">
      <x:c r="A425" s="8" t="n"/>
      <x:c r="B425" s="12" t="n"/>
      <x:c r="C425" s="8" t="n"/>
      <x:c r="D425" s="8" t="n"/>
      <x:c r="E425" s="8" t="n"/>
      <x:c r="F425" s="8" t="n"/>
      <x:c r="G425" s="8" t="n"/>
      <x:c r="H425" s="8" t="n"/>
      <x:c r="I425" s="8" t="n"/>
      <x:c r="J425" s="8" t="n"/>
      <x:c r="K425" s="8" t="n"/>
      <x:c r="L425" s="8" t="n"/>
      <x:c r="M425" s="8" t="n"/>
      <x:c r="N425" s="8" t="n"/>
      <x:c r="O425" s="8" t="n"/>
      <x:c r="P425">
        <x:f>COUNTA(J425:N425)</x:f>
      </x:c>
      <x:c r="Q425">
        <x:f>IF(A425="","",IF(P425&lt;&gt;5,1,0))</x:f>
      </x:c>
      <x:c r="R425">
        <x:f>IF(A425="","",IF(COUNTIF($A$5:$A$604,A425)&gt;1,1,0))</x:f>
      </x:c>
    </x:row>
    <x:row r="426">
      <x:c r="A426" s="8" t="n"/>
      <x:c r="B426" s="12" t="n"/>
      <x:c r="C426" s="8" t="n"/>
      <x:c r="D426" s="8" t="n"/>
      <x:c r="E426" s="8" t="n"/>
      <x:c r="F426" s="8" t="n"/>
      <x:c r="G426" s="8" t="n"/>
      <x:c r="H426" s="8" t="n"/>
      <x:c r="I426" s="8" t="n"/>
      <x:c r="J426" s="8" t="n"/>
      <x:c r="K426" s="8" t="n"/>
      <x:c r="L426" s="8" t="n"/>
      <x:c r="M426" s="8" t="n"/>
      <x:c r="N426" s="8" t="n"/>
      <x:c r="O426" s="8" t="n"/>
      <x:c r="P426">
        <x:f>COUNTA(J426:N426)</x:f>
      </x:c>
      <x:c r="Q426">
        <x:f>IF(A426="","",IF(P426&lt;&gt;5,1,0))</x:f>
      </x:c>
      <x:c r="R426">
        <x:f>IF(A426="","",IF(COUNTIF($A$5:$A$604,A426)&gt;1,1,0))</x:f>
      </x:c>
    </x:row>
    <x:row r="427">
      <x:c r="A427" s="8" t="n"/>
      <x:c r="B427" s="12" t="n"/>
      <x:c r="C427" s="8" t="n"/>
      <x:c r="D427" s="8" t="n"/>
      <x:c r="E427" s="8" t="n"/>
      <x:c r="F427" s="8" t="n"/>
      <x:c r="G427" s="8" t="n"/>
      <x:c r="H427" s="8" t="n"/>
      <x:c r="I427" s="8" t="n"/>
      <x:c r="J427" s="8" t="n"/>
      <x:c r="K427" s="8" t="n"/>
      <x:c r="L427" s="8" t="n"/>
      <x:c r="M427" s="8" t="n"/>
      <x:c r="N427" s="8" t="n"/>
      <x:c r="O427" s="8" t="n"/>
      <x:c r="P427">
        <x:f>COUNTA(J427:N427)</x:f>
      </x:c>
      <x:c r="Q427">
        <x:f>IF(A427="","",IF(P427&lt;&gt;5,1,0))</x:f>
      </x:c>
      <x:c r="R427">
        <x:f>IF(A427="","",IF(COUNTIF($A$5:$A$604,A427)&gt;1,1,0))</x:f>
      </x:c>
    </x:row>
    <x:row r="428">
      <x:c r="A428" s="8" t="n"/>
      <x:c r="B428" s="12" t="n"/>
      <x:c r="C428" s="8" t="n"/>
      <x:c r="D428" s="8" t="n"/>
      <x:c r="E428" s="8" t="n"/>
      <x:c r="F428" s="8" t="n"/>
      <x:c r="G428" s="8" t="n"/>
      <x:c r="H428" s="8" t="n"/>
      <x:c r="I428" s="8" t="n"/>
      <x:c r="J428" s="8" t="n"/>
      <x:c r="K428" s="8" t="n"/>
      <x:c r="L428" s="8" t="n"/>
      <x:c r="M428" s="8" t="n"/>
      <x:c r="N428" s="8" t="n"/>
      <x:c r="O428" s="8" t="n"/>
      <x:c r="P428">
        <x:f>COUNTA(J428:N428)</x:f>
      </x:c>
      <x:c r="Q428">
        <x:f>IF(A428="","",IF(P428&lt;&gt;5,1,0))</x:f>
      </x:c>
      <x:c r="R428">
        <x:f>IF(A428="","",IF(COUNTIF($A$5:$A$604,A428)&gt;1,1,0))</x:f>
      </x:c>
    </x:row>
    <x:row r="429">
      <x:c r="A429" s="8" t="n"/>
      <x:c r="B429" s="12" t="n"/>
      <x:c r="C429" s="8" t="n"/>
      <x:c r="D429" s="8" t="n"/>
      <x:c r="E429" s="8" t="n"/>
      <x:c r="F429" s="8" t="n"/>
      <x:c r="G429" s="8" t="n"/>
      <x:c r="H429" s="8" t="n"/>
      <x:c r="I429" s="8" t="n"/>
      <x:c r="J429" s="8" t="n"/>
      <x:c r="K429" s="8" t="n"/>
      <x:c r="L429" s="8" t="n"/>
      <x:c r="M429" s="8" t="n"/>
      <x:c r="N429" s="8" t="n"/>
      <x:c r="O429" s="8" t="n"/>
      <x:c r="P429">
        <x:f>COUNTA(J429:N429)</x:f>
      </x:c>
      <x:c r="Q429">
        <x:f>IF(A429="","",IF(P429&lt;&gt;5,1,0))</x:f>
      </x:c>
      <x:c r="R429">
        <x:f>IF(A429="","",IF(COUNTIF($A$5:$A$604,A429)&gt;1,1,0))</x:f>
      </x:c>
    </x:row>
    <x:row r="430">
      <x:c r="A430" s="8" t="n"/>
      <x:c r="B430" s="12" t="n"/>
      <x:c r="C430" s="8" t="n"/>
      <x:c r="D430" s="8" t="n"/>
      <x:c r="E430" s="8" t="n"/>
      <x:c r="F430" s="8" t="n"/>
      <x:c r="G430" s="8" t="n"/>
      <x:c r="H430" s="8" t="n"/>
      <x:c r="I430" s="8" t="n"/>
      <x:c r="J430" s="8" t="n"/>
      <x:c r="K430" s="8" t="n"/>
      <x:c r="L430" s="8" t="n"/>
      <x:c r="M430" s="8" t="n"/>
      <x:c r="N430" s="8" t="n"/>
      <x:c r="O430" s="8" t="n"/>
      <x:c r="P430">
        <x:f>COUNTA(J430:N430)</x:f>
      </x:c>
      <x:c r="Q430">
        <x:f>IF(A430="","",IF(P430&lt;&gt;5,1,0))</x:f>
      </x:c>
      <x:c r="R430">
        <x:f>IF(A430="","",IF(COUNTIF($A$5:$A$604,A430)&gt;1,1,0))</x:f>
      </x:c>
    </x:row>
    <x:row r="431">
      <x:c r="A431" s="8" t="n"/>
      <x:c r="B431" s="12" t="n"/>
      <x:c r="C431" s="8" t="n"/>
      <x:c r="D431" s="8" t="n"/>
      <x:c r="E431" s="8" t="n"/>
      <x:c r="F431" s="8" t="n"/>
      <x:c r="G431" s="8" t="n"/>
      <x:c r="H431" s="8" t="n"/>
      <x:c r="I431" s="8" t="n"/>
      <x:c r="J431" s="8" t="n"/>
      <x:c r="K431" s="8" t="n"/>
      <x:c r="L431" s="8" t="n"/>
      <x:c r="M431" s="8" t="n"/>
      <x:c r="N431" s="8" t="n"/>
      <x:c r="O431" s="8" t="n"/>
      <x:c r="P431">
        <x:f>COUNTA(J431:N431)</x:f>
      </x:c>
      <x:c r="Q431">
        <x:f>IF(A431="","",IF(P431&lt;&gt;5,1,0))</x:f>
      </x:c>
      <x:c r="R431">
        <x:f>IF(A431="","",IF(COUNTIF($A$5:$A$604,A431)&gt;1,1,0))</x:f>
      </x:c>
    </x:row>
    <x:row r="432">
      <x:c r="A432" s="8" t="n"/>
      <x:c r="B432" s="12" t="n"/>
      <x:c r="C432" s="8" t="n"/>
      <x:c r="D432" s="8" t="n"/>
      <x:c r="E432" s="8" t="n"/>
      <x:c r="F432" s="8" t="n"/>
      <x:c r="G432" s="8" t="n"/>
      <x:c r="H432" s="8" t="n"/>
      <x:c r="I432" s="8" t="n"/>
      <x:c r="J432" s="8" t="n"/>
      <x:c r="K432" s="8" t="n"/>
      <x:c r="L432" s="8" t="n"/>
      <x:c r="M432" s="8" t="n"/>
      <x:c r="N432" s="8" t="n"/>
      <x:c r="O432" s="8" t="n"/>
      <x:c r="P432">
        <x:f>COUNTA(J432:N432)</x:f>
      </x:c>
      <x:c r="Q432">
        <x:f>IF(A432="","",IF(P432&lt;&gt;5,1,0))</x:f>
      </x:c>
      <x:c r="R432">
        <x:f>IF(A432="","",IF(COUNTIF($A$5:$A$604,A432)&gt;1,1,0))</x:f>
      </x:c>
    </x:row>
    <x:row r="433">
      <x:c r="A433" s="8" t="n"/>
      <x:c r="B433" s="12" t="n"/>
      <x:c r="C433" s="8" t="n"/>
      <x:c r="D433" s="8" t="n"/>
      <x:c r="E433" s="8" t="n"/>
      <x:c r="F433" s="8" t="n"/>
      <x:c r="G433" s="8" t="n"/>
      <x:c r="H433" s="8" t="n"/>
      <x:c r="I433" s="8" t="n"/>
      <x:c r="J433" s="8" t="n"/>
      <x:c r="K433" s="8" t="n"/>
      <x:c r="L433" s="8" t="n"/>
      <x:c r="M433" s="8" t="n"/>
      <x:c r="N433" s="8" t="n"/>
      <x:c r="O433" s="8" t="n"/>
      <x:c r="P433">
        <x:f>COUNTA(J433:N433)</x:f>
      </x:c>
      <x:c r="Q433">
        <x:f>IF(A433="","",IF(P433&lt;&gt;5,1,0))</x:f>
      </x:c>
      <x:c r="R433">
        <x:f>IF(A433="","",IF(COUNTIF($A$5:$A$604,A433)&gt;1,1,0))</x:f>
      </x:c>
    </x:row>
    <x:row r="434">
      <x:c r="A434" s="8" t="n"/>
      <x:c r="B434" s="12" t="n"/>
      <x:c r="C434" s="8" t="n"/>
      <x:c r="D434" s="8" t="n"/>
      <x:c r="E434" s="8" t="n"/>
      <x:c r="F434" s="8" t="n"/>
      <x:c r="G434" s="8" t="n"/>
      <x:c r="H434" s="8" t="n"/>
      <x:c r="I434" s="8" t="n"/>
      <x:c r="J434" s="8" t="n"/>
      <x:c r="K434" s="8" t="n"/>
      <x:c r="L434" s="8" t="n"/>
      <x:c r="M434" s="8" t="n"/>
      <x:c r="N434" s="8" t="n"/>
      <x:c r="O434" s="8" t="n"/>
      <x:c r="P434">
        <x:f>COUNTA(J434:N434)</x:f>
      </x:c>
      <x:c r="Q434">
        <x:f>IF(A434="","",IF(P434&lt;&gt;5,1,0))</x:f>
      </x:c>
      <x:c r="R434">
        <x:f>IF(A434="","",IF(COUNTIF($A$5:$A$604,A434)&gt;1,1,0))</x:f>
      </x:c>
    </x:row>
    <x:row r="435">
      <x:c r="A435" s="8" t="n"/>
      <x:c r="B435" s="12" t="n"/>
      <x:c r="C435" s="8" t="n"/>
      <x:c r="D435" s="8" t="n"/>
      <x:c r="E435" s="8" t="n"/>
      <x:c r="F435" s="8" t="n"/>
      <x:c r="G435" s="8" t="n"/>
      <x:c r="H435" s="8" t="n"/>
      <x:c r="I435" s="8" t="n"/>
      <x:c r="J435" s="8" t="n"/>
      <x:c r="K435" s="8" t="n"/>
      <x:c r="L435" s="8" t="n"/>
      <x:c r="M435" s="8" t="n"/>
      <x:c r="N435" s="8" t="n"/>
      <x:c r="O435" s="8" t="n"/>
      <x:c r="P435">
        <x:f>COUNTA(J435:N435)</x:f>
      </x:c>
      <x:c r="Q435">
        <x:f>IF(A435="","",IF(P435&lt;&gt;5,1,0))</x:f>
      </x:c>
      <x:c r="R435">
        <x:f>IF(A435="","",IF(COUNTIF($A$5:$A$604,A435)&gt;1,1,0))</x:f>
      </x:c>
    </x:row>
    <x:row r="436">
      <x:c r="A436" s="8" t="n"/>
      <x:c r="B436" s="12" t="n"/>
      <x:c r="C436" s="8" t="n"/>
      <x:c r="D436" s="8" t="n"/>
      <x:c r="E436" s="8" t="n"/>
      <x:c r="F436" s="8" t="n"/>
      <x:c r="G436" s="8" t="n"/>
      <x:c r="H436" s="8" t="n"/>
      <x:c r="I436" s="8" t="n"/>
      <x:c r="J436" s="8" t="n"/>
      <x:c r="K436" s="8" t="n"/>
      <x:c r="L436" s="8" t="n"/>
      <x:c r="M436" s="8" t="n"/>
      <x:c r="N436" s="8" t="n"/>
      <x:c r="O436" s="8" t="n"/>
      <x:c r="P436">
        <x:f>COUNTA(J436:N436)</x:f>
      </x:c>
      <x:c r="Q436">
        <x:f>IF(A436="","",IF(P436&lt;&gt;5,1,0))</x:f>
      </x:c>
      <x:c r="R436">
        <x:f>IF(A436="","",IF(COUNTIF($A$5:$A$604,A436)&gt;1,1,0))</x:f>
      </x:c>
    </x:row>
    <x:row r="437">
      <x:c r="A437" s="8" t="n"/>
      <x:c r="B437" s="12" t="n"/>
      <x:c r="C437" s="8" t="n"/>
      <x:c r="D437" s="8" t="n"/>
      <x:c r="E437" s="8" t="n"/>
      <x:c r="F437" s="8" t="n"/>
      <x:c r="G437" s="8" t="n"/>
      <x:c r="H437" s="8" t="n"/>
      <x:c r="I437" s="8" t="n"/>
      <x:c r="J437" s="8" t="n"/>
      <x:c r="K437" s="8" t="n"/>
      <x:c r="L437" s="8" t="n"/>
      <x:c r="M437" s="8" t="n"/>
      <x:c r="N437" s="8" t="n"/>
      <x:c r="O437" s="8" t="n"/>
      <x:c r="P437">
        <x:f>COUNTA(J437:N437)</x:f>
      </x:c>
      <x:c r="Q437">
        <x:f>IF(A437="","",IF(P437&lt;&gt;5,1,0))</x:f>
      </x:c>
      <x:c r="R437">
        <x:f>IF(A437="","",IF(COUNTIF($A$5:$A$604,A437)&gt;1,1,0))</x:f>
      </x:c>
    </x:row>
    <x:row r="438">
      <x:c r="A438" s="8" t="n"/>
      <x:c r="B438" s="12" t="n"/>
      <x:c r="C438" s="8" t="n"/>
      <x:c r="D438" s="8" t="n"/>
      <x:c r="E438" s="8" t="n"/>
      <x:c r="F438" s="8" t="n"/>
      <x:c r="G438" s="8" t="n"/>
      <x:c r="H438" s="8" t="n"/>
      <x:c r="I438" s="8" t="n"/>
      <x:c r="J438" s="8" t="n"/>
      <x:c r="K438" s="8" t="n"/>
      <x:c r="L438" s="8" t="n"/>
      <x:c r="M438" s="8" t="n"/>
      <x:c r="N438" s="8" t="n"/>
      <x:c r="O438" s="8" t="n"/>
      <x:c r="P438">
        <x:f>COUNTA(J438:N438)</x:f>
      </x:c>
      <x:c r="Q438">
        <x:f>IF(A438="","",IF(P438&lt;&gt;5,1,0))</x:f>
      </x:c>
      <x:c r="R438">
        <x:f>IF(A438="","",IF(COUNTIF($A$5:$A$604,A438)&gt;1,1,0))</x:f>
      </x:c>
    </x:row>
    <x:row r="439">
      <x:c r="A439" s="8" t="n"/>
      <x:c r="B439" s="12" t="n"/>
      <x:c r="C439" s="8" t="n"/>
      <x:c r="D439" s="8" t="n"/>
      <x:c r="E439" s="8" t="n"/>
      <x:c r="F439" s="8" t="n"/>
      <x:c r="G439" s="8" t="n"/>
      <x:c r="H439" s="8" t="n"/>
      <x:c r="I439" s="8" t="n"/>
      <x:c r="J439" s="8" t="n"/>
      <x:c r="K439" s="8" t="n"/>
      <x:c r="L439" s="8" t="n"/>
      <x:c r="M439" s="8" t="n"/>
      <x:c r="N439" s="8" t="n"/>
      <x:c r="O439" s="8" t="n"/>
      <x:c r="P439">
        <x:f>COUNTA(J439:N439)</x:f>
      </x:c>
      <x:c r="Q439">
        <x:f>IF(A439="","",IF(P439&lt;&gt;5,1,0))</x:f>
      </x:c>
      <x:c r="R439">
        <x:f>IF(A439="","",IF(COUNTIF($A$5:$A$604,A439)&gt;1,1,0))</x:f>
      </x:c>
    </x:row>
    <x:row r="440">
      <x:c r="A440" s="8" t="n"/>
      <x:c r="B440" s="12" t="n"/>
      <x:c r="C440" s="8" t="n"/>
      <x:c r="D440" s="8" t="n"/>
      <x:c r="E440" s="8" t="n"/>
      <x:c r="F440" s="8" t="n"/>
      <x:c r="G440" s="8" t="n"/>
      <x:c r="H440" s="8" t="n"/>
      <x:c r="I440" s="8" t="n"/>
      <x:c r="J440" s="8" t="n"/>
      <x:c r="K440" s="8" t="n"/>
      <x:c r="L440" s="8" t="n"/>
      <x:c r="M440" s="8" t="n"/>
      <x:c r="N440" s="8" t="n"/>
      <x:c r="O440" s="8" t="n"/>
      <x:c r="P440">
        <x:f>COUNTA(J440:N440)</x:f>
      </x:c>
      <x:c r="Q440">
        <x:f>IF(A440="","",IF(P440&lt;&gt;5,1,0))</x:f>
      </x:c>
      <x:c r="R440">
        <x:f>IF(A440="","",IF(COUNTIF($A$5:$A$604,A440)&gt;1,1,0))</x:f>
      </x:c>
    </x:row>
    <x:row r="441">
      <x:c r="A441" s="8" t="n"/>
      <x:c r="B441" s="12" t="n"/>
      <x:c r="C441" s="8" t="n"/>
      <x:c r="D441" s="8" t="n"/>
      <x:c r="E441" s="8" t="n"/>
      <x:c r="F441" s="8" t="n"/>
      <x:c r="G441" s="8" t="n"/>
      <x:c r="H441" s="8" t="n"/>
      <x:c r="I441" s="8" t="n"/>
      <x:c r="J441" s="8" t="n"/>
      <x:c r="K441" s="8" t="n"/>
      <x:c r="L441" s="8" t="n"/>
      <x:c r="M441" s="8" t="n"/>
      <x:c r="N441" s="8" t="n"/>
      <x:c r="O441" s="8" t="n"/>
      <x:c r="P441">
        <x:f>COUNTA(J441:N441)</x:f>
      </x:c>
      <x:c r="Q441">
        <x:f>IF(A441="","",IF(P441&lt;&gt;5,1,0))</x:f>
      </x:c>
      <x:c r="R441">
        <x:f>IF(A441="","",IF(COUNTIF($A$5:$A$604,A441)&gt;1,1,0))</x:f>
      </x:c>
    </x:row>
    <x:row r="442">
      <x:c r="A442" s="8" t="n"/>
      <x:c r="B442" s="12" t="n"/>
      <x:c r="C442" s="8" t="n"/>
      <x:c r="D442" s="8" t="n"/>
      <x:c r="E442" s="8" t="n"/>
      <x:c r="F442" s="8" t="n"/>
      <x:c r="G442" s="8" t="n"/>
      <x:c r="H442" s="8" t="n"/>
      <x:c r="I442" s="8" t="n"/>
      <x:c r="J442" s="8" t="n"/>
      <x:c r="K442" s="8" t="n"/>
      <x:c r="L442" s="8" t="n"/>
      <x:c r="M442" s="8" t="n"/>
      <x:c r="N442" s="8" t="n"/>
      <x:c r="O442" s="8" t="n"/>
      <x:c r="P442">
        <x:f>COUNTA(J442:N442)</x:f>
      </x:c>
      <x:c r="Q442">
        <x:f>IF(A442="","",IF(P442&lt;&gt;5,1,0))</x:f>
      </x:c>
      <x:c r="R442">
        <x:f>IF(A442="","",IF(COUNTIF($A$5:$A$604,A442)&gt;1,1,0))</x:f>
      </x:c>
    </x:row>
    <x:row r="443">
      <x:c r="A443" s="8" t="n"/>
      <x:c r="B443" s="12" t="n"/>
      <x:c r="C443" s="8" t="n"/>
      <x:c r="D443" s="8" t="n"/>
      <x:c r="E443" s="8" t="n"/>
      <x:c r="F443" s="8" t="n"/>
      <x:c r="G443" s="8" t="n"/>
      <x:c r="H443" s="8" t="n"/>
      <x:c r="I443" s="8" t="n"/>
      <x:c r="J443" s="8" t="n"/>
      <x:c r="K443" s="8" t="n"/>
      <x:c r="L443" s="8" t="n"/>
      <x:c r="M443" s="8" t="n"/>
      <x:c r="N443" s="8" t="n"/>
      <x:c r="O443" s="8" t="n"/>
      <x:c r="P443">
        <x:f>COUNTA(J443:N443)</x:f>
      </x:c>
      <x:c r="Q443">
        <x:f>IF(A443="","",IF(P443&lt;&gt;5,1,0))</x:f>
      </x:c>
      <x:c r="R443">
        <x:f>IF(A443="","",IF(COUNTIF($A$5:$A$604,A443)&gt;1,1,0))</x:f>
      </x:c>
    </x:row>
    <x:row r="444">
      <x:c r="A444" s="8" t="n"/>
      <x:c r="B444" s="12" t="n"/>
      <x:c r="C444" s="8" t="n"/>
      <x:c r="D444" s="8" t="n"/>
      <x:c r="E444" s="8" t="n"/>
      <x:c r="F444" s="8" t="n"/>
      <x:c r="G444" s="8" t="n"/>
      <x:c r="H444" s="8" t="n"/>
      <x:c r="I444" s="8" t="n"/>
      <x:c r="J444" s="8" t="n"/>
      <x:c r="K444" s="8" t="n"/>
      <x:c r="L444" s="8" t="n"/>
      <x:c r="M444" s="8" t="n"/>
      <x:c r="N444" s="8" t="n"/>
      <x:c r="O444" s="8" t="n"/>
      <x:c r="P444">
        <x:f>COUNTA(J444:N444)</x:f>
      </x:c>
      <x:c r="Q444">
        <x:f>IF(A444="","",IF(P444&lt;&gt;5,1,0))</x:f>
      </x:c>
      <x:c r="R444">
        <x:f>IF(A444="","",IF(COUNTIF($A$5:$A$604,A444)&gt;1,1,0))</x:f>
      </x:c>
    </x:row>
    <x:row r="445">
      <x:c r="A445" s="8" t="n"/>
      <x:c r="B445" s="12" t="n"/>
      <x:c r="C445" s="8" t="n"/>
      <x:c r="D445" s="8" t="n"/>
      <x:c r="E445" s="8" t="n"/>
      <x:c r="F445" s="8" t="n"/>
      <x:c r="G445" s="8" t="n"/>
      <x:c r="H445" s="8" t="n"/>
      <x:c r="I445" s="8" t="n"/>
      <x:c r="J445" s="8" t="n"/>
      <x:c r="K445" s="8" t="n"/>
      <x:c r="L445" s="8" t="n"/>
      <x:c r="M445" s="8" t="n"/>
      <x:c r="N445" s="8" t="n"/>
      <x:c r="O445" s="8" t="n"/>
      <x:c r="P445">
        <x:f>COUNTA(J445:N445)</x:f>
      </x:c>
      <x:c r="Q445">
        <x:f>IF(A445="","",IF(P445&lt;&gt;5,1,0))</x:f>
      </x:c>
      <x:c r="R445">
        <x:f>IF(A445="","",IF(COUNTIF($A$5:$A$604,A445)&gt;1,1,0))</x:f>
      </x:c>
    </x:row>
    <x:row r="446">
      <x:c r="A446" s="8" t="n"/>
      <x:c r="B446" s="12" t="n"/>
      <x:c r="C446" s="8" t="n"/>
      <x:c r="D446" s="8" t="n"/>
      <x:c r="E446" s="8" t="n"/>
      <x:c r="F446" s="8" t="n"/>
      <x:c r="G446" s="8" t="n"/>
      <x:c r="H446" s="8" t="n"/>
      <x:c r="I446" s="8" t="n"/>
      <x:c r="J446" s="8" t="n"/>
      <x:c r="K446" s="8" t="n"/>
      <x:c r="L446" s="8" t="n"/>
      <x:c r="M446" s="8" t="n"/>
      <x:c r="N446" s="8" t="n"/>
      <x:c r="O446" s="8" t="n"/>
      <x:c r="P446">
        <x:f>COUNTA(J446:N446)</x:f>
      </x:c>
      <x:c r="Q446">
        <x:f>IF(A446="","",IF(P446&lt;&gt;5,1,0))</x:f>
      </x:c>
      <x:c r="R446">
        <x:f>IF(A446="","",IF(COUNTIF($A$5:$A$604,A446)&gt;1,1,0))</x:f>
      </x:c>
    </x:row>
    <x:row r="447">
      <x:c r="A447" s="8" t="n"/>
      <x:c r="B447" s="12" t="n"/>
      <x:c r="C447" s="8" t="n"/>
      <x:c r="D447" s="8" t="n"/>
      <x:c r="E447" s="8" t="n"/>
      <x:c r="F447" s="8" t="n"/>
      <x:c r="G447" s="8" t="n"/>
      <x:c r="H447" s="8" t="n"/>
      <x:c r="I447" s="8" t="n"/>
      <x:c r="J447" s="8" t="n"/>
      <x:c r="K447" s="8" t="n"/>
      <x:c r="L447" s="8" t="n"/>
      <x:c r="M447" s="8" t="n"/>
      <x:c r="N447" s="8" t="n"/>
      <x:c r="O447" s="8" t="n"/>
      <x:c r="P447">
        <x:f>COUNTA(J447:N447)</x:f>
      </x:c>
      <x:c r="Q447">
        <x:f>IF(A447="","",IF(P447&lt;&gt;5,1,0))</x:f>
      </x:c>
      <x:c r="R447">
        <x:f>IF(A447="","",IF(COUNTIF($A$5:$A$604,A447)&gt;1,1,0))</x:f>
      </x:c>
    </x:row>
    <x:row r="448">
      <x:c r="A448" s="8" t="n"/>
      <x:c r="B448" s="12" t="n"/>
      <x:c r="C448" s="8" t="n"/>
      <x:c r="D448" s="8" t="n"/>
      <x:c r="E448" s="8" t="n"/>
      <x:c r="F448" s="8" t="n"/>
      <x:c r="G448" s="8" t="n"/>
      <x:c r="H448" s="8" t="n"/>
      <x:c r="I448" s="8" t="n"/>
      <x:c r="J448" s="8" t="n"/>
      <x:c r="K448" s="8" t="n"/>
      <x:c r="L448" s="8" t="n"/>
      <x:c r="M448" s="8" t="n"/>
      <x:c r="N448" s="8" t="n"/>
      <x:c r="O448" s="8" t="n"/>
      <x:c r="P448">
        <x:f>COUNTA(J448:N448)</x:f>
      </x:c>
      <x:c r="Q448">
        <x:f>IF(A448="","",IF(P448&lt;&gt;5,1,0))</x:f>
      </x:c>
      <x:c r="R448">
        <x:f>IF(A448="","",IF(COUNTIF($A$5:$A$604,A448)&gt;1,1,0))</x:f>
      </x:c>
    </x:row>
    <x:row r="449">
      <x:c r="A449" s="8" t="n"/>
      <x:c r="B449" s="12" t="n"/>
      <x:c r="C449" s="8" t="n"/>
      <x:c r="D449" s="8" t="n"/>
      <x:c r="E449" s="8" t="n"/>
      <x:c r="F449" s="8" t="n"/>
      <x:c r="G449" s="8" t="n"/>
      <x:c r="H449" s="8" t="n"/>
      <x:c r="I449" s="8" t="n"/>
      <x:c r="J449" s="8" t="n"/>
      <x:c r="K449" s="8" t="n"/>
      <x:c r="L449" s="8" t="n"/>
      <x:c r="M449" s="8" t="n"/>
      <x:c r="N449" s="8" t="n"/>
      <x:c r="O449" s="8" t="n"/>
      <x:c r="P449">
        <x:f>COUNTA(J449:N449)</x:f>
      </x:c>
      <x:c r="Q449">
        <x:f>IF(A449="","",IF(P449&lt;&gt;5,1,0))</x:f>
      </x:c>
      <x:c r="R449">
        <x:f>IF(A449="","",IF(COUNTIF($A$5:$A$604,A449)&gt;1,1,0))</x:f>
      </x:c>
    </x:row>
    <x:row r="450">
      <x:c r="A450" s="8" t="n"/>
      <x:c r="B450" s="12" t="n"/>
      <x:c r="C450" s="8" t="n"/>
      <x:c r="D450" s="8" t="n"/>
      <x:c r="E450" s="8" t="n"/>
      <x:c r="F450" s="8" t="n"/>
      <x:c r="G450" s="8" t="n"/>
      <x:c r="H450" s="8" t="n"/>
      <x:c r="I450" s="8" t="n"/>
      <x:c r="J450" s="8" t="n"/>
      <x:c r="K450" s="8" t="n"/>
      <x:c r="L450" s="8" t="n"/>
      <x:c r="M450" s="8" t="n"/>
      <x:c r="N450" s="8" t="n"/>
      <x:c r="O450" s="8" t="n"/>
      <x:c r="P450">
        <x:f>COUNTA(J450:N450)</x:f>
      </x:c>
      <x:c r="Q450">
        <x:f>IF(A450="","",IF(P450&lt;&gt;5,1,0))</x:f>
      </x:c>
      <x:c r="R450">
        <x:f>IF(A450="","",IF(COUNTIF($A$5:$A$604,A450)&gt;1,1,0))</x:f>
      </x:c>
    </x:row>
    <x:row r="451">
      <x:c r="A451" s="8" t="n"/>
      <x:c r="B451" s="12" t="n"/>
      <x:c r="C451" s="8" t="n"/>
      <x:c r="D451" s="8" t="n"/>
      <x:c r="E451" s="8" t="n"/>
      <x:c r="F451" s="8" t="n"/>
      <x:c r="G451" s="8" t="n"/>
      <x:c r="H451" s="8" t="n"/>
      <x:c r="I451" s="8" t="n"/>
      <x:c r="J451" s="8" t="n"/>
      <x:c r="K451" s="8" t="n"/>
      <x:c r="L451" s="8" t="n"/>
      <x:c r="M451" s="8" t="n"/>
      <x:c r="N451" s="8" t="n"/>
      <x:c r="O451" s="8" t="n"/>
      <x:c r="P451">
        <x:f>COUNTA(J451:N451)</x:f>
      </x:c>
      <x:c r="Q451">
        <x:f>IF(A451="","",IF(P451&lt;&gt;5,1,0))</x:f>
      </x:c>
      <x:c r="R451">
        <x:f>IF(A451="","",IF(COUNTIF($A$5:$A$604,A451)&gt;1,1,0))</x:f>
      </x:c>
    </x:row>
    <x:row r="452">
      <x:c r="A452" s="8" t="n"/>
      <x:c r="B452" s="12" t="n"/>
      <x:c r="C452" s="8" t="n"/>
      <x:c r="D452" s="8" t="n"/>
      <x:c r="E452" s="8" t="n"/>
      <x:c r="F452" s="8" t="n"/>
      <x:c r="G452" s="8" t="n"/>
      <x:c r="H452" s="8" t="n"/>
      <x:c r="I452" s="8" t="n"/>
      <x:c r="J452" s="8" t="n"/>
      <x:c r="K452" s="8" t="n"/>
      <x:c r="L452" s="8" t="n"/>
      <x:c r="M452" s="8" t="n"/>
      <x:c r="N452" s="8" t="n"/>
      <x:c r="O452" s="8" t="n"/>
      <x:c r="P452">
        <x:f>COUNTA(J452:N452)</x:f>
      </x:c>
      <x:c r="Q452">
        <x:f>IF(A452="","",IF(P452&lt;&gt;5,1,0))</x:f>
      </x:c>
      <x:c r="R452">
        <x:f>IF(A452="","",IF(COUNTIF($A$5:$A$604,A452)&gt;1,1,0))</x:f>
      </x:c>
    </x:row>
    <x:row r="453">
      <x:c r="A453" s="8" t="n"/>
      <x:c r="B453" s="12" t="n"/>
      <x:c r="C453" s="8" t="n"/>
      <x:c r="D453" s="8" t="n"/>
      <x:c r="E453" s="8" t="n"/>
      <x:c r="F453" s="8" t="n"/>
      <x:c r="G453" s="8" t="n"/>
      <x:c r="H453" s="8" t="n"/>
      <x:c r="I453" s="8" t="n"/>
      <x:c r="J453" s="8" t="n"/>
      <x:c r="K453" s="8" t="n"/>
      <x:c r="L453" s="8" t="n"/>
      <x:c r="M453" s="8" t="n"/>
      <x:c r="N453" s="8" t="n"/>
      <x:c r="O453" s="8" t="n"/>
      <x:c r="P453">
        <x:f>COUNTA(J453:N453)</x:f>
      </x:c>
      <x:c r="Q453">
        <x:f>IF(A453="","",IF(P453&lt;&gt;5,1,0))</x:f>
      </x:c>
      <x:c r="R453">
        <x:f>IF(A453="","",IF(COUNTIF($A$5:$A$604,A453)&gt;1,1,0))</x:f>
      </x:c>
    </x:row>
    <x:row r="454">
      <x:c r="A454" s="8" t="n"/>
      <x:c r="B454" s="12" t="n"/>
      <x:c r="C454" s="8" t="n"/>
      <x:c r="D454" s="8" t="n"/>
      <x:c r="E454" s="8" t="n"/>
      <x:c r="F454" s="8" t="n"/>
      <x:c r="G454" s="8" t="n"/>
      <x:c r="H454" s="8" t="n"/>
      <x:c r="I454" s="8" t="n"/>
      <x:c r="J454" s="8" t="n"/>
      <x:c r="K454" s="8" t="n"/>
      <x:c r="L454" s="8" t="n"/>
      <x:c r="M454" s="8" t="n"/>
      <x:c r="N454" s="8" t="n"/>
      <x:c r="O454" s="8" t="n"/>
      <x:c r="P454">
        <x:f>COUNTA(J454:N454)</x:f>
      </x:c>
      <x:c r="Q454">
        <x:f>IF(A454="","",IF(P454&lt;&gt;5,1,0))</x:f>
      </x:c>
      <x:c r="R454">
        <x:f>IF(A454="","",IF(COUNTIF($A$5:$A$604,A454)&gt;1,1,0))</x:f>
      </x:c>
    </x:row>
    <x:row r="455">
      <x:c r="A455" s="8" t="n"/>
      <x:c r="B455" s="12" t="n"/>
      <x:c r="C455" s="8" t="n"/>
      <x:c r="D455" s="8" t="n"/>
      <x:c r="E455" s="8" t="n"/>
      <x:c r="F455" s="8" t="n"/>
      <x:c r="G455" s="8" t="n"/>
      <x:c r="H455" s="8" t="n"/>
      <x:c r="I455" s="8" t="n"/>
      <x:c r="J455" s="8" t="n"/>
      <x:c r="K455" s="8" t="n"/>
      <x:c r="L455" s="8" t="n"/>
      <x:c r="M455" s="8" t="n"/>
      <x:c r="N455" s="8" t="n"/>
      <x:c r="O455" s="8" t="n"/>
      <x:c r="P455">
        <x:f>COUNTA(J455:N455)</x:f>
      </x:c>
      <x:c r="Q455">
        <x:f>IF(A455="","",IF(P455&lt;&gt;5,1,0))</x:f>
      </x:c>
      <x:c r="R455">
        <x:f>IF(A455="","",IF(COUNTIF($A$5:$A$604,A455)&gt;1,1,0))</x:f>
      </x:c>
    </x:row>
    <x:row r="456">
      <x:c r="A456" s="8" t="n"/>
      <x:c r="B456" s="12" t="n"/>
      <x:c r="C456" s="8" t="n"/>
      <x:c r="D456" s="8" t="n"/>
      <x:c r="E456" s="8" t="n"/>
      <x:c r="F456" s="8" t="n"/>
      <x:c r="G456" s="8" t="n"/>
      <x:c r="H456" s="8" t="n"/>
      <x:c r="I456" s="8" t="n"/>
      <x:c r="J456" s="8" t="n"/>
      <x:c r="K456" s="8" t="n"/>
      <x:c r="L456" s="8" t="n"/>
      <x:c r="M456" s="8" t="n"/>
      <x:c r="N456" s="8" t="n"/>
      <x:c r="O456" s="8" t="n"/>
      <x:c r="P456">
        <x:f>COUNTA(J456:N456)</x:f>
      </x:c>
      <x:c r="Q456">
        <x:f>IF(A456="","",IF(P456&lt;&gt;5,1,0))</x:f>
      </x:c>
      <x:c r="R456">
        <x:f>IF(A456="","",IF(COUNTIF($A$5:$A$604,A456)&gt;1,1,0))</x:f>
      </x:c>
    </x:row>
    <x:row r="457">
      <x:c r="A457" s="8" t="n"/>
      <x:c r="B457" s="12" t="n"/>
      <x:c r="C457" s="8" t="n"/>
      <x:c r="D457" s="8" t="n"/>
      <x:c r="E457" s="8" t="n"/>
      <x:c r="F457" s="8" t="n"/>
      <x:c r="G457" s="8" t="n"/>
      <x:c r="H457" s="8" t="n"/>
      <x:c r="I457" s="8" t="n"/>
      <x:c r="J457" s="8" t="n"/>
      <x:c r="K457" s="8" t="n"/>
      <x:c r="L457" s="8" t="n"/>
      <x:c r="M457" s="8" t="n"/>
      <x:c r="N457" s="8" t="n"/>
      <x:c r="O457" s="8" t="n"/>
      <x:c r="P457">
        <x:f>COUNTA(J457:N457)</x:f>
      </x:c>
      <x:c r="Q457">
        <x:f>IF(A457="","",IF(P457&lt;&gt;5,1,0))</x:f>
      </x:c>
      <x:c r="R457">
        <x:f>IF(A457="","",IF(COUNTIF($A$5:$A$604,A457)&gt;1,1,0))</x:f>
      </x:c>
    </x:row>
    <x:row r="458">
      <x:c r="A458" s="8" t="n"/>
      <x:c r="B458" s="12" t="n"/>
      <x:c r="C458" s="8" t="n"/>
      <x:c r="D458" s="8" t="n"/>
      <x:c r="E458" s="8" t="n"/>
      <x:c r="F458" s="8" t="n"/>
      <x:c r="G458" s="8" t="n"/>
      <x:c r="H458" s="8" t="n"/>
      <x:c r="I458" s="8" t="n"/>
      <x:c r="J458" s="8" t="n"/>
      <x:c r="K458" s="8" t="n"/>
      <x:c r="L458" s="8" t="n"/>
      <x:c r="M458" s="8" t="n"/>
      <x:c r="N458" s="8" t="n"/>
      <x:c r="O458" s="8" t="n"/>
      <x:c r="P458">
        <x:f>COUNTA(J458:N458)</x:f>
      </x:c>
      <x:c r="Q458">
        <x:f>IF(A458="","",IF(P458&lt;&gt;5,1,0))</x:f>
      </x:c>
      <x:c r="R458">
        <x:f>IF(A458="","",IF(COUNTIF($A$5:$A$604,A458)&gt;1,1,0))</x:f>
      </x:c>
    </x:row>
    <x:row r="459">
      <x:c r="A459" s="8" t="n"/>
      <x:c r="B459" s="12" t="n"/>
      <x:c r="C459" s="8" t="n"/>
      <x:c r="D459" s="8" t="n"/>
      <x:c r="E459" s="8" t="n"/>
      <x:c r="F459" s="8" t="n"/>
      <x:c r="G459" s="8" t="n"/>
      <x:c r="H459" s="8" t="n"/>
      <x:c r="I459" s="8" t="n"/>
      <x:c r="J459" s="8" t="n"/>
      <x:c r="K459" s="8" t="n"/>
      <x:c r="L459" s="8" t="n"/>
      <x:c r="M459" s="8" t="n"/>
      <x:c r="N459" s="8" t="n"/>
      <x:c r="O459" s="8" t="n"/>
      <x:c r="P459">
        <x:f>COUNTA(J459:N459)</x:f>
      </x:c>
      <x:c r="Q459">
        <x:f>IF(A459="","",IF(P459&lt;&gt;5,1,0))</x:f>
      </x:c>
      <x:c r="R459">
        <x:f>IF(A459="","",IF(COUNTIF($A$5:$A$604,A459)&gt;1,1,0))</x:f>
      </x:c>
    </x:row>
    <x:row r="460">
      <x:c r="A460" s="8" t="n"/>
      <x:c r="B460" s="12" t="n"/>
      <x:c r="C460" s="8" t="n"/>
      <x:c r="D460" s="8" t="n"/>
      <x:c r="E460" s="8" t="n"/>
      <x:c r="F460" s="8" t="n"/>
      <x:c r="G460" s="8" t="n"/>
      <x:c r="H460" s="8" t="n"/>
      <x:c r="I460" s="8" t="n"/>
      <x:c r="J460" s="8" t="n"/>
      <x:c r="K460" s="8" t="n"/>
      <x:c r="L460" s="8" t="n"/>
      <x:c r="M460" s="8" t="n"/>
      <x:c r="N460" s="8" t="n"/>
      <x:c r="O460" s="8" t="n"/>
      <x:c r="P460">
        <x:f>COUNTA(J460:N460)</x:f>
      </x:c>
      <x:c r="Q460">
        <x:f>IF(A460="","",IF(P460&lt;&gt;5,1,0))</x:f>
      </x:c>
      <x:c r="R460">
        <x:f>IF(A460="","",IF(COUNTIF($A$5:$A$604,A460)&gt;1,1,0))</x:f>
      </x:c>
    </x:row>
    <x:row r="461">
      <x:c r="A461" s="8" t="n"/>
      <x:c r="B461" s="12" t="n"/>
      <x:c r="C461" s="8" t="n"/>
      <x:c r="D461" s="8" t="n"/>
      <x:c r="E461" s="8" t="n"/>
      <x:c r="F461" s="8" t="n"/>
      <x:c r="G461" s="8" t="n"/>
      <x:c r="H461" s="8" t="n"/>
      <x:c r="I461" s="8" t="n"/>
      <x:c r="J461" s="8" t="n"/>
      <x:c r="K461" s="8" t="n"/>
      <x:c r="L461" s="8" t="n"/>
      <x:c r="M461" s="8" t="n"/>
      <x:c r="N461" s="8" t="n"/>
      <x:c r="O461" s="8" t="n"/>
      <x:c r="P461">
        <x:f>COUNTA(J461:N461)</x:f>
      </x:c>
      <x:c r="Q461">
        <x:f>IF(A461="","",IF(P461&lt;&gt;5,1,0))</x:f>
      </x:c>
      <x:c r="R461">
        <x:f>IF(A461="","",IF(COUNTIF($A$5:$A$604,A461)&gt;1,1,0))</x:f>
      </x:c>
    </x:row>
    <x:row r="462">
      <x:c r="A462" s="8" t="n"/>
      <x:c r="B462" s="12" t="n"/>
      <x:c r="C462" s="8" t="n"/>
      <x:c r="D462" s="8" t="n"/>
      <x:c r="E462" s="8" t="n"/>
      <x:c r="F462" s="8" t="n"/>
      <x:c r="G462" s="8" t="n"/>
      <x:c r="H462" s="8" t="n"/>
      <x:c r="I462" s="8" t="n"/>
      <x:c r="J462" s="8" t="n"/>
      <x:c r="K462" s="8" t="n"/>
      <x:c r="L462" s="8" t="n"/>
      <x:c r="M462" s="8" t="n"/>
      <x:c r="N462" s="8" t="n"/>
      <x:c r="O462" s="8" t="n"/>
      <x:c r="P462">
        <x:f>COUNTA(J462:N462)</x:f>
      </x:c>
      <x:c r="Q462">
        <x:f>IF(A462="","",IF(P462&lt;&gt;5,1,0))</x:f>
      </x:c>
      <x:c r="R462">
        <x:f>IF(A462="","",IF(COUNTIF($A$5:$A$604,A462)&gt;1,1,0))</x:f>
      </x:c>
    </x:row>
    <x:row r="463">
      <x:c r="A463" s="8" t="n"/>
      <x:c r="B463" s="12" t="n"/>
      <x:c r="C463" s="8" t="n"/>
      <x:c r="D463" s="8" t="n"/>
      <x:c r="E463" s="8" t="n"/>
      <x:c r="F463" s="8" t="n"/>
      <x:c r="G463" s="8" t="n"/>
      <x:c r="H463" s="8" t="n"/>
      <x:c r="I463" s="8" t="n"/>
      <x:c r="J463" s="8" t="n"/>
      <x:c r="K463" s="8" t="n"/>
      <x:c r="L463" s="8" t="n"/>
      <x:c r="M463" s="8" t="n"/>
      <x:c r="N463" s="8" t="n"/>
      <x:c r="O463" s="8" t="n"/>
      <x:c r="P463">
        <x:f>COUNTA(J463:N463)</x:f>
      </x:c>
      <x:c r="Q463">
        <x:f>IF(A463="","",IF(P463&lt;&gt;5,1,0))</x:f>
      </x:c>
      <x:c r="R463">
        <x:f>IF(A463="","",IF(COUNTIF($A$5:$A$604,A463)&gt;1,1,0))</x:f>
      </x:c>
    </x:row>
    <x:row r="464">
      <x:c r="A464" s="8" t="n"/>
      <x:c r="B464" s="12" t="n"/>
      <x:c r="C464" s="8" t="n"/>
      <x:c r="D464" s="8" t="n"/>
      <x:c r="E464" s="8" t="n"/>
      <x:c r="F464" s="8" t="n"/>
      <x:c r="G464" s="8" t="n"/>
      <x:c r="H464" s="8" t="n"/>
      <x:c r="I464" s="8" t="n"/>
      <x:c r="J464" s="8" t="n"/>
      <x:c r="K464" s="8" t="n"/>
      <x:c r="L464" s="8" t="n"/>
      <x:c r="M464" s="8" t="n"/>
      <x:c r="N464" s="8" t="n"/>
      <x:c r="O464" s="8" t="n"/>
      <x:c r="P464">
        <x:f>COUNTA(J464:N464)</x:f>
      </x:c>
      <x:c r="Q464">
        <x:f>IF(A464="","",IF(P464&lt;&gt;5,1,0))</x:f>
      </x:c>
      <x:c r="R464">
        <x:f>IF(A464="","",IF(COUNTIF($A$5:$A$604,A464)&gt;1,1,0))</x:f>
      </x:c>
    </x:row>
    <x:row r="465">
      <x:c r="A465" s="8" t="n"/>
      <x:c r="B465" s="12" t="n"/>
      <x:c r="C465" s="8" t="n"/>
      <x:c r="D465" s="8" t="n"/>
      <x:c r="E465" s="8" t="n"/>
      <x:c r="F465" s="8" t="n"/>
      <x:c r="G465" s="8" t="n"/>
      <x:c r="H465" s="8" t="n"/>
      <x:c r="I465" s="8" t="n"/>
      <x:c r="J465" s="8" t="n"/>
      <x:c r="K465" s="8" t="n"/>
      <x:c r="L465" s="8" t="n"/>
      <x:c r="M465" s="8" t="n"/>
      <x:c r="N465" s="8" t="n"/>
      <x:c r="O465" s="8" t="n"/>
      <x:c r="P465">
        <x:f>COUNTA(J465:N465)</x:f>
      </x:c>
      <x:c r="Q465">
        <x:f>IF(A465="","",IF(P465&lt;&gt;5,1,0))</x:f>
      </x:c>
      <x:c r="R465">
        <x:f>IF(A465="","",IF(COUNTIF($A$5:$A$604,A465)&gt;1,1,0))</x:f>
      </x:c>
    </x:row>
    <x:row r="466">
      <x:c r="A466" s="8" t="n"/>
      <x:c r="B466" s="12" t="n"/>
      <x:c r="C466" s="8" t="n"/>
      <x:c r="D466" s="8" t="n"/>
      <x:c r="E466" s="8" t="n"/>
      <x:c r="F466" s="8" t="n"/>
      <x:c r="G466" s="8" t="n"/>
      <x:c r="H466" s="8" t="n"/>
      <x:c r="I466" s="8" t="n"/>
      <x:c r="J466" s="8" t="n"/>
      <x:c r="K466" s="8" t="n"/>
      <x:c r="L466" s="8" t="n"/>
      <x:c r="M466" s="8" t="n"/>
      <x:c r="N466" s="8" t="n"/>
      <x:c r="O466" s="8" t="n"/>
      <x:c r="P466">
        <x:f>COUNTA(J466:N466)</x:f>
      </x:c>
      <x:c r="Q466">
        <x:f>IF(A466="","",IF(P466&lt;&gt;5,1,0))</x:f>
      </x:c>
      <x:c r="R466">
        <x:f>IF(A466="","",IF(COUNTIF($A$5:$A$604,A466)&gt;1,1,0))</x:f>
      </x:c>
    </x:row>
    <x:row r="467">
      <x:c r="A467" s="8" t="n"/>
      <x:c r="B467" s="12" t="n"/>
      <x:c r="C467" s="8" t="n"/>
      <x:c r="D467" s="8" t="n"/>
      <x:c r="E467" s="8" t="n"/>
      <x:c r="F467" s="8" t="n"/>
      <x:c r="G467" s="8" t="n"/>
      <x:c r="H467" s="8" t="n"/>
      <x:c r="I467" s="8" t="n"/>
      <x:c r="J467" s="8" t="n"/>
      <x:c r="K467" s="8" t="n"/>
      <x:c r="L467" s="8" t="n"/>
      <x:c r="M467" s="8" t="n"/>
      <x:c r="N467" s="8" t="n"/>
      <x:c r="O467" s="8" t="n"/>
      <x:c r="P467">
        <x:f>COUNTA(J467:N467)</x:f>
      </x:c>
      <x:c r="Q467">
        <x:f>IF(A467="","",IF(P467&lt;&gt;5,1,0))</x:f>
      </x:c>
      <x:c r="R467">
        <x:f>IF(A467="","",IF(COUNTIF($A$5:$A$604,A467)&gt;1,1,0))</x:f>
      </x:c>
    </x:row>
    <x:row r="468">
      <x:c r="A468" s="8" t="n"/>
      <x:c r="B468" s="12" t="n"/>
      <x:c r="C468" s="8" t="n"/>
      <x:c r="D468" s="8" t="n"/>
      <x:c r="E468" s="8" t="n"/>
      <x:c r="F468" s="8" t="n"/>
      <x:c r="G468" s="8" t="n"/>
      <x:c r="H468" s="8" t="n"/>
      <x:c r="I468" s="8" t="n"/>
      <x:c r="J468" s="8" t="n"/>
      <x:c r="K468" s="8" t="n"/>
      <x:c r="L468" s="8" t="n"/>
      <x:c r="M468" s="8" t="n"/>
      <x:c r="N468" s="8" t="n"/>
      <x:c r="O468" s="8" t="n"/>
      <x:c r="P468">
        <x:f>COUNTA(J468:N468)</x:f>
      </x:c>
      <x:c r="Q468">
        <x:f>IF(A468="","",IF(P468&lt;&gt;5,1,0))</x:f>
      </x:c>
      <x:c r="R468">
        <x:f>IF(A468="","",IF(COUNTIF($A$5:$A$604,A468)&gt;1,1,0))</x:f>
      </x:c>
    </x:row>
    <x:row r="469">
      <x:c r="A469" s="8" t="n"/>
      <x:c r="B469" s="12" t="n"/>
      <x:c r="C469" s="8" t="n"/>
      <x:c r="D469" s="8" t="n"/>
      <x:c r="E469" s="8" t="n"/>
      <x:c r="F469" s="8" t="n"/>
      <x:c r="G469" s="8" t="n"/>
      <x:c r="H469" s="8" t="n"/>
      <x:c r="I469" s="8" t="n"/>
      <x:c r="J469" s="8" t="n"/>
      <x:c r="K469" s="8" t="n"/>
      <x:c r="L469" s="8" t="n"/>
      <x:c r="M469" s="8" t="n"/>
      <x:c r="N469" s="8" t="n"/>
      <x:c r="O469" s="8" t="n"/>
      <x:c r="P469">
        <x:f>COUNTA(J469:N469)</x:f>
      </x:c>
      <x:c r="Q469">
        <x:f>IF(A469="","",IF(P469&lt;&gt;5,1,0))</x:f>
      </x:c>
      <x:c r="R469">
        <x:f>IF(A469="","",IF(COUNTIF($A$5:$A$604,A469)&gt;1,1,0))</x:f>
      </x:c>
    </x:row>
    <x:row r="470">
      <x:c r="A470" s="8" t="n"/>
      <x:c r="B470" s="12" t="n"/>
      <x:c r="C470" s="8" t="n"/>
      <x:c r="D470" s="8" t="n"/>
      <x:c r="E470" s="8" t="n"/>
      <x:c r="F470" s="8" t="n"/>
      <x:c r="G470" s="8" t="n"/>
      <x:c r="H470" s="8" t="n"/>
      <x:c r="I470" s="8" t="n"/>
      <x:c r="J470" s="8" t="n"/>
      <x:c r="K470" s="8" t="n"/>
      <x:c r="L470" s="8" t="n"/>
      <x:c r="M470" s="8" t="n"/>
      <x:c r="N470" s="8" t="n"/>
      <x:c r="O470" s="8" t="n"/>
      <x:c r="P470">
        <x:f>COUNTA(J470:N470)</x:f>
      </x:c>
      <x:c r="Q470">
        <x:f>IF(A470="","",IF(P470&lt;&gt;5,1,0))</x:f>
      </x:c>
      <x:c r="R470">
        <x:f>IF(A470="","",IF(COUNTIF($A$5:$A$604,A470)&gt;1,1,0))</x:f>
      </x:c>
    </x:row>
    <x:row r="471">
      <x:c r="A471" s="8" t="n"/>
      <x:c r="B471" s="12" t="n"/>
      <x:c r="C471" s="8" t="n"/>
      <x:c r="D471" s="8" t="n"/>
      <x:c r="E471" s="8" t="n"/>
      <x:c r="F471" s="8" t="n"/>
      <x:c r="G471" s="8" t="n"/>
      <x:c r="H471" s="8" t="n"/>
      <x:c r="I471" s="8" t="n"/>
      <x:c r="J471" s="8" t="n"/>
      <x:c r="K471" s="8" t="n"/>
      <x:c r="L471" s="8" t="n"/>
      <x:c r="M471" s="8" t="n"/>
      <x:c r="N471" s="8" t="n"/>
      <x:c r="O471" s="8" t="n"/>
      <x:c r="P471">
        <x:f>COUNTA(J471:N471)</x:f>
      </x:c>
      <x:c r="Q471">
        <x:f>IF(A471="","",IF(P471&lt;&gt;5,1,0))</x:f>
      </x:c>
      <x:c r="R471">
        <x:f>IF(A471="","",IF(COUNTIF($A$5:$A$604,A471)&gt;1,1,0))</x:f>
      </x:c>
    </x:row>
    <x:row r="472">
      <x:c r="A472" s="8" t="n"/>
      <x:c r="B472" s="12" t="n"/>
      <x:c r="C472" s="8" t="n"/>
      <x:c r="D472" s="8" t="n"/>
      <x:c r="E472" s="8" t="n"/>
      <x:c r="F472" s="8" t="n"/>
      <x:c r="G472" s="8" t="n"/>
      <x:c r="H472" s="8" t="n"/>
      <x:c r="I472" s="8" t="n"/>
      <x:c r="J472" s="8" t="n"/>
      <x:c r="K472" s="8" t="n"/>
      <x:c r="L472" s="8" t="n"/>
      <x:c r="M472" s="8" t="n"/>
      <x:c r="N472" s="8" t="n"/>
      <x:c r="O472" s="8" t="n"/>
      <x:c r="P472">
        <x:f>COUNTA(J472:N472)</x:f>
      </x:c>
      <x:c r="Q472">
        <x:f>IF(A472="","",IF(P472&lt;&gt;5,1,0))</x:f>
      </x:c>
      <x:c r="R472">
        <x:f>IF(A472="","",IF(COUNTIF($A$5:$A$604,A472)&gt;1,1,0))</x:f>
      </x:c>
    </x:row>
    <x:row r="473">
      <x:c r="A473" s="8" t="n"/>
      <x:c r="B473" s="12" t="n"/>
      <x:c r="C473" s="8" t="n"/>
      <x:c r="D473" s="8" t="n"/>
      <x:c r="E473" s="8" t="n"/>
      <x:c r="F473" s="8" t="n"/>
      <x:c r="G473" s="8" t="n"/>
      <x:c r="H473" s="8" t="n"/>
      <x:c r="I473" s="8" t="n"/>
      <x:c r="J473" s="8" t="n"/>
      <x:c r="K473" s="8" t="n"/>
      <x:c r="L473" s="8" t="n"/>
      <x:c r="M473" s="8" t="n"/>
      <x:c r="N473" s="8" t="n"/>
      <x:c r="O473" s="8" t="n"/>
      <x:c r="P473">
        <x:f>COUNTA(J473:N473)</x:f>
      </x:c>
      <x:c r="Q473">
        <x:f>IF(A473="","",IF(P473&lt;&gt;5,1,0))</x:f>
      </x:c>
      <x:c r="R473">
        <x:f>IF(A473="","",IF(COUNTIF($A$5:$A$604,A473)&gt;1,1,0))</x:f>
      </x:c>
    </x:row>
    <x:row r="474">
      <x:c r="A474" s="8" t="n"/>
      <x:c r="B474" s="12" t="n"/>
      <x:c r="C474" s="8" t="n"/>
      <x:c r="D474" s="8" t="n"/>
      <x:c r="E474" s="8" t="n"/>
      <x:c r="F474" s="8" t="n"/>
      <x:c r="G474" s="8" t="n"/>
      <x:c r="H474" s="8" t="n"/>
      <x:c r="I474" s="8" t="n"/>
      <x:c r="J474" s="8" t="n"/>
      <x:c r="K474" s="8" t="n"/>
      <x:c r="L474" s="8" t="n"/>
      <x:c r="M474" s="8" t="n"/>
      <x:c r="N474" s="8" t="n"/>
      <x:c r="O474" s="8" t="n"/>
      <x:c r="P474">
        <x:f>COUNTA(J474:N474)</x:f>
      </x:c>
      <x:c r="Q474">
        <x:f>IF(A474="","",IF(P474&lt;&gt;5,1,0))</x:f>
      </x:c>
      <x:c r="R474">
        <x:f>IF(A474="","",IF(COUNTIF($A$5:$A$604,A474)&gt;1,1,0))</x:f>
      </x:c>
    </x:row>
    <x:row r="475">
      <x:c r="A475" s="8" t="n"/>
      <x:c r="B475" s="12" t="n"/>
      <x:c r="C475" s="8" t="n"/>
      <x:c r="D475" s="8" t="n"/>
      <x:c r="E475" s="8" t="n"/>
      <x:c r="F475" s="8" t="n"/>
      <x:c r="G475" s="8" t="n"/>
      <x:c r="H475" s="8" t="n"/>
      <x:c r="I475" s="8" t="n"/>
      <x:c r="J475" s="8" t="n"/>
      <x:c r="K475" s="8" t="n"/>
      <x:c r="L475" s="8" t="n"/>
      <x:c r="M475" s="8" t="n"/>
      <x:c r="N475" s="8" t="n"/>
      <x:c r="O475" s="8" t="n"/>
      <x:c r="P475">
        <x:f>COUNTA(J475:N475)</x:f>
      </x:c>
      <x:c r="Q475">
        <x:f>IF(A475="","",IF(P475&lt;&gt;5,1,0))</x:f>
      </x:c>
      <x:c r="R475">
        <x:f>IF(A475="","",IF(COUNTIF($A$5:$A$604,A475)&gt;1,1,0))</x:f>
      </x:c>
    </x:row>
    <x:row r="476">
      <x:c r="A476" s="8" t="n"/>
      <x:c r="B476" s="12" t="n"/>
      <x:c r="C476" s="8" t="n"/>
      <x:c r="D476" s="8" t="n"/>
      <x:c r="E476" s="8" t="n"/>
      <x:c r="F476" s="8" t="n"/>
      <x:c r="G476" s="8" t="n"/>
      <x:c r="H476" s="8" t="n"/>
      <x:c r="I476" s="8" t="n"/>
      <x:c r="J476" s="8" t="n"/>
      <x:c r="K476" s="8" t="n"/>
      <x:c r="L476" s="8" t="n"/>
      <x:c r="M476" s="8" t="n"/>
      <x:c r="N476" s="8" t="n"/>
      <x:c r="O476" s="8" t="n"/>
      <x:c r="P476">
        <x:f>COUNTA(J476:N476)</x:f>
      </x:c>
      <x:c r="Q476">
        <x:f>IF(A476="","",IF(P476&lt;&gt;5,1,0))</x:f>
      </x:c>
      <x:c r="R476">
        <x:f>IF(A476="","",IF(COUNTIF($A$5:$A$604,A476)&gt;1,1,0))</x:f>
      </x:c>
    </x:row>
    <x:row r="477">
      <x:c r="A477" s="8" t="n"/>
      <x:c r="B477" s="12" t="n"/>
      <x:c r="C477" s="8" t="n"/>
      <x:c r="D477" s="8" t="n"/>
      <x:c r="E477" s="8" t="n"/>
      <x:c r="F477" s="8" t="n"/>
      <x:c r="G477" s="8" t="n"/>
      <x:c r="H477" s="8" t="n"/>
      <x:c r="I477" s="8" t="n"/>
      <x:c r="J477" s="8" t="n"/>
      <x:c r="K477" s="8" t="n"/>
      <x:c r="L477" s="8" t="n"/>
      <x:c r="M477" s="8" t="n"/>
      <x:c r="N477" s="8" t="n"/>
      <x:c r="O477" s="8" t="n"/>
      <x:c r="P477">
        <x:f>COUNTA(J477:N477)</x:f>
      </x:c>
      <x:c r="Q477">
        <x:f>IF(A477="","",IF(P477&lt;&gt;5,1,0))</x:f>
      </x:c>
      <x:c r="R477">
        <x:f>IF(A477="","",IF(COUNTIF($A$5:$A$604,A477)&gt;1,1,0))</x:f>
      </x:c>
    </x:row>
    <x:row r="478">
      <x:c r="A478" s="8" t="n"/>
      <x:c r="B478" s="12" t="n"/>
      <x:c r="C478" s="8" t="n"/>
      <x:c r="D478" s="8" t="n"/>
      <x:c r="E478" s="8" t="n"/>
      <x:c r="F478" s="8" t="n"/>
      <x:c r="G478" s="8" t="n"/>
      <x:c r="H478" s="8" t="n"/>
      <x:c r="I478" s="8" t="n"/>
      <x:c r="J478" s="8" t="n"/>
      <x:c r="K478" s="8" t="n"/>
      <x:c r="L478" s="8" t="n"/>
      <x:c r="M478" s="8" t="n"/>
      <x:c r="N478" s="8" t="n"/>
      <x:c r="O478" s="8" t="n"/>
      <x:c r="P478">
        <x:f>COUNTA(J478:N478)</x:f>
      </x:c>
      <x:c r="Q478">
        <x:f>IF(A478="","",IF(P478&lt;&gt;5,1,0))</x:f>
      </x:c>
      <x:c r="R478">
        <x:f>IF(A478="","",IF(COUNTIF($A$5:$A$604,A478)&gt;1,1,0))</x:f>
      </x:c>
    </x:row>
    <x:row r="479">
      <x:c r="A479" s="8" t="n"/>
      <x:c r="B479" s="12" t="n"/>
      <x:c r="C479" s="8" t="n"/>
      <x:c r="D479" s="8" t="n"/>
      <x:c r="E479" s="8" t="n"/>
      <x:c r="F479" s="8" t="n"/>
      <x:c r="G479" s="8" t="n"/>
      <x:c r="H479" s="8" t="n"/>
      <x:c r="I479" s="8" t="n"/>
      <x:c r="J479" s="8" t="n"/>
      <x:c r="K479" s="8" t="n"/>
      <x:c r="L479" s="8" t="n"/>
      <x:c r="M479" s="8" t="n"/>
      <x:c r="N479" s="8" t="n"/>
      <x:c r="O479" s="8" t="n"/>
      <x:c r="P479">
        <x:f>COUNTA(J479:N479)</x:f>
      </x:c>
      <x:c r="Q479">
        <x:f>IF(A479="","",IF(P479&lt;&gt;5,1,0))</x:f>
      </x:c>
      <x:c r="R479">
        <x:f>IF(A479="","",IF(COUNTIF($A$5:$A$604,A479)&gt;1,1,0))</x:f>
      </x:c>
    </x:row>
    <x:row r="480">
      <x:c r="A480" s="8" t="n"/>
      <x:c r="B480" s="12" t="n"/>
      <x:c r="C480" s="8" t="n"/>
      <x:c r="D480" s="8" t="n"/>
      <x:c r="E480" s="8" t="n"/>
      <x:c r="F480" s="8" t="n"/>
      <x:c r="G480" s="8" t="n"/>
      <x:c r="H480" s="8" t="n"/>
      <x:c r="I480" s="8" t="n"/>
      <x:c r="J480" s="8" t="n"/>
      <x:c r="K480" s="8" t="n"/>
      <x:c r="L480" s="8" t="n"/>
      <x:c r="M480" s="8" t="n"/>
      <x:c r="N480" s="8" t="n"/>
      <x:c r="O480" s="8" t="n"/>
      <x:c r="P480">
        <x:f>COUNTA(J480:N480)</x:f>
      </x:c>
      <x:c r="Q480">
        <x:f>IF(A480="","",IF(P480&lt;&gt;5,1,0))</x:f>
      </x:c>
      <x:c r="R480">
        <x:f>IF(A480="","",IF(COUNTIF($A$5:$A$604,A480)&gt;1,1,0))</x:f>
      </x:c>
    </x:row>
    <x:row r="481">
      <x:c r="A481" s="8" t="n"/>
      <x:c r="B481" s="12" t="n"/>
      <x:c r="C481" s="8" t="n"/>
      <x:c r="D481" s="8" t="n"/>
      <x:c r="E481" s="8" t="n"/>
      <x:c r="F481" s="8" t="n"/>
      <x:c r="G481" s="8" t="n"/>
      <x:c r="H481" s="8" t="n"/>
      <x:c r="I481" s="8" t="n"/>
      <x:c r="J481" s="8" t="n"/>
      <x:c r="K481" s="8" t="n"/>
      <x:c r="L481" s="8" t="n"/>
      <x:c r="M481" s="8" t="n"/>
      <x:c r="N481" s="8" t="n"/>
      <x:c r="O481" s="8" t="n"/>
      <x:c r="P481">
        <x:f>COUNTA(J481:N481)</x:f>
      </x:c>
      <x:c r="Q481">
        <x:f>IF(A481="","",IF(P481&lt;&gt;5,1,0))</x:f>
      </x:c>
      <x:c r="R481">
        <x:f>IF(A481="","",IF(COUNTIF($A$5:$A$604,A481)&gt;1,1,0))</x:f>
      </x:c>
    </x:row>
    <x:row r="482">
      <x:c r="A482" s="8" t="n"/>
      <x:c r="B482" s="12" t="n"/>
      <x:c r="C482" s="8" t="n"/>
      <x:c r="D482" s="8" t="n"/>
      <x:c r="E482" s="8" t="n"/>
      <x:c r="F482" s="8" t="n"/>
      <x:c r="G482" s="8" t="n"/>
      <x:c r="H482" s="8" t="n"/>
      <x:c r="I482" s="8" t="n"/>
      <x:c r="J482" s="8" t="n"/>
      <x:c r="K482" s="8" t="n"/>
      <x:c r="L482" s="8" t="n"/>
      <x:c r="M482" s="8" t="n"/>
      <x:c r="N482" s="8" t="n"/>
      <x:c r="O482" s="8" t="n"/>
      <x:c r="P482">
        <x:f>COUNTA(J482:N482)</x:f>
      </x:c>
      <x:c r="Q482">
        <x:f>IF(A482="","",IF(P482&lt;&gt;5,1,0))</x:f>
      </x:c>
      <x:c r="R482">
        <x:f>IF(A482="","",IF(COUNTIF($A$5:$A$604,A482)&gt;1,1,0))</x:f>
      </x:c>
    </x:row>
    <x:row r="483">
      <x:c r="A483" s="8" t="n"/>
      <x:c r="B483" s="12" t="n"/>
      <x:c r="C483" s="8" t="n"/>
      <x:c r="D483" s="8" t="n"/>
      <x:c r="E483" s="8" t="n"/>
      <x:c r="F483" s="8" t="n"/>
      <x:c r="G483" s="8" t="n"/>
      <x:c r="H483" s="8" t="n"/>
      <x:c r="I483" s="8" t="n"/>
      <x:c r="J483" s="8" t="n"/>
      <x:c r="K483" s="8" t="n"/>
      <x:c r="L483" s="8" t="n"/>
      <x:c r="M483" s="8" t="n"/>
      <x:c r="N483" s="8" t="n"/>
      <x:c r="O483" s="8" t="n"/>
      <x:c r="P483">
        <x:f>COUNTA(J483:N483)</x:f>
      </x:c>
      <x:c r="Q483">
        <x:f>IF(A483="","",IF(P483&lt;&gt;5,1,0))</x:f>
      </x:c>
      <x:c r="R483">
        <x:f>IF(A483="","",IF(COUNTIF($A$5:$A$604,A483)&gt;1,1,0))</x:f>
      </x:c>
    </x:row>
    <x:row r="484">
      <x:c r="A484" s="8" t="n"/>
      <x:c r="B484" s="12" t="n"/>
      <x:c r="C484" s="8" t="n"/>
      <x:c r="D484" s="8" t="n"/>
      <x:c r="E484" s="8" t="n"/>
      <x:c r="F484" s="8" t="n"/>
      <x:c r="G484" s="8" t="n"/>
      <x:c r="H484" s="8" t="n"/>
      <x:c r="I484" s="8" t="n"/>
      <x:c r="J484" s="8" t="n"/>
      <x:c r="K484" s="8" t="n"/>
      <x:c r="L484" s="8" t="n"/>
      <x:c r="M484" s="8" t="n"/>
      <x:c r="N484" s="8" t="n"/>
      <x:c r="O484" s="8" t="n"/>
      <x:c r="P484">
        <x:f>COUNTA(J484:N484)</x:f>
      </x:c>
      <x:c r="Q484">
        <x:f>IF(A484="","",IF(P484&lt;&gt;5,1,0))</x:f>
      </x:c>
      <x:c r="R484">
        <x:f>IF(A484="","",IF(COUNTIF($A$5:$A$604,A484)&gt;1,1,0))</x:f>
      </x:c>
    </x:row>
    <x:row r="485">
      <x:c r="A485" s="8" t="n"/>
      <x:c r="B485" s="12" t="n"/>
      <x:c r="C485" s="8" t="n"/>
      <x:c r="D485" s="8" t="n"/>
      <x:c r="E485" s="8" t="n"/>
      <x:c r="F485" s="8" t="n"/>
      <x:c r="G485" s="8" t="n"/>
      <x:c r="H485" s="8" t="n"/>
      <x:c r="I485" s="8" t="n"/>
      <x:c r="J485" s="8" t="n"/>
      <x:c r="K485" s="8" t="n"/>
      <x:c r="L485" s="8" t="n"/>
      <x:c r="M485" s="8" t="n"/>
      <x:c r="N485" s="8" t="n"/>
      <x:c r="O485" s="8" t="n"/>
      <x:c r="P485">
        <x:f>COUNTA(J485:N485)</x:f>
      </x:c>
      <x:c r="Q485">
        <x:f>IF(A485="","",IF(P485&lt;&gt;5,1,0))</x:f>
      </x:c>
      <x:c r="R485">
        <x:f>IF(A485="","",IF(COUNTIF($A$5:$A$604,A485)&gt;1,1,0))</x:f>
      </x:c>
    </x:row>
    <x:row r="486">
      <x:c r="A486" s="8" t="n"/>
      <x:c r="B486" s="12" t="n"/>
      <x:c r="C486" s="8" t="n"/>
      <x:c r="D486" s="8" t="n"/>
      <x:c r="E486" s="8" t="n"/>
      <x:c r="F486" s="8" t="n"/>
      <x:c r="G486" s="8" t="n"/>
      <x:c r="H486" s="8" t="n"/>
      <x:c r="I486" s="8" t="n"/>
      <x:c r="J486" s="8" t="n"/>
      <x:c r="K486" s="8" t="n"/>
      <x:c r="L486" s="8" t="n"/>
      <x:c r="M486" s="8" t="n"/>
      <x:c r="N486" s="8" t="n"/>
      <x:c r="O486" s="8" t="n"/>
      <x:c r="P486">
        <x:f>COUNTA(J486:N486)</x:f>
      </x:c>
      <x:c r="Q486">
        <x:f>IF(A486="","",IF(P486&lt;&gt;5,1,0))</x:f>
      </x:c>
      <x:c r="R486">
        <x:f>IF(A486="","",IF(COUNTIF($A$5:$A$604,A486)&gt;1,1,0))</x:f>
      </x:c>
    </x:row>
    <x:row r="487">
      <x:c r="A487" s="8" t="n"/>
      <x:c r="B487" s="12" t="n"/>
      <x:c r="C487" s="8" t="n"/>
      <x:c r="D487" s="8" t="n"/>
      <x:c r="E487" s="8" t="n"/>
      <x:c r="F487" s="8" t="n"/>
      <x:c r="G487" s="8" t="n"/>
      <x:c r="H487" s="8" t="n"/>
      <x:c r="I487" s="8" t="n"/>
      <x:c r="J487" s="8" t="n"/>
      <x:c r="K487" s="8" t="n"/>
      <x:c r="L487" s="8" t="n"/>
      <x:c r="M487" s="8" t="n"/>
      <x:c r="N487" s="8" t="n"/>
      <x:c r="O487" s="8" t="n"/>
      <x:c r="P487">
        <x:f>COUNTA(J487:N487)</x:f>
      </x:c>
      <x:c r="Q487">
        <x:f>IF(A487="","",IF(P487&lt;&gt;5,1,0))</x:f>
      </x:c>
      <x:c r="R487">
        <x:f>IF(A487="","",IF(COUNTIF($A$5:$A$604,A487)&gt;1,1,0))</x:f>
      </x:c>
    </x:row>
    <x:row r="488">
      <x:c r="A488" s="8" t="n"/>
      <x:c r="B488" s="12" t="n"/>
      <x:c r="C488" s="8" t="n"/>
      <x:c r="D488" s="8" t="n"/>
      <x:c r="E488" s="8" t="n"/>
      <x:c r="F488" s="8" t="n"/>
      <x:c r="G488" s="8" t="n"/>
      <x:c r="H488" s="8" t="n"/>
      <x:c r="I488" s="8" t="n"/>
      <x:c r="J488" s="8" t="n"/>
      <x:c r="K488" s="8" t="n"/>
      <x:c r="L488" s="8" t="n"/>
      <x:c r="M488" s="8" t="n"/>
      <x:c r="N488" s="8" t="n"/>
      <x:c r="O488" s="8" t="n"/>
      <x:c r="P488">
        <x:f>COUNTA(J488:N488)</x:f>
      </x:c>
      <x:c r="Q488">
        <x:f>IF(A488="","",IF(P488&lt;&gt;5,1,0))</x:f>
      </x:c>
      <x:c r="R488">
        <x:f>IF(A488="","",IF(COUNTIF($A$5:$A$604,A488)&gt;1,1,0))</x:f>
      </x:c>
    </x:row>
    <x:row r="489">
      <x:c r="A489" s="8" t="n"/>
      <x:c r="B489" s="12" t="n"/>
      <x:c r="C489" s="8" t="n"/>
      <x:c r="D489" s="8" t="n"/>
      <x:c r="E489" s="8" t="n"/>
      <x:c r="F489" s="8" t="n"/>
      <x:c r="G489" s="8" t="n"/>
      <x:c r="H489" s="8" t="n"/>
      <x:c r="I489" s="8" t="n"/>
      <x:c r="J489" s="8" t="n"/>
      <x:c r="K489" s="8" t="n"/>
      <x:c r="L489" s="8" t="n"/>
      <x:c r="M489" s="8" t="n"/>
      <x:c r="N489" s="8" t="n"/>
      <x:c r="O489" s="8" t="n"/>
      <x:c r="P489">
        <x:f>COUNTA(J489:N489)</x:f>
      </x:c>
      <x:c r="Q489">
        <x:f>IF(A489="","",IF(P489&lt;&gt;5,1,0))</x:f>
      </x:c>
      <x:c r="R489">
        <x:f>IF(A489="","",IF(COUNTIF($A$5:$A$604,A489)&gt;1,1,0))</x:f>
      </x:c>
    </x:row>
    <x:row r="490">
      <x:c r="A490" s="8" t="n"/>
      <x:c r="B490" s="12" t="n"/>
      <x:c r="C490" s="8" t="n"/>
      <x:c r="D490" s="8" t="n"/>
      <x:c r="E490" s="8" t="n"/>
      <x:c r="F490" s="8" t="n"/>
      <x:c r="G490" s="8" t="n"/>
      <x:c r="H490" s="8" t="n"/>
      <x:c r="I490" s="8" t="n"/>
      <x:c r="J490" s="8" t="n"/>
      <x:c r="K490" s="8" t="n"/>
      <x:c r="L490" s="8" t="n"/>
      <x:c r="M490" s="8" t="n"/>
      <x:c r="N490" s="8" t="n"/>
      <x:c r="O490" s="8" t="n"/>
      <x:c r="P490">
        <x:f>COUNTA(J490:N490)</x:f>
      </x:c>
      <x:c r="Q490">
        <x:f>IF(A490="","",IF(P490&lt;&gt;5,1,0))</x:f>
      </x:c>
      <x:c r="R490">
        <x:f>IF(A490="","",IF(COUNTIF($A$5:$A$604,A490)&gt;1,1,0))</x:f>
      </x:c>
    </x:row>
    <x:row r="491">
      <x:c r="A491" s="8" t="n"/>
      <x:c r="B491" s="12" t="n"/>
      <x:c r="C491" s="8" t="n"/>
      <x:c r="D491" s="8" t="n"/>
      <x:c r="E491" s="8" t="n"/>
      <x:c r="F491" s="8" t="n"/>
      <x:c r="G491" s="8" t="n"/>
      <x:c r="H491" s="8" t="n"/>
      <x:c r="I491" s="8" t="n"/>
      <x:c r="J491" s="8" t="n"/>
      <x:c r="K491" s="8" t="n"/>
      <x:c r="L491" s="8" t="n"/>
      <x:c r="M491" s="8" t="n"/>
      <x:c r="N491" s="8" t="n"/>
      <x:c r="O491" s="8" t="n"/>
      <x:c r="P491">
        <x:f>COUNTA(J491:N491)</x:f>
      </x:c>
      <x:c r="Q491">
        <x:f>IF(A491="","",IF(P491&lt;&gt;5,1,0))</x:f>
      </x:c>
      <x:c r="R491">
        <x:f>IF(A491="","",IF(COUNTIF($A$5:$A$604,A491)&gt;1,1,0))</x:f>
      </x:c>
    </x:row>
    <x:row r="492">
      <x:c r="A492" s="8" t="n"/>
      <x:c r="B492" s="12" t="n"/>
      <x:c r="C492" s="8" t="n"/>
      <x:c r="D492" s="8" t="n"/>
      <x:c r="E492" s="8" t="n"/>
      <x:c r="F492" s="8" t="n"/>
      <x:c r="G492" s="8" t="n"/>
      <x:c r="H492" s="8" t="n"/>
      <x:c r="I492" s="8" t="n"/>
      <x:c r="J492" s="8" t="n"/>
      <x:c r="K492" s="8" t="n"/>
      <x:c r="L492" s="8" t="n"/>
      <x:c r="M492" s="8" t="n"/>
      <x:c r="N492" s="8" t="n"/>
      <x:c r="O492" s="8" t="n"/>
      <x:c r="P492">
        <x:f>COUNTA(J492:N492)</x:f>
      </x:c>
      <x:c r="Q492">
        <x:f>IF(A492="","",IF(P492&lt;&gt;5,1,0))</x:f>
      </x:c>
      <x:c r="R492">
        <x:f>IF(A492="","",IF(COUNTIF($A$5:$A$604,A492)&gt;1,1,0))</x:f>
      </x:c>
    </x:row>
    <x:row r="493">
      <x:c r="A493" s="8" t="n"/>
      <x:c r="B493" s="12" t="n"/>
      <x:c r="C493" s="8" t="n"/>
      <x:c r="D493" s="8" t="n"/>
      <x:c r="E493" s="8" t="n"/>
      <x:c r="F493" s="8" t="n"/>
      <x:c r="G493" s="8" t="n"/>
      <x:c r="H493" s="8" t="n"/>
      <x:c r="I493" s="8" t="n"/>
      <x:c r="J493" s="8" t="n"/>
      <x:c r="K493" s="8" t="n"/>
      <x:c r="L493" s="8" t="n"/>
      <x:c r="M493" s="8" t="n"/>
      <x:c r="N493" s="8" t="n"/>
      <x:c r="O493" s="8" t="n"/>
      <x:c r="P493">
        <x:f>COUNTA(J493:N493)</x:f>
      </x:c>
      <x:c r="Q493">
        <x:f>IF(A493="","",IF(P493&lt;&gt;5,1,0))</x:f>
      </x:c>
      <x:c r="R493">
        <x:f>IF(A493="","",IF(COUNTIF($A$5:$A$604,A493)&gt;1,1,0))</x:f>
      </x:c>
    </x:row>
    <x:row r="494">
      <x:c r="A494" s="8" t="n"/>
      <x:c r="B494" s="12" t="n"/>
      <x:c r="C494" s="8" t="n"/>
      <x:c r="D494" s="8" t="n"/>
      <x:c r="E494" s="8" t="n"/>
      <x:c r="F494" s="8" t="n"/>
      <x:c r="G494" s="8" t="n"/>
      <x:c r="H494" s="8" t="n"/>
      <x:c r="I494" s="8" t="n"/>
      <x:c r="J494" s="8" t="n"/>
      <x:c r="K494" s="8" t="n"/>
      <x:c r="L494" s="8" t="n"/>
      <x:c r="M494" s="8" t="n"/>
      <x:c r="N494" s="8" t="n"/>
      <x:c r="O494" s="8" t="n"/>
      <x:c r="P494">
        <x:f>COUNTA(J494:N494)</x:f>
      </x:c>
      <x:c r="Q494">
        <x:f>IF(A494="","",IF(P494&lt;&gt;5,1,0))</x:f>
      </x:c>
      <x:c r="R494">
        <x:f>IF(A494="","",IF(COUNTIF($A$5:$A$604,A494)&gt;1,1,0))</x:f>
      </x:c>
    </x:row>
    <x:row r="495">
      <x:c r="A495" s="8" t="n"/>
      <x:c r="B495" s="12" t="n"/>
      <x:c r="C495" s="8" t="n"/>
      <x:c r="D495" s="8" t="n"/>
      <x:c r="E495" s="8" t="n"/>
      <x:c r="F495" s="8" t="n"/>
      <x:c r="G495" s="8" t="n"/>
      <x:c r="H495" s="8" t="n"/>
      <x:c r="I495" s="8" t="n"/>
      <x:c r="J495" s="8" t="n"/>
      <x:c r="K495" s="8" t="n"/>
      <x:c r="L495" s="8" t="n"/>
      <x:c r="M495" s="8" t="n"/>
      <x:c r="N495" s="8" t="n"/>
      <x:c r="O495" s="8" t="n"/>
      <x:c r="P495">
        <x:f>COUNTA(J495:N495)</x:f>
      </x:c>
      <x:c r="Q495">
        <x:f>IF(A495="","",IF(P495&lt;&gt;5,1,0))</x:f>
      </x:c>
      <x:c r="R495">
        <x:f>IF(A495="","",IF(COUNTIF($A$5:$A$604,A495)&gt;1,1,0))</x:f>
      </x:c>
    </x:row>
    <x:row r="496">
      <x:c r="A496" s="8" t="n"/>
      <x:c r="B496" s="12" t="n"/>
      <x:c r="C496" s="8" t="n"/>
      <x:c r="D496" s="8" t="n"/>
      <x:c r="E496" s="8" t="n"/>
      <x:c r="F496" s="8" t="n"/>
      <x:c r="G496" s="8" t="n"/>
      <x:c r="H496" s="8" t="n"/>
      <x:c r="I496" s="8" t="n"/>
      <x:c r="J496" s="8" t="n"/>
      <x:c r="K496" s="8" t="n"/>
      <x:c r="L496" s="8" t="n"/>
      <x:c r="M496" s="8" t="n"/>
      <x:c r="N496" s="8" t="n"/>
      <x:c r="O496" s="8" t="n"/>
      <x:c r="P496">
        <x:f>COUNTA(J496:N496)</x:f>
      </x:c>
      <x:c r="Q496">
        <x:f>IF(A496="","",IF(P496&lt;&gt;5,1,0))</x:f>
      </x:c>
      <x:c r="R496">
        <x:f>IF(A496="","",IF(COUNTIF($A$5:$A$604,A496)&gt;1,1,0))</x:f>
      </x:c>
    </x:row>
    <x:row r="497">
      <x:c r="A497" s="8" t="n"/>
      <x:c r="B497" s="12" t="n"/>
      <x:c r="C497" s="8" t="n"/>
      <x:c r="D497" s="8" t="n"/>
      <x:c r="E497" s="8" t="n"/>
      <x:c r="F497" s="8" t="n"/>
      <x:c r="G497" s="8" t="n"/>
      <x:c r="H497" s="8" t="n"/>
      <x:c r="I497" s="8" t="n"/>
      <x:c r="J497" s="8" t="n"/>
      <x:c r="K497" s="8" t="n"/>
      <x:c r="L497" s="8" t="n"/>
      <x:c r="M497" s="8" t="n"/>
      <x:c r="N497" s="8" t="n"/>
      <x:c r="O497" s="8" t="n"/>
      <x:c r="P497">
        <x:f>COUNTA(J497:N497)</x:f>
      </x:c>
      <x:c r="Q497">
        <x:f>IF(A497="","",IF(P497&lt;&gt;5,1,0))</x:f>
      </x:c>
      <x:c r="R497">
        <x:f>IF(A497="","",IF(COUNTIF($A$5:$A$604,A497)&gt;1,1,0))</x:f>
      </x:c>
    </x:row>
    <x:row r="498">
      <x:c r="A498" s="8" t="n"/>
      <x:c r="B498" s="12" t="n"/>
      <x:c r="C498" s="8" t="n"/>
      <x:c r="D498" s="8" t="n"/>
      <x:c r="E498" s="8" t="n"/>
      <x:c r="F498" s="8" t="n"/>
      <x:c r="G498" s="8" t="n"/>
      <x:c r="H498" s="8" t="n"/>
      <x:c r="I498" s="8" t="n"/>
      <x:c r="J498" s="8" t="n"/>
      <x:c r="K498" s="8" t="n"/>
      <x:c r="L498" s="8" t="n"/>
      <x:c r="M498" s="8" t="n"/>
      <x:c r="N498" s="8" t="n"/>
      <x:c r="O498" s="8" t="n"/>
      <x:c r="P498">
        <x:f>COUNTA(J498:N498)</x:f>
      </x:c>
      <x:c r="Q498">
        <x:f>IF(A498="","",IF(P498&lt;&gt;5,1,0))</x:f>
      </x:c>
      <x:c r="R498">
        <x:f>IF(A498="","",IF(COUNTIF($A$5:$A$604,A498)&gt;1,1,0))</x:f>
      </x:c>
    </x:row>
    <x:row r="499">
      <x:c r="A499" s="8" t="n"/>
      <x:c r="B499" s="12" t="n"/>
      <x:c r="C499" s="8" t="n"/>
      <x:c r="D499" s="8" t="n"/>
      <x:c r="E499" s="8" t="n"/>
      <x:c r="F499" s="8" t="n"/>
      <x:c r="G499" s="8" t="n"/>
      <x:c r="H499" s="8" t="n"/>
      <x:c r="I499" s="8" t="n"/>
      <x:c r="J499" s="8" t="n"/>
      <x:c r="K499" s="8" t="n"/>
      <x:c r="L499" s="8" t="n"/>
      <x:c r="M499" s="8" t="n"/>
      <x:c r="N499" s="8" t="n"/>
      <x:c r="O499" s="8" t="n"/>
      <x:c r="P499">
        <x:f>COUNTA(J499:N499)</x:f>
      </x:c>
      <x:c r="Q499">
        <x:f>IF(A499="","",IF(P499&lt;&gt;5,1,0))</x:f>
      </x:c>
      <x:c r="R499">
        <x:f>IF(A499="","",IF(COUNTIF($A$5:$A$604,A499)&gt;1,1,0))</x:f>
      </x:c>
    </x:row>
    <x:row r="500">
      <x:c r="A500" s="8" t="n"/>
      <x:c r="B500" s="12" t="n"/>
      <x:c r="C500" s="8" t="n"/>
      <x:c r="D500" s="8" t="n"/>
      <x:c r="E500" s="8" t="n"/>
      <x:c r="F500" s="8" t="n"/>
      <x:c r="G500" s="8" t="n"/>
      <x:c r="H500" s="8" t="n"/>
      <x:c r="I500" s="8" t="n"/>
      <x:c r="J500" s="8" t="n"/>
      <x:c r="K500" s="8" t="n"/>
      <x:c r="L500" s="8" t="n"/>
      <x:c r="M500" s="8" t="n"/>
      <x:c r="N500" s="8" t="n"/>
      <x:c r="O500" s="8" t="n"/>
      <x:c r="P500">
        <x:f>COUNTA(J500:N500)</x:f>
      </x:c>
      <x:c r="Q500">
        <x:f>IF(A500="","",IF(P500&lt;&gt;5,1,0))</x:f>
      </x:c>
      <x:c r="R500">
        <x:f>IF(A500="","",IF(COUNTIF($A$5:$A$604,A500)&gt;1,1,0))</x:f>
      </x:c>
    </x:row>
    <x:row r="501">
      <x:c r="A501" s="8" t="n"/>
      <x:c r="B501" s="12" t="n"/>
      <x:c r="C501" s="8" t="n"/>
      <x:c r="D501" s="8" t="n"/>
      <x:c r="E501" s="8" t="n"/>
      <x:c r="F501" s="8" t="n"/>
      <x:c r="G501" s="8" t="n"/>
      <x:c r="H501" s="8" t="n"/>
      <x:c r="I501" s="8" t="n"/>
      <x:c r="J501" s="8" t="n"/>
      <x:c r="K501" s="8" t="n"/>
      <x:c r="L501" s="8" t="n"/>
      <x:c r="M501" s="8" t="n"/>
      <x:c r="N501" s="8" t="n"/>
      <x:c r="O501" s="8" t="n"/>
      <x:c r="P501">
        <x:f>COUNTA(J501:N501)</x:f>
      </x:c>
      <x:c r="Q501">
        <x:f>IF(A501="","",IF(P501&lt;&gt;5,1,0))</x:f>
      </x:c>
      <x:c r="R501">
        <x:f>IF(A501="","",IF(COUNTIF($A$5:$A$604,A501)&gt;1,1,0))</x:f>
      </x:c>
    </x:row>
    <x:row r="502">
      <x:c r="A502" s="8" t="n"/>
      <x:c r="B502" s="12" t="n"/>
      <x:c r="C502" s="8" t="n"/>
      <x:c r="D502" s="8" t="n"/>
      <x:c r="E502" s="8" t="n"/>
      <x:c r="F502" s="8" t="n"/>
      <x:c r="G502" s="8" t="n"/>
      <x:c r="H502" s="8" t="n"/>
      <x:c r="I502" s="8" t="n"/>
      <x:c r="J502" s="8" t="n"/>
      <x:c r="K502" s="8" t="n"/>
      <x:c r="L502" s="8" t="n"/>
      <x:c r="M502" s="8" t="n"/>
      <x:c r="N502" s="8" t="n"/>
      <x:c r="O502" s="8" t="n"/>
      <x:c r="P502">
        <x:f>COUNTA(J502:N502)</x:f>
      </x:c>
      <x:c r="Q502">
        <x:f>IF(A502="","",IF(P502&lt;&gt;5,1,0))</x:f>
      </x:c>
      <x:c r="R502">
        <x:f>IF(A502="","",IF(COUNTIF($A$5:$A$604,A502)&gt;1,1,0))</x:f>
      </x:c>
    </x:row>
    <x:row r="503">
      <x:c r="A503" s="8" t="n"/>
      <x:c r="B503" s="12" t="n"/>
      <x:c r="C503" s="8" t="n"/>
      <x:c r="D503" s="8" t="n"/>
      <x:c r="E503" s="8" t="n"/>
      <x:c r="F503" s="8" t="n"/>
      <x:c r="G503" s="8" t="n"/>
      <x:c r="H503" s="8" t="n"/>
      <x:c r="I503" s="8" t="n"/>
      <x:c r="J503" s="8" t="n"/>
      <x:c r="K503" s="8" t="n"/>
      <x:c r="L503" s="8" t="n"/>
      <x:c r="M503" s="8" t="n"/>
      <x:c r="N503" s="8" t="n"/>
      <x:c r="O503" s="8" t="n"/>
      <x:c r="P503">
        <x:f>COUNTA(J503:N503)</x:f>
      </x:c>
      <x:c r="Q503">
        <x:f>IF(A503="","",IF(P503&lt;&gt;5,1,0))</x:f>
      </x:c>
      <x:c r="R503">
        <x:f>IF(A503="","",IF(COUNTIF($A$5:$A$604,A503)&gt;1,1,0))</x:f>
      </x:c>
    </x:row>
    <x:row r="504">
      <x:c r="A504" s="8" t="n"/>
      <x:c r="B504" s="12" t="n"/>
      <x:c r="C504" s="8" t="n"/>
      <x:c r="D504" s="8" t="n"/>
      <x:c r="E504" s="8" t="n"/>
      <x:c r="F504" s="8" t="n"/>
      <x:c r="G504" s="8" t="n"/>
      <x:c r="H504" s="8" t="n"/>
      <x:c r="I504" s="8" t="n"/>
      <x:c r="J504" s="8" t="n"/>
      <x:c r="K504" s="8" t="n"/>
      <x:c r="L504" s="8" t="n"/>
      <x:c r="M504" s="8" t="n"/>
      <x:c r="N504" s="8" t="n"/>
      <x:c r="O504" s="8" t="n"/>
      <x:c r="P504">
        <x:f>COUNTA(J504:N504)</x:f>
      </x:c>
      <x:c r="Q504">
        <x:f>IF(A504="","",IF(P504&lt;&gt;5,1,0))</x:f>
      </x:c>
      <x:c r="R504">
        <x:f>IF(A504="","",IF(COUNTIF($A$5:$A$604,A504)&gt;1,1,0))</x:f>
      </x:c>
    </x:row>
    <x:row r="505">
      <x:c r="A505" s="8" t="n"/>
      <x:c r="B505" s="12" t="n"/>
      <x:c r="C505" s="8" t="n"/>
      <x:c r="D505" s="8" t="n"/>
      <x:c r="E505" s="8" t="n"/>
      <x:c r="F505" s="8" t="n"/>
      <x:c r="G505" s="8" t="n"/>
      <x:c r="H505" s="8" t="n"/>
      <x:c r="I505" s="8" t="n"/>
      <x:c r="J505" s="8" t="n"/>
      <x:c r="K505" s="8" t="n"/>
      <x:c r="L505" s="8" t="n"/>
      <x:c r="M505" s="8" t="n"/>
      <x:c r="N505" s="8" t="n"/>
      <x:c r="O505" s="8" t="n"/>
      <x:c r="P505">
        <x:f>COUNTA(J505:N505)</x:f>
      </x:c>
      <x:c r="Q505">
        <x:f>IF(A505="","",IF(P505&lt;&gt;5,1,0))</x:f>
      </x:c>
      <x:c r="R505">
        <x:f>IF(A505="","",IF(COUNTIF($A$5:$A$604,A505)&gt;1,1,0))</x:f>
      </x:c>
    </x:row>
    <x:row r="506">
      <x:c r="A506" s="8" t="n"/>
      <x:c r="B506" s="12" t="n"/>
      <x:c r="C506" s="8" t="n"/>
      <x:c r="D506" s="8" t="n"/>
      <x:c r="E506" s="8" t="n"/>
      <x:c r="F506" s="8" t="n"/>
      <x:c r="G506" s="8" t="n"/>
      <x:c r="H506" s="8" t="n"/>
      <x:c r="I506" s="8" t="n"/>
      <x:c r="J506" s="8" t="n"/>
      <x:c r="K506" s="8" t="n"/>
      <x:c r="L506" s="8" t="n"/>
      <x:c r="M506" s="8" t="n"/>
      <x:c r="N506" s="8" t="n"/>
      <x:c r="O506" s="8" t="n"/>
      <x:c r="P506">
        <x:f>COUNTA(J506:N506)</x:f>
      </x:c>
      <x:c r="Q506">
        <x:f>IF(A506="","",IF(P506&lt;&gt;5,1,0))</x:f>
      </x:c>
      <x:c r="R506">
        <x:f>IF(A506="","",IF(COUNTIF($A$5:$A$604,A506)&gt;1,1,0))</x:f>
      </x:c>
    </x:row>
    <x:row r="507">
      <x:c r="A507" s="8" t="n"/>
      <x:c r="B507" s="12" t="n"/>
      <x:c r="C507" s="8" t="n"/>
      <x:c r="D507" s="8" t="n"/>
      <x:c r="E507" s="8" t="n"/>
      <x:c r="F507" s="8" t="n"/>
      <x:c r="G507" s="8" t="n"/>
      <x:c r="H507" s="8" t="n"/>
      <x:c r="I507" s="8" t="n"/>
      <x:c r="J507" s="8" t="n"/>
      <x:c r="K507" s="8" t="n"/>
      <x:c r="L507" s="8" t="n"/>
      <x:c r="M507" s="8" t="n"/>
      <x:c r="N507" s="8" t="n"/>
      <x:c r="O507" s="8" t="n"/>
      <x:c r="P507">
        <x:f>COUNTA(J507:N507)</x:f>
      </x:c>
      <x:c r="Q507">
        <x:f>IF(A507="","",IF(P507&lt;&gt;5,1,0))</x:f>
      </x:c>
      <x:c r="R507">
        <x:f>IF(A507="","",IF(COUNTIF($A$5:$A$604,A507)&gt;1,1,0))</x:f>
      </x:c>
    </x:row>
    <x:row r="508">
      <x:c r="A508" s="8" t="n"/>
      <x:c r="B508" s="12" t="n"/>
      <x:c r="C508" s="8" t="n"/>
      <x:c r="D508" s="8" t="n"/>
      <x:c r="E508" s="8" t="n"/>
      <x:c r="F508" s="8" t="n"/>
      <x:c r="G508" s="8" t="n"/>
      <x:c r="H508" s="8" t="n"/>
      <x:c r="I508" s="8" t="n"/>
      <x:c r="J508" s="8" t="n"/>
      <x:c r="K508" s="8" t="n"/>
      <x:c r="L508" s="8" t="n"/>
      <x:c r="M508" s="8" t="n"/>
      <x:c r="N508" s="8" t="n"/>
      <x:c r="O508" s="8" t="n"/>
      <x:c r="P508">
        <x:f>COUNTA(J508:N508)</x:f>
      </x:c>
      <x:c r="Q508">
        <x:f>IF(A508="","",IF(P508&lt;&gt;5,1,0))</x:f>
      </x:c>
      <x:c r="R508">
        <x:f>IF(A508="","",IF(COUNTIF($A$5:$A$604,A508)&gt;1,1,0))</x:f>
      </x:c>
    </x:row>
    <x:row r="509">
      <x:c r="A509" s="8" t="n"/>
      <x:c r="B509" s="12" t="n"/>
      <x:c r="C509" s="8" t="n"/>
      <x:c r="D509" s="8" t="n"/>
      <x:c r="E509" s="8" t="n"/>
      <x:c r="F509" s="8" t="n"/>
      <x:c r="G509" s="8" t="n"/>
      <x:c r="H509" s="8" t="n"/>
      <x:c r="I509" s="8" t="n"/>
      <x:c r="J509" s="8" t="n"/>
      <x:c r="K509" s="8" t="n"/>
      <x:c r="L509" s="8" t="n"/>
      <x:c r="M509" s="8" t="n"/>
      <x:c r="N509" s="8" t="n"/>
      <x:c r="O509" s="8" t="n"/>
      <x:c r="P509">
        <x:f>COUNTA(J509:N509)</x:f>
      </x:c>
      <x:c r="Q509">
        <x:f>IF(A509="","",IF(P509&lt;&gt;5,1,0))</x:f>
      </x:c>
      <x:c r="R509">
        <x:f>IF(A509="","",IF(COUNTIF($A$5:$A$604,A509)&gt;1,1,0))</x:f>
      </x:c>
    </x:row>
    <x:row r="510">
      <x:c r="A510" s="8" t="n"/>
      <x:c r="B510" s="12" t="n"/>
      <x:c r="C510" s="8" t="n"/>
      <x:c r="D510" s="8" t="n"/>
      <x:c r="E510" s="8" t="n"/>
      <x:c r="F510" s="8" t="n"/>
      <x:c r="G510" s="8" t="n"/>
      <x:c r="H510" s="8" t="n"/>
      <x:c r="I510" s="8" t="n"/>
      <x:c r="J510" s="8" t="n"/>
      <x:c r="K510" s="8" t="n"/>
      <x:c r="L510" s="8" t="n"/>
      <x:c r="M510" s="8" t="n"/>
      <x:c r="N510" s="8" t="n"/>
      <x:c r="O510" s="8" t="n"/>
      <x:c r="P510">
        <x:f>COUNTA(J510:N510)</x:f>
      </x:c>
      <x:c r="Q510">
        <x:f>IF(A510="","",IF(P510&lt;&gt;5,1,0))</x:f>
      </x:c>
      <x:c r="R510">
        <x:f>IF(A510="","",IF(COUNTIF($A$5:$A$604,A510)&gt;1,1,0))</x:f>
      </x:c>
    </x:row>
    <x:row r="511">
      <x:c r="A511" s="8" t="n"/>
      <x:c r="B511" s="12" t="n"/>
      <x:c r="C511" s="8" t="n"/>
      <x:c r="D511" s="8" t="n"/>
      <x:c r="E511" s="8" t="n"/>
      <x:c r="F511" s="8" t="n"/>
      <x:c r="G511" s="8" t="n"/>
      <x:c r="H511" s="8" t="n"/>
      <x:c r="I511" s="8" t="n"/>
      <x:c r="J511" s="8" t="n"/>
      <x:c r="K511" s="8" t="n"/>
      <x:c r="L511" s="8" t="n"/>
      <x:c r="M511" s="8" t="n"/>
      <x:c r="N511" s="8" t="n"/>
      <x:c r="O511" s="8" t="n"/>
      <x:c r="P511">
        <x:f>COUNTA(J511:N511)</x:f>
      </x:c>
      <x:c r="Q511">
        <x:f>IF(A511="","",IF(P511&lt;&gt;5,1,0))</x:f>
      </x:c>
      <x:c r="R511">
        <x:f>IF(A511="","",IF(COUNTIF($A$5:$A$604,A511)&gt;1,1,0))</x:f>
      </x:c>
    </x:row>
    <x:row r="512">
      <x:c r="A512" s="8" t="n"/>
      <x:c r="B512" s="12" t="n"/>
      <x:c r="C512" s="8" t="n"/>
      <x:c r="D512" s="8" t="n"/>
      <x:c r="E512" s="8" t="n"/>
      <x:c r="F512" s="8" t="n"/>
      <x:c r="G512" s="8" t="n"/>
      <x:c r="H512" s="8" t="n"/>
      <x:c r="I512" s="8" t="n"/>
      <x:c r="J512" s="8" t="n"/>
      <x:c r="K512" s="8" t="n"/>
      <x:c r="L512" s="8" t="n"/>
      <x:c r="M512" s="8" t="n"/>
      <x:c r="N512" s="8" t="n"/>
      <x:c r="O512" s="8" t="n"/>
      <x:c r="P512">
        <x:f>COUNTA(J512:N512)</x:f>
      </x:c>
      <x:c r="Q512">
        <x:f>IF(A512="","",IF(P512&lt;&gt;5,1,0))</x:f>
      </x:c>
      <x:c r="R512">
        <x:f>IF(A512="","",IF(COUNTIF($A$5:$A$604,A512)&gt;1,1,0))</x:f>
      </x:c>
    </x:row>
    <x:row r="513">
      <x:c r="A513" s="8" t="n"/>
      <x:c r="B513" s="12" t="n"/>
      <x:c r="C513" s="8" t="n"/>
      <x:c r="D513" s="8" t="n"/>
      <x:c r="E513" s="8" t="n"/>
      <x:c r="F513" s="8" t="n"/>
      <x:c r="G513" s="8" t="n"/>
      <x:c r="H513" s="8" t="n"/>
      <x:c r="I513" s="8" t="n"/>
      <x:c r="J513" s="8" t="n"/>
      <x:c r="K513" s="8" t="n"/>
      <x:c r="L513" s="8" t="n"/>
      <x:c r="M513" s="8" t="n"/>
      <x:c r="N513" s="8" t="n"/>
      <x:c r="O513" s="8" t="n"/>
      <x:c r="P513">
        <x:f>COUNTA(J513:N513)</x:f>
      </x:c>
      <x:c r="Q513">
        <x:f>IF(A513="","",IF(P513&lt;&gt;5,1,0))</x:f>
      </x:c>
      <x:c r="R513">
        <x:f>IF(A513="","",IF(COUNTIF($A$5:$A$604,A513)&gt;1,1,0))</x:f>
      </x:c>
    </x:row>
    <x:row r="514">
      <x:c r="A514" s="8" t="n"/>
      <x:c r="B514" s="12" t="n"/>
      <x:c r="C514" s="8" t="n"/>
      <x:c r="D514" s="8" t="n"/>
      <x:c r="E514" s="8" t="n"/>
      <x:c r="F514" s="8" t="n"/>
      <x:c r="G514" s="8" t="n"/>
      <x:c r="H514" s="8" t="n"/>
      <x:c r="I514" s="8" t="n"/>
      <x:c r="J514" s="8" t="n"/>
      <x:c r="K514" s="8" t="n"/>
      <x:c r="L514" s="8" t="n"/>
      <x:c r="M514" s="8" t="n"/>
      <x:c r="N514" s="8" t="n"/>
      <x:c r="O514" s="8" t="n"/>
      <x:c r="P514">
        <x:f>COUNTA(J514:N514)</x:f>
      </x:c>
      <x:c r="Q514">
        <x:f>IF(A514="","",IF(P514&lt;&gt;5,1,0))</x:f>
      </x:c>
      <x:c r="R514">
        <x:f>IF(A514="","",IF(COUNTIF($A$5:$A$604,A514)&gt;1,1,0))</x:f>
      </x:c>
    </x:row>
    <x:row r="515">
      <x:c r="A515" s="8" t="n"/>
      <x:c r="B515" s="12" t="n"/>
      <x:c r="C515" s="8" t="n"/>
      <x:c r="D515" s="8" t="n"/>
      <x:c r="E515" s="8" t="n"/>
      <x:c r="F515" s="8" t="n"/>
      <x:c r="G515" s="8" t="n"/>
      <x:c r="H515" s="8" t="n"/>
      <x:c r="I515" s="8" t="n"/>
      <x:c r="J515" s="8" t="n"/>
      <x:c r="K515" s="8" t="n"/>
      <x:c r="L515" s="8" t="n"/>
      <x:c r="M515" s="8" t="n"/>
      <x:c r="N515" s="8" t="n"/>
      <x:c r="O515" s="8" t="n"/>
      <x:c r="P515">
        <x:f>COUNTA(J515:N515)</x:f>
      </x:c>
      <x:c r="Q515">
        <x:f>IF(A515="","",IF(P515&lt;&gt;5,1,0))</x:f>
      </x:c>
      <x:c r="R515">
        <x:f>IF(A515="","",IF(COUNTIF($A$5:$A$604,A515)&gt;1,1,0))</x:f>
      </x:c>
    </x:row>
    <x:row r="516">
      <x:c r="A516" s="8" t="n"/>
      <x:c r="B516" s="12" t="n"/>
      <x:c r="C516" s="8" t="n"/>
      <x:c r="D516" s="8" t="n"/>
      <x:c r="E516" s="8" t="n"/>
      <x:c r="F516" s="8" t="n"/>
      <x:c r="G516" s="8" t="n"/>
      <x:c r="H516" s="8" t="n"/>
      <x:c r="I516" s="8" t="n"/>
      <x:c r="J516" s="8" t="n"/>
      <x:c r="K516" s="8" t="n"/>
      <x:c r="L516" s="8" t="n"/>
      <x:c r="M516" s="8" t="n"/>
      <x:c r="N516" s="8" t="n"/>
      <x:c r="O516" s="8" t="n"/>
      <x:c r="P516">
        <x:f>COUNTA(J516:N516)</x:f>
      </x:c>
      <x:c r="Q516">
        <x:f>IF(A516="","",IF(P516&lt;&gt;5,1,0))</x:f>
      </x:c>
      <x:c r="R516">
        <x:f>IF(A516="","",IF(COUNTIF($A$5:$A$604,A516)&gt;1,1,0))</x:f>
      </x:c>
    </x:row>
    <x:row r="517">
      <x:c r="A517" s="8" t="n"/>
      <x:c r="B517" s="12" t="n"/>
      <x:c r="C517" s="8" t="n"/>
      <x:c r="D517" s="8" t="n"/>
      <x:c r="E517" s="8" t="n"/>
      <x:c r="F517" s="8" t="n"/>
      <x:c r="G517" s="8" t="n"/>
      <x:c r="H517" s="8" t="n"/>
      <x:c r="I517" s="8" t="n"/>
      <x:c r="J517" s="8" t="n"/>
      <x:c r="K517" s="8" t="n"/>
      <x:c r="L517" s="8" t="n"/>
      <x:c r="M517" s="8" t="n"/>
      <x:c r="N517" s="8" t="n"/>
      <x:c r="O517" s="8" t="n"/>
      <x:c r="P517">
        <x:f>COUNTA(J517:N517)</x:f>
      </x:c>
      <x:c r="Q517">
        <x:f>IF(A517="","",IF(P517&lt;&gt;5,1,0))</x:f>
      </x:c>
      <x:c r="R517">
        <x:f>IF(A517="","",IF(COUNTIF($A$5:$A$604,A517)&gt;1,1,0))</x:f>
      </x:c>
    </x:row>
    <x:row r="518">
      <x:c r="A518" s="8" t="n"/>
      <x:c r="B518" s="12" t="n"/>
      <x:c r="C518" s="8" t="n"/>
      <x:c r="D518" s="8" t="n"/>
      <x:c r="E518" s="8" t="n"/>
      <x:c r="F518" s="8" t="n"/>
      <x:c r="G518" s="8" t="n"/>
      <x:c r="H518" s="8" t="n"/>
      <x:c r="I518" s="8" t="n"/>
      <x:c r="J518" s="8" t="n"/>
      <x:c r="K518" s="8" t="n"/>
      <x:c r="L518" s="8" t="n"/>
      <x:c r="M518" s="8" t="n"/>
      <x:c r="N518" s="8" t="n"/>
      <x:c r="O518" s="8" t="n"/>
      <x:c r="P518">
        <x:f>COUNTA(J518:N518)</x:f>
      </x:c>
      <x:c r="Q518">
        <x:f>IF(A518="","",IF(P518&lt;&gt;5,1,0))</x:f>
      </x:c>
      <x:c r="R518">
        <x:f>IF(A518="","",IF(COUNTIF($A$5:$A$604,A518)&gt;1,1,0))</x:f>
      </x:c>
    </x:row>
    <x:row r="519">
      <x:c r="A519" s="8" t="n"/>
      <x:c r="B519" s="12" t="n"/>
      <x:c r="C519" s="8" t="n"/>
      <x:c r="D519" s="8" t="n"/>
      <x:c r="E519" s="8" t="n"/>
      <x:c r="F519" s="8" t="n"/>
      <x:c r="G519" s="8" t="n"/>
      <x:c r="H519" s="8" t="n"/>
      <x:c r="I519" s="8" t="n"/>
      <x:c r="J519" s="8" t="n"/>
      <x:c r="K519" s="8" t="n"/>
      <x:c r="L519" s="8" t="n"/>
      <x:c r="M519" s="8" t="n"/>
      <x:c r="N519" s="8" t="n"/>
      <x:c r="O519" s="8" t="n"/>
      <x:c r="P519">
        <x:f>COUNTA(J519:N519)</x:f>
      </x:c>
      <x:c r="Q519">
        <x:f>IF(A519="","",IF(P519&lt;&gt;5,1,0))</x:f>
      </x:c>
      <x:c r="R519">
        <x:f>IF(A519="","",IF(COUNTIF($A$5:$A$604,A519)&gt;1,1,0))</x:f>
      </x:c>
    </x:row>
    <x:row r="520">
      <x:c r="A520" s="8" t="n"/>
      <x:c r="B520" s="12" t="n"/>
      <x:c r="C520" s="8" t="n"/>
      <x:c r="D520" s="8" t="n"/>
      <x:c r="E520" s="8" t="n"/>
      <x:c r="F520" s="8" t="n"/>
      <x:c r="G520" s="8" t="n"/>
      <x:c r="H520" s="8" t="n"/>
      <x:c r="I520" s="8" t="n"/>
      <x:c r="J520" s="8" t="n"/>
      <x:c r="K520" s="8" t="n"/>
      <x:c r="L520" s="8" t="n"/>
      <x:c r="M520" s="8" t="n"/>
      <x:c r="N520" s="8" t="n"/>
      <x:c r="O520" s="8" t="n"/>
      <x:c r="P520">
        <x:f>COUNTA(J520:N520)</x:f>
      </x:c>
      <x:c r="Q520">
        <x:f>IF(A520="","",IF(P520&lt;&gt;5,1,0))</x:f>
      </x:c>
      <x:c r="R520">
        <x:f>IF(A520="","",IF(COUNTIF($A$5:$A$604,A520)&gt;1,1,0))</x:f>
      </x:c>
    </x:row>
    <x:row r="521">
      <x:c r="A521" s="8" t="n"/>
      <x:c r="B521" s="12" t="n"/>
      <x:c r="C521" s="8" t="n"/>
      <x:c r="D521" s="8" t="n"/>
      <x:c r="E521" s="8" t="n"/>
      <x:c r="F521" s="8" t="n"/>
      <x:c r="G521" s="8" t="n"/>
      <x:c r="H521" s="8" t="n"/>
      <x:c r="I521" s="8" t="n"/>
      <x:c r="J521" s="8" t="n"/>
      <x:c r="K521" s="8" t="n"/>
      <x:c r="L521" s="8" t="n"/>
      <x:c r="M521" s="8" t="n"/>
      <x:c r="N521" s="8" t="n"/>
      <x:c r="O521" s="8" t="n"/>
      <x:c r="P521">
        <x:f>COUNTA(J521:N521)</x:f>
      </x:c>
      <x:c r="Q521">
        <x:f>IF(A521="","",IF(P521&lt;&gt;5,1,0))</x:f>
      </x:c>
      <x:c r="R521">
        <x:f>IF(A521="","",IF(COUNTIF($A$5:$A$604,A521)&gt;1,1,0))</x:f>
      </x:c>
    </x:row>
    <x:row r="522">
      <x:c r="A522" s="8" t="n"/>
      <x:c r="B522" s="12" t="n"/>
      <x:c r="C522" s="8" t="n"/>
      <x:c r="D522" s="8" t="n"/>
      <x:c r="E522" s="8" t="n"/>
      <x:c r="F522" s="8" t="n"/>
      <x:c r="G522" s="8" t="n"/>
      <x:c r="H522" s="8" t="n"/>
      <x:c r="I522" s="8" t="n"/>
      <x:c r="J522" s="8" t="n"/>
      <x:c r="K522" s="8" t="n"/>
      <x:c r="L522" s="8" t="n"/>
      <x:c r="M522" s="8" t="n"/>
      <x:c r="N522" s="8" t="n"/>
      <x:c r="O522" s="8" t="n"/>
      <x:c r="P522">
        <x:f>COUNTA(J522:N522)</x:f>
      </x:c>
      <x:c r="Q522">
        <x:f>IF(A522="","",IF(P522&lt;&gt;5,1,0))</x:f>
      </x:c>
      <x:c r="R522">
        <x:f>IF(A522="","",IF(COUNTIF($A$5:$A$604,A522)&gt;1,1,0))</x:f>
      </x:c>
    </x:row>
    <x:row r="523">
      <x:c r="A523" s="8" t="n"/>
      <x:c r="B523" s="12" t="n"/>
      <x:c r="C523" s="8" t="n"/>
      <x:c r="D523" s="8" t="n"/>
      <x:c r="E523" s="8" t="n"/>
      <x:c r="F523" s="8" t="n"/>
      <x:c r="G523" s="8" t="n"/>
      <x:c r="H523" s="8" t="n"/>
      <x:c r="I523" s="8" t="n"/>
      <x:c r="J523" s="8" t="n"/>
      <x:c r="K523" s="8" t="n"/>
      <x:c r="L523" s="8" t="n"/>
      <x:c r="M523" s="8" t="n"/>
      <x:c r="N523" s="8" t="n"/>
      <x:c r="O523" s="8" t="n"/>
      <x:c r="P523">
        <x:f>COUNTA(J523:N523)</x:f>
      </x:c>
      <x:c r="Q523">
        <x:f>IF(A523="","",IF(P523&lt;&gt;5,1,0))</x:f>
      </x:c>
      <x:c r="R523">
        <x:f>IF(A523="","",IF(COUNTIF($A$5:$A$604,A523)&gt;1,1,0))</x:f>
      </x:c>
    </x:row>
    <x:row r="524">
      <x:c r="A524" s="8" t="n"/>
      <x:c r="B524" s="12" t="n"/>
      <x:c r="C524" s="8" t="n"/>
      <x:c r="D524" s="8" t="n"/>
      <x:c r="E524" s="8" t="n"/>
      <x:c r="F524" s="8" t="n"/>
      <x:c r="G524" s="8" t="n"/>
      <x:c r="H524" s="8" t="n"/>
      <x:c r="I524" s="8" t="n"/>
      <x:c r="J524" s="8" t="n"/>
      <x:c r="K524" s="8" t="n"/>
      <x:c r="L524" s="8" t="n"/>
      <x:c r="M524" s="8" t="n"/>
      <x:c r="N524" s="8" t="n"/>
      <x:c r="O524" s="8" t="n"/>
      <x:c r="P524">
        <x:f>COUNTA(J524:N524)</x:f>
      </x:c>
      <x:c r="Q524">
        <x:f>IF(A524="","",IF(P524&lt;&gt;5,1,0))</x:f>
      </x:c>
      <x:c r="R524">
        <x:f>IF(A524="","",IF(COUNTIF($A$5:$A$604,A524)&gt;1,1,0))</x:f>
      </x:c>
    </x:row>
    <x:row r="525">
      <x:c r="A525" s="8" t="n"/>
      <x:c r="B525" s="12" t="n"/>
      <x:c r="C525" s="8" t="n"/>
      <x:c r="D525" s="8" t="n"/>
      <x:c r="E525" s="8" t="n"/>
      <x:c r="F525" s="8" t="n"/>
      <x:c r="G525" s="8" t="n"/>
      <x:c r="H525" s="8" t="n"/>
      <x:c r="I525" s="8" t="n"/>
      <x:c r="J525" s="8" t="n"/>
      <x:c r="K525" s="8" t="n"/>
      <x:c r="L525" s="8" t="n"/>
      <x:c r="M525" s="8" t="n"/>
      <x:c r="N525" s="8" t="n"/>
      <x:c r="O525" s="8" t="n"/>
      <x:c r="P525">
        <x:f>COUNTA(J525:N525)</x:f>
      </x:c>
      <x:c r="Q525">
        <x:f>IF(A525="","",IF(P525&lt;&gt;5,1,0))</x:f>
      </x:c>
      <x:c r="R525">
        <x:f>IF(A525="","",IF(COUNTIF($A$5:$A$604,A525)&gt;1,1,0))</x:f>
      </x:c>
    </x:row>
    <x:row r="526">
      <x:c r="A526" s="8" t="n"/>
      <x:c r="B526" s="12" t="n"/>
      <x:c r="C526" s="8" t="n"/>
      <x:c r="D526" s="8" t="n"/>
      <x:c r="E526" s="8" t="n"/>
      <x:c r="F526" s="8" t="n"/>
      <x:c r="G526" s="8" t="n"/>
      <x:c r="H526" s="8" t="n"/>
      <x:c r="I526" s="8" t="n"/>
      <x:c r="J526" s="8" t="n"/>
      <x:c r="K526" s="8" t="n"/>
      <x:c r="L526" s="8" t="n"/>
      <x:c r="M526" s="8" t="n"/>
      <x:c r="N526" s="8" t="n"/>
      <x:c r="O526" s="8" t="n"/>
      <x:c r="P526">
        <x:f>COUNTA(J526:N526)</x:f>
      </x:c>
      <x:c r="Q526">
        <x:f>IF(A526="","",IF(P526&lt;&gt;5,1,0))</x:f>
      </x:c>
      <x:c r="R526">
        <x:f>IF(A526="","",IF(COUNTIF($A$5:$A$604,A526)&gt;1,1,0))</x:f>
      </x:c>
    </x:row>
    <x:row r="527">
      <x:c r="A527" s="8" t="n"/>
      <x:c r="B527" s="12" t="n"/>
      <x:c r="C527" s="8" t="n"/>
      <x:c r="D527" s="8" t="n"/>
      <x:c r="E527" s="8" t="n"/>
      <x:c r="F527" s="8" t="n"/>
      <x:c r="G527" s="8" t="n"/>
      <x:c r="H527" s="8" t="n"/>
      <x:c r="I527" s="8" t="n"/>
      <x:c r="J527" s="8" t="n"/>
      <x:c r="K527" s="8" t="n"/>
      <x:c r="L527" s="8" t="n"/>
      <x:c r="M527" s="8" t="n"/>
      <x:c r="N527" s="8" t="n"/>
      <x:c r="O527" s="8" t="n"/>
      <x:c r="P527">
        <x:f>COUNTA(J527:N527)</x:f>
      </x:c>
      <x:c r="Q527">
        <x:f>IF(A527="","",IF(P527&lt;&gt;5,1,0))</x:f>
      </x:c>
      <x:c r="R527">
        <x:f>IF(A527="","",IF(COUNTIF($A$5:$A$604,A527)&gt;1,1,0))</x:f>
      </x:c>
    </x:row>
    <x:row r="528">
      <x:c r="A528" s="8" t="n"/>
      <x:c r="B528" s="12" t="n"/>
      <x:c r="C528" s="8" t="n"/>
      <x:c r="D528" s="8" t="n"/>
      <x:c r="E528" s="8" t="n"/>
      <x:c r="F528" s="8" t="n"/>
      <x:c r="G528" s="8" t="n"/>
      <x:c r="H528" s="8" t="n"/>
      <x:c r="I528" s="8" t="n"/>
      <x:c r="J528" s="8" t="n"/>
      <x:c r="K528" s="8" t="n"/>
      <x:c r="L528" s="8" t="n"/>
      <x:c r="M528" s="8" t="n"/>
      <x:c r="N528" s="8" t="n"/>
      <x:c r="O528" s="8" t="n"/>
      <x:c r="P528">
        <x:f>COUNTA(J528:N528)</x:f>
      </x:c>
      <x:c r="Q528">
        <x:f>IF(A528="","",IF(P528&lt;&gt;5,1,0))</x:f>
      </x:c>
      <x:c r="R528">
        <x:f>IF(A528="","",IF(COUNTIF($A$5:$A$604,A528)&gt;1,1,0))</x:f>
      </x:c>
    </x:row>
    <x:row r="529">
      <x:c r="A529" s="8" t="n"/>
      <x:c r="B529" s="12" t="n"/>
      <x:c r="C529" s="8" t="n"/>
      <x:c r="D529" s="8" t="n"/>
      <x:c r="E529" s="8" t="n"/>
      <x:c r="F529" s="8" t="n"/>
      <x:c r="G529" s="8" t="n"/>
      <x:c r="H529" s="8" t="n"/>
      <x:c r="I529" s="8" t="n"/>
      <x:c r="J529" s="8" t="n"/>
      <x:c r="K529" s="8" t="n"/>
      <x:c r="L529" s="8" t="n"/>
      <x:c r="M529" s="8" t="n"/>
      <x:c r="N529" s="8" t="n"/>
      <x:c r="O529" s="8" t="n"/>
      <x:c r="P529">
        <x:f>COUNTA(J529:N529)</x:f>
      </x:c>
      <x:c r="Q529">
        <x:f>IF(A529="","",IF(P529&lt;&gt;5,1,0))</x:f>
      </x:c>
      <x:c r="R529">
        <x:f>IF(A529="","",IF(COUNTIF($A$5:$A$604,A529)&gt;1,1,0))</x:f>
      </x:c>
    </x:row>
    <x:row r="530">
      <x:c r="A530" s="8" t="n"/>
      <x:c r="B530" s="12" t="n"/>
      <x:c r="C530" s="8" t="n"/>
      <x:c r="D530" s="8" t="n"/>
      <x:c r="E530" s="8" t="n"/>
      <x:c r="F530" s="8" t="n"/>
      <x:c r="G530" s="8" t="n"/>
      <x:c r="H530" s="8" t="n"/>
      <x:c r="I530" s="8" t="n"/>
      <x:c r="J530" s="8" t="n"/>
      <x:c r="K530" s="8" t="n"/>
      <x:c r="L530" s="8" t="n"/>
      <x:c r="M530" s="8" t="n"/>
      <x:c r="N530" s="8" t="n"/>
      <x:c r="O530" s="8" t="n"/>
      <x:c r="P530">
        <x:f>COUNTA(J530:N530)</x:f>
      </x:c>
      <x:c r="Q530">
        <x:f>IF(A530="","",IF(P530&lt;&gt;5,1,0))</x:f>
      </x:c>
      <x:c r="R530">
        <x:f>IF(A530="","",IF(COUNTIF($A$5:$A$604,A530)&gt;1,1,0))</x:f>
      </x:c>
    </x:row>
    <x:row r="531">
      <x:c r="A531" s="8" t="n"/>
      <x:c r="B531" s="12" t="n"/>
      <x:c r="C531" s="8" t="n"/>
      <x:c r="D531" s="8" t="n"/>
      <x:c r="E531" s="8" t="n"/>
      <x:c r="F531" s="8" t="n"/>
      <x:c r="G531" s="8" t="n"/>
      <x:c r="H531" s="8" t="n"/>
      <x:c r="I531" s="8" t="n"/>
      <x:c r="J531" s="8" t="n"/>
      <x:c r="K531" s="8" t="n"/>
      <x:c r="L531" s="8" t="n"/>
      <x:c r="M531" s="8" t="n"/>
      <x:c r="N531" s="8" t="n"/>
      <x:c r="O531" s="8" t="n"/>
      <x:c r="P531">
        <x:f>COUNTA(J531:N531)</x:f>
      </x:c>
      <x:c r="Q531">
        <x:f>IF(A531="","",IF(P531&lt;&gt;5,1,0))</x:f>
      </x:c>
      <x:c r="R531">
        <x:f>IF(A531="","",IF(COUNTIF($A$5:$A$604,A531)&gt;1,1,0))</x:f>
      </x:c>
    </x:row>
    <x:row r="532">
      <x:c r="A532" s="8" t="n"/>
      <x:c r="B532" s="12" t="n"/>
      <x:c r="C532" s="8" t="n"/>
      <x:c r="D532" s="8" t="n"/>
      <x:c r="E532" s="8" t="n"/>
      <x:c r="F532" s="8" t="n"/>
      <x:c r="G532" s="8" t="n"/>
      <x:c r="H532" s="8" t="n"/>
      <x:c r="I532" s="8" t="n"/>
      <x:c r="J532" s="8" t="n"/>
      <x:c r="K532" s="8" t="n"/>
      <x:c r="L532" s="8" t="n"/>
      <x:c r="M532" s="8" t="n"/>
      <x:c r="N532" s="8" t="n"/>
      <x:c r="O532" s="8" t="n"/>
      <x:c r="P532">
        <x:f>COUNTA(J532:N532)</x:f>
      </x:c>
      <x:c r="Q532">
        <x:f>IF(A532="","",IF(P532&lt;&gt;5,1,0))</x:f>
      </x:c>
      <x:c r="R532">
        <x:f>IF(A532="","",IF(COUNTIF($A$5:$A$604,A532)&gt;1,1,0))</x:f>
      </x:c>
    </x:row>
    <x:row r="533">
      <x:c r="A533" s="8" t="n"/>
      <x:c r="B533" s="12" t="n"/>
      <x:c r="C533" s="8" t="n"/>
      <x:c r="D533" s="8" t="n"/>
      <x:c r="E533" s="8" t="n"/>
      <x:c r="F533" s="8" t="n"/>
      <x:c r="G533" s="8" t="n"/>
      <x:c r="H533" s="8" t="n"/>
      <x:c r="I533" s="8" t="n"/>
      <x:c r="J533" s="8" t="n"/>
      <x:c r="K533" s="8" t="n"/>
      <x:c r="L533" s="8" t="n"/>
      <x:c r="M533" s="8" t="n"/>
      <x:c r="N533" s="8" t="n"/>
      <x:c r="O533" s="8" t="n"/>
      <x:c r="P533">
        <x:f>COUNTA(J533:N533)</x:f>
      </x:c>
      <x:c r="Q533">
        <x:f>IF(A533="","",IF(P533&lt;&gt;5,1,0))</x:f>
      </x:c>
      <x:c r="R533">
        <x:f>IF(A533="","",IF(COUNTIF($A$5:$A$604,A533)&gt;1,1,0))</x:f>
      </x:c>
    </x:row>
    <x:row r="534">
      <x:c r="A534" s="8" t="n"/>
      <x:c r="B534" s="12" t="n"/>
      <x:c r="C534" s="8" t="n"/>
      <x:c r="D534" s="8" t="n"/>
      <x:c r="E534" s="8" t="n"/>
      <x:c r="F534" s="8" t="n"/>
      <x:c r="G534" s="8" t="n"/>
      <x:c r="H534" s="8" t="n"/>
      <x:c r="I534" s="8" t="n"/>
      <x:c r="J534" s="8" t="n"/>
      <x:c r="K534" s="8" t="n"/>
      <x:c r="L534" s="8" t="n"/>
      <x:c r="M534" s="8" t="n"/>
      <x:c r="N534" s="8" t="n"/>
      <x:c r="O534" s="8" t="n"/>
      <x:c r="P534">
        <x:f>COUNTA(J534:N534)</x:f>
      </x:c>
      <x:c r="Q534">
        <x:f>IF(A534="","",IF(P534&lt;&gt;5,1,0))</x:f>
      </x:c>
      <x:c r="R534">
        <x:f>IF(A534="","",IF(COUNTIF($A$5:$A$604,A534)&gt;1,1,0))</x:f>
      </x:c>
    </x:row>
    <x:row r="535">
      <x:c r="A535" s="8" t="n"/>
      <x:c r="B535" s="12" t="n"/>
      <x:c r="C535" s="8" t="n"/>
      <x:c r="D535" s="8" t="n"/>
      <x:c r="E535" s="8" t="n"/>
      <x:c r="F535" s="8" t="n"/>
      <x:c r="G535" s="8" t="n"/>
      <x:c r="H535" s="8" t="n"/>
      <x:c r="I535" s="8" t="n"/>
      <x:c r="J535" s="8" t="n"/>
      <x:c r="K535" s="8" t="n"/>
      <x:c r="L535" s="8" t="n"/>
      <x:c r="M535" s="8" t="n"/>
      <x:c r="N535" s="8" t="n"/>
      <x:c r="O535" s="8" t="n"/>
      <x:c r="P535">
        <x:f>COUNTA(J535:N535)</x:f>
      </x:c>
      <x:c r="Q535">
        <x:f>IF(A535="","",IF(P535&lt;&gt;5,1,0))</x:f>
      </x:c>
      <x:c r="R535">
        <x:f>IF(A535="","",IF(COUNTIF($A$5:$A$604,A535)&gt;1,1,0))</x:f>
      </x:c>
    </x:row>
    <x:row r="536">
      <x:c r="A536" s="8" t="n"/>
      <x:c r="B536" s="12" t="n"/>
      <x:c r="C536" s="8" t="n"/>
      <x:c r="D536" s="8" t="n"/>
      <x:c r="E536" s="8" t="n"/>
      <x:c r="F536" s="8" t="n"/>
      <x:c r="G536" s="8" t="n"/>
      <x:c r="H536" s="8" t="n"/>
      <x:c r="I536" s="8" t="n"/>
      <x:c r="J536" s="8" t="n"/>
      <x:c r="K536" s="8" t="n"/>
      <x:c r="L536" s="8" t="n"/>
      <x:c r="M536" s="8" t="n"/>
      <x:c r="N536" s="8" t="n"/>
      <x:c r="O536" s="8" t="n"/>
      <x:c r="P536">
        <x:f>COUNTA(J536:N536)</x:f>
      </x:c>
      <x:c r="Q536">
        <x:f>IF(A536="","",IF(P536&lt;&gt;5,1,0))</x:f>
      </x:c>
      <x:c r="R536">
        <x:f>IF(A536="","",IF(COUNTIF($A$5:$A$604,A536)&gt;1,1,0))</x:f>
      </x:c>
    </x:row>
    <x:row r="537">
      <x:c r="A537" s="8" t="n"/>
      <x:c r="B537" s="12" t="n"/>
      <x:c r="C537" s="8" t="n"/>
      <x:c r="D537" s="8" t="n"/>
      <x:c r="E537" s="8" t="n"/>
      <x:c r="F537" s="8" t="n"/>
      <x:c r="G537" s="8" t="n"/>
      <x:c r="H537" s="8" t="n"/>
      <x:c r="I537" s="8" t="n"/>
      <x:c r="J537" s="8" t="n"/>
      <x:c r="K537" s="8" t="n"/>
      <x:c r="L537" s="8" t="n"/>
      <x:c r="M537" s="8" t="n"/>
      <x:c r="N537" s="8" t="n"/>
      <x:c r="O537" s="8" t="n"/>
      <x:c r="P537">
        <x:f>COUNTA(J537:N537)</x:f>
      </x:c>
      <x:c r="Q537">
        <x:f>IF(A537="","",IF(P537&lt;&gt;5,1,0))</x:f>
      </x:c>
      <x:c r="R537">
        <x:f>IF(A537="","",IF(COUNTIF($A$5:$A$604,A537)&gt;1,1,0))</x:f>
      </x:c>
    </x:row>
    <x:row r="538">
      <x:c r="A538" s="8" t="n"/>
      <x:c r="B538" s="12" t="n"/>
      <x:c r="C538" s="8" t="n"/>
      <x:c r="D538" s="8" t="n"/>
      <x:c r="E538" s="8" t="n"/>
      <x:c r="F538" s="8" t="n"/>
      <x:c r="G538" s="8" t="n"/>
      <x:c r="H538" s="8" t="n"/>
      <x:c r="I538" s="8" t="n"/>
      <x:c r="J538" s="8" t="n"/>
      <x:c r="K538" s="8" t="n"/>
      <x:c r="L538" s="8" t="n"/>
      <x:c r="M538" s="8" t="n"/>
      <x:c r="N538" s="8" t="n"/>
      <x:c r="O538" s="8" t="n"/>
      <x:c r="P538">
        <x:f>COUNTA(J538:N538)</x:f>
      </x:c>
      <x:c r="Q538">
        <x:f>IF(A538="","",IF(P538&lt;&gt;5,1,0))</x:f>
      </x:c>
      <x:c r="R538">
        <x:f>IF(A538="","",IF(COUNTIF($A$5:$A$604,A538)&gt;1,1,0))</x:f>
      </x:c>
    </x:row>
    <x:row r="539">
      <x:c r="A539" s="8" t="n"/>
      <x:c r="B539" s="12" t="n"/>
      <x:c r="C539" s="8" t="n"/>
      <x:c r="D539" s="8" t="n"/>
      <x:c r="E539" s="8" t="n"/>
      <x:c r="F539" s="8" t="n"/>
      <x:c r="G539" s="8" t="n"/>
      <x:c r="H539" s="8" t="n"/>
      <x:c r="I539" s="8" t="n"/>
      <x:c r="J539" s="8" t="n"/>
      <x:c r="K539" s="8" t="n"/>
      <x:c r="L539" s="8" t="n"/>
      <x:c r="M539" s="8" t="n"/>
      <x:c r="N539" s="8" t="n"/>
      <x:c r="O539" s="8" t="n"/>
      <x:c r="P539">
        <x:f>COUNTA(J539:N539)</x:f>
      </x:c>
      <x:c r="Q539">
        <x:f>IF(A539="","",IF(P539&lt;&gt;5,1,0))</x:f>
      </x:c>
      <x:c r="R539">
        <x:f>IF(A539="","",IF(COUNTIF($A$5:$A$604,A539)&gt;1,1,0))</x:f>
      </x:c>
    </x:row>
    <x:row r="540">
      <x:c r="A540" s="8" t="n"/>
      <x:c r="B540" s="12" t="n"/>
      <x:c r="C540" s="8" t="n"/>
      <x:c r="D540" s="8" t="n"/>
      <x:c r="E540" s="8" t="n"/>
      <x:c r="F540" s="8" t="n"/>
      <x:c r="G540" s="8" t="n"/>
      <x:c r="H540" s="8" t="n"/>
      <x:c r="I540" s="8" t="n"/>
      <x:c r="J540" s="8" t="n"/>
      <x:c r="K540" s="8" t="n"/>
      <x:c r="L540" s="8" t="n"/>
      <x:c r="M540" s="8" t="n"/>
      <x:c r="N540" s="8" t="n"/>
      <x:c r="O540" s="8" t="n"/>
      <x:c r="P540">
        <x:f>COUNTA(J540:N540)</x:f>
      </x:c>
      <x:c r="Q540">
        <x:f>IF(A540="","",IF(P540&lt;&gt;5,1,0))</x:f>
      </x:c>
      <x:c r="R540">
        <x:f>IF(A540="","",IF(COUNTIF($A$5:$A$604,A540)&gt;1,1,0))</x:f>
      </x:c>
    </x:row>
    <x:row r="541">
      <x:c r="A541" s="8" t="n"/>
      <x:c r="B541" s="12" t="n"/>
      <x:c r="C541" s="8" t="n"/>
      <x:c r="D541" s="8" t="n"/>
      <x:c r="E541" s="8" t="n"/>
      <x:c r="F541" s="8" t="n"/>
      <x:c r="G541" s="8" t="n"/>
      <x:c r="H541" s="8" t="n"/>
      <x:c r="I541" s="8" t="n"/>
      <x:c r="J541" s="8" t="n"/>
      <x:c r="K541" s="8" t="n"/>
      <x:c r="L541" s="8" t="n"/>
      <x:c r="M541" s="8" t="n"/>
      <x:c r="N541" s="8" t="n"/>
      <x:c r="O541" s="8" t="n"/>
      <x:c r="P541">
        <x:f>COUNTA(J541:N541)</x:f>
      </x:c>
      <x:c r="Q541">
        <x:f>IF(A541="","",IF(P541&lt;&gt;5,1,0))</x:f>
      </x:c>
      <x:c r="R541">
        <x:f>IF(A541="","",IF(COUNTIF($A$5:$A$604,A541)&gt;1,1,0))</x:f>
      </x:c>
    </x:row>
    <x:row r="542">
      <x:c r="A542" s="8" t="n"/>
      <x:c r="B542" s="12" t="n"/>
      <x:c r="C542" s="8" t="n"/>
      <x:c r="D542" s="8" t="n"/>
      <x:c r="E542" s="8" t="n"/>
      <x:c r="F542" s="8" t="n"/>
      <x:c r="G542" s="8" t="n"/>
      <x:c r="H542" s="8" t="n"/>
      <x:c r="I542" s="8" t="n"/>
      <x:c r="J542" s="8" t="n"/>
      <x:c r="K542" s="8" t="n"/>
      <x:c r="L542" s="8" t="n"/>
      <x:c r="M542" s="8" t="n"/>
      <x:c r="N542" s="8" t="n"/>
      <x:c r="O542" s="8" t="n"/>
      <x:c r="P542">
        <x:f>COUNTA(J542:N542)</x:f>
      </x:c>
      <x:c r="Q542">
        <x:f>IF(A542="","",IF(P542&lt;&gt;5,1,0))</x:f>
      </x:c>
      <x:c r="R542">
        <x:f>IF(A542="","",IF(COUNTIF($A$5:$A$604,A542)&gt;1,1,0))</x:f>
      </x:c>
    </x:row>
    <x:row r="543">
      <x:c r="A543" s="8" t="n"/>
      <x:c r="B543" s="12" t="n"/>
      <x:c r="C543" s="8" t="n"/>
      <x:c r="D543" s="8" t="n"/>
      <x:c r="E543" s="8" t="n"/>
      <x:c r="F543" s="8" t="n"/>
      <x:c r="G543" s="8" t="n"/>
      <x:c r="H543" s="8" t="n"/>
      <x:c r="I543" s="8" t="n"/>
      <x:c r="J543" s="8" t="n"/>
      <x:c r="K543" s="8" t="n"/>
      <x:c r="L543" s="8" t="n"/>
      <x:c r="M543" s="8" t="n"/>
      <x:c r="N543" s="8" t="n"/>
      <x:c r="O543" s="8" t="n"/>
      <x:c r="P543">
        <x:f>COUNTA(J543:N543)</x:f>
      </x:c>
      <x:c r="Q543">
        <x:f>IF(A543="","",IF(P543&lt;&gt;5,1,0))</x:f>
      </x:c>
      <x:c r="R543">
        <x:f>IF(A543="","",IF(COUNTIF($A$5:$A$604,A543)&gt;1,1,0))</x:f>
      </x:c>
    </x:row>
    <x:row r="544">
      <x:c r="A544" s="8" t="n"/>
      <x:c r="B544" s="12" t="n"/>
      <x:c r="C544" s="8" t="n"/>
      <x:c r="D544" s="8" t="n"/>
      <x:c r="E544" s="8" t="n"/>
      <x:c r="F544" s="8" t="n"/>
      <x:c r="G544" s="8" t="n"/>
      <x:c r="H544" s="8" t="n"/>
      <x:c r="I544" s="8" t="n"/>
      <x:c r="J544" s="8" t="n"/>
      <x:c r="K544" s="8" t="n"/>
      <x:c r="L544" s="8" t="n"/>
      <x:c r="M544" s="8" t="n"/>
      <x:c r="N544" s="8" t="n"/>
      <x:c r="O544" s="8" t="n"/>
      <x:c r="P544">
        <x:f>COUNTA(J544:N544)</x:f>
      </x:c>
      <x:c r="Q544">
        <x:f>IF(A544="","",IF(P544&lt;&gt;5,1,0))</x:f>
      </x:c>
      <x:c r="R544">
        <x:f>IF(A544="","",IF(COUNTIF($A$5:$A$604,A544)&gt;1,1,0))</x:f>
      </x:c>
    </x:row>
    <x:row r="545">
      <x:c r="A545" s="8" t="n"/>
      <x:c r="B545" s="12" t="n"/>
      <x:c r="C545" s="8" t="n"/>
      <x:c r="D545" s="8" t="n"/>
      <x:c r="E545" s="8" t="n"/>
      <x:c r="F545" s="8" t="n"/>
      <x:c r="G545" s="8" t="n"/>
      <x:c r="H545" s="8" t="n"/>
      <x:c r="I545" s="8" t="n"/>
      <x:c r="J545" s="8" t="n"/>
      <x:c r="K545" s="8" t="n"/>
      <x:c r="L545" s="8" t="n"/>
      <x:c r="M545" s="8" t="n"/>
      <x:c r="N545" s="8" t="n"/>
      <x:c r="O545" s="8" t="n"/>
      <x:c r="P545">
        <x:f>COUNTA(J545:N545)</x:f>
      </x:c>
      <x:c r="Q545">
        <x:f>IF(A545="","",IF(P545&lt;&gt;5,1,0))</x:f>
      </x:c>
      <x:c r="R545">
        <x:f>IF(A545="","",IF(COUNTIF($A$5:$A$604,A545)&gt;1,1,0))</x:f>
      </x:c>
    </x:row>
    <x:row r="546">
      <x:c r="A546" s="8" t="n"/>
      <x:c r="B546" s="12" t="n"/>
      <x:c r="C546" s="8" t="n"/>
      <x:c r="D546" s="8" t="n"/>
      <x:c r="E546" s="8" t="n"/>
      <x:c r="F546" s="8" t="n"/>
      <x:c r="G546" s="8" t="n"/>
      <x:c r="H546" s="8" t="n"/>
      <x:c r="I546" s="8" t="n"/>
      <x:c r="J546" s="8" t="n"/>
      <x:c r="K546" s="8" t="n"/>
      <x:c r="L546" s="8" t="n"/>
      <x:c r="M546" s="8" t="n"/>
      <x:c r="N546" s="8" t="n"/>
      <x:c r="O546" s="8" t="n"/>
      <x:c r="P546">
        <x:f>COUNTA(J546:N546)</x:f>
      </x:c>
      <x:c r="Q546">
        <x:f>IF(A546="","",IF(P546&lt;&gt;5,1,0))</x:f>
      </x:c>
      <x:c r="R546">
        <x:f>IF(A546="","",IF(COUNTIF($A$5:$A$604,A546)&gt;1,1,0))</x:f>
      </x:c>
    </x:row>
    <x:row r="547">
      <x:c r="A547" s="8" t="n"/>
      <x:c r="B547" s="12" t="n"/>
      <x:c r="C547" s="8" t="n"/>
      <x:c r="D547" s="8" t="n"/>
      <x:c r="E547" s="8" t="n"/>
      <x:c r="F547" s="8" t="n"/>
      <x:c r="G547" s="8" t="n"/>
      <x:c r="H547" s="8" t="n"/>
      <x:c r="I547" s="8" t="n"/>
      <x:c r="J547" s="8" t="n"/>
      <x:c r="K547" s="8" t="n"/>
      <x:c r="L547" s="8" t="n"/>
      <x:c r="M547" s="8" t="n"/>
      <x:c r="N547" s="8" t="n"/>
      <x:c r="O547" s="8" t="n"/>
      <x:c r="P547">
        <x:f>COUNTA(J547:N547)</x:f>
      </x:c>
      <x:c r="Q547">
        <x:f>IF(A547="","",IF(P547&lt;&gt;5,1,0))</x:f>
      </x:c>
      <x:c r="R547">
        <x:f>IF(A547="","",IF(COUNTIF($A$5:$A$604,A547)&gt;1,1,0))</x:f>
      </x:c>
    </x:row>
    <x:row r="548">
      <x:c r="A548" s="8" t="n"/>
      <x:c r="B548" s="12" t="n"/>
      <x:c r="C548" s="8" t="n"/>
      <x:c r="D548" s="8" t="n"/>
      <x:c r="E548" s="8" t="n"/>
      <x:c r="F548" s="8" t="n"/>
      <x:c r="G548" s="8" t="n"/>
      <x:c r="H548" s="8" t="n"/>
      <x:c r="I548" s="8" t="n"/>
      <x:c r="J548" s="8" t="n"/>
      <x:c r="K548" s="8" t="n"/>
      <x:c r="L548" s="8" t="n"/>
      <x:c r="M548" s="8" t="n"/>
      <x:c r="N548" s="8" t="n"/>
      <x:c r="O548" s="8" t="n"/>
      <x:c r="P548">
        <x:f>COUNTA(J548:N548)</x:f>
      </x:c>
      <x:c r="Q548">
        <x:f>IF(A548="","",IF(P548&lt;&gt;5,1,0))</x:f>
      </x:c>
      <x:c r="R548">
        <x:f>IF(A548="","",IF(COUNTIF($A$5:$A$604,A548)&gt;1,1,0))</x:f>
      </x:c>
    </x:row>
    <x:row r="549">
      <x:c r="A549" s="8" t="n"/>
      <x:c r="B549" s="12" t="n"/>
      <x:c r="C549" s="8" t="n"/>
      <x:c r="D549" s="8" t="n"/>
      <x:c r="E549" s="8" t="n"/>
      <x:c r="F549" s="8" t="n"/>
      <x:c r="G549" s="8" t="n"/>
      <x:c r="H549" s="8" t="n"/>
      <x:c r="I549" s="8" t="n"/>
      <x:c r="J549" s="8" t="n"/>
      <x:c r="K549" s="8" t="n"/>
      <x:c r="L549" s="8" t="n"/>
      <x:c r="M549" s="8" t="n"/>
      <x:c r="N549" s="8" t="n"/>
      <x:c r="O549" s="8" t="n"/>
      <x:c r="P549">
        <x:f>COUNTA(J549:N549)</x:f>
      </x:c>
      <x:c r="Q549">
        <x:f>IF(A549="","",IF(P549&lt;&gt;5,1,0))</x:f>
      </x:c>
      <x:c r="R549">
        <x:f>IF(A549="","",IF(COUNTIF($A$5:$A$604,A549)&gt;1,1,0))</x:f>
      </x:c>
    </x:row>
    <x:row r="550">
      <x:c r="A550" s="8" t="n"/>
      <x:c r="B550" s="12" t="n"/>
      <x:c r="C550" s="8" t="n"/>
      <x:c r="D550" s="8" t="n"/>
      <x:c r="E550" s="8" t="n"/>
      <x:c r="F550" s="8" t="n"/>
      <x:c r="G550" s="8" t="n"/>
      <x:c r="H550" s="8" t="n"/>
      <x:c r="I550" s="8" t="n"/>
      <x:c r="J550" s="8" t="n"/>
      <x:c r="K550" s="8" t="n"/>
      <x:c r="L550" s="8" t="n"/>
      <x:c r="M550" s="8" t="n"/>
      <x:c r="N550" s="8" t="n"/>
      <x:c r="O550" s="8" t="n"/>
      <x:c r="P550">
        <x:f>COUNTA(J550:N550)</x:f>
      </x:c>
      <x:c r="Q550">
        <x:f>IF(A550="","",IF(P550&lt;&gt;5,1,0))</x:f>
      </x:c>
      <x:c r="R550">
        <x:f>IF(A550="","",IF(COUNTIF($A$5:$A$604,A550)&gt;1,1,0))</x:f>
      </x:c>
    </x:row>
    <x:row r="551">
      <x:c r="A551" s="8" t="n"/>
      <x:c r="B551" s="12" t="n"/>
      <x:c r="C551" s="8" t="n"/>
      <x:c r="D551" s="8" t="n"/>
      <x:c r="E551" s="8" t="n"/>
      <x:c r="F551" s="8" t="n"/>
      <x:c r="G551" s="8" t="n"/>
      <x:c r="H551" s="8" t="n"/>
      <x:c r="I551" s="8" t="n"/>
      <x:c r="J551" s="8" t="n"/>
      <x:c r="K551" s="8" t="n"/>
      <x:c r="L551" s="8" t="n"/>
      <x:c r="M551" s="8" t="n"/>
      <x:c r="N551" s="8" t="n"/>
      <x:c r="O551" s="8" t="n"/>
      <x:c r="P551">
        <x:f>COUNTA(J551:N551)</x:f>
      </x:c>
      <x:c r="Q551">
        <x:f>IF(A551="","",IF(P551&lt;&gt;5,1,0))</x:f>
      </x:c>
      <x:c r="R551">
        <x:f>IF(A551="","",IF(COUNTIF($A$5:$A$604,A551)&gt;1,1,0))</x:f>
      </x:c>
    </x:row>
    <x:row r="552">
      <x:c r="A552" s="8" t="n"/>
      <x:c r="B552" s="12" t="n"/>
      <x:c r="C552" s="8" t="n"/>
      <x:c r="D552" s="8" t="n"/>
      <x:c r="E552" s="8" t="n"/>
      <x:c r="F552" s="8" t="n"/>
      <x:c r="G552" s="8" t="n"/>
      <x:c r="H552" s="8" t="n"/>
      <x:c r="I552" s="8" t="n"/>
      <x:c r="J552" s="8" t="n"/>
      <x:c r="K552" s="8" t="n"/>
      <x:c r="L552" s="8" t="n"/>
      <x:c r="M552" s="8" t="n"/>
      <x:c r="N552" s="8" t="n"/>
      <x:c r="O552" s="8" t="n"/>
      <x:c r="P552">
        <x:f>COUNTA(J552:N552)</x:f>
      </x:c>
      <x:c r="Q552">
        <x:f>IF(A552="","",IF(P552&lt;&gt;5,1,0))</x:f>
      </x:c>
      <x:c r="R552">
        <x:f>IF(A552="","",IF(COUNTIF($A$5:$A$604,A552)&gt;1,1,0))</x:f>
      </x:c>
    </x:row>
    <x:row r="553">
      <x:c r="A553" s="8" t="n"/>
      <x:c r="B553" s="12" t="n"/>
      <x:c r="C553" s="8" t="n"/>
      <x:c r="D553" s="8" t="n"/>
      <x:c r="E553" s="8" t="n"/>
      <x:c r="F553" s="8" t="n"/>
      <x:c r="G553" s="8" t="n"/>
      <x:c r="H553" s="8" t="n"/>
      <x:c r="I553" s="8" t="n"/>
      <x:c r="J553" s="8" t="n"/>
      <x:c r="K553" s="8" t="n"/>
      <x:c r="L553" s="8" t="n"/>
      <x:c r="M553" s="8" t="n"/>
      <x:c r="N553" s="8" t="n"/>
      <x:c r="O553" s="8" t="n"/>
      <x:c r="P553">
        <x:f>COUNTA(J553:N553)</x:f>
      </x:c>
      <x:c r="Q553">
        <x:f>IF(A553="","",IF(P553&lt;&gt;5,1,0))</x:f>
      </x:c>
      <x:c r="R553">
        <x:f>IF(A553="","",IF(COUNTIF($A$5:$A$604,A553)&gt;1,1,0))</x:f>
      </x:c>
    </x:row>
    <x:row r="554">
      <x:c r="A554" s="8" t="n"/>
      <x:c r="B554" s="12" t="n"/>
      <x:c r="C554" s="8" t="n"/>
      <x:c r="D554" s="8" t="n"/>
      <x:c r="E554" s="8" t="n"/>
      <x:c r="F554" s="8" t="n"/>
      <x:c r="G554" s="8" t="n"/>
      <x:c r="H554" s="8" t="n"/>
      <x:c r="I554" s="8" t="n"/>
      <x:c r="J554" s="8" t="n"/>
      <x:c r="K554" s="8" t="n"/>
      <x:c r="L554" s="8" t="n"/>
      <x:c r="M554" s="8" t="n"/>
      <x:c r="N554" s="8" t="n"/>
      <x:c r="O554" s="8" t="n"/>
      <x:c r="P554">
        <x:f>COUNTA(J554:N554)</x:f>
      </x:c>
      <x:c r="Q554">
        <x:f>IF(A554="","",IF(P554&lt;&gt;5,1,0))</x:f>
      </x:c>
      <x:c r="R554">
        <x:f>IF(A554="","",IF(COUNTIF($A$5:$A$604,A554)&gt;1,1,0))</x:f>
      </x:c>
    </x:row>
    <x:row r="555">
      <x:c r="A555" s="8" t="n"/>
      <x:c r="B555" s="12" t="n"/>
      <x:c r="C555" s="8" t="n"/>
      <x:c r="D555" s="8" t="n"/>
      <x:c r="E555" s="8" t="n"/>
      <x:c r="F555" s="8" t="n"/>
      <x:c r="G555" s="8" t="n"/>
      <x:c r="H555" s="8" t="n"/>
      <x:c r="I555" s="8" t="n"/>
      <x:c r="J555" s="8" t="n"/>
      <x:c r="K555" s="8" t="n"/>
      <x:c r="L555" s="8" t="n"/>
      <x:c r="M555" s="8" t="n"/>
      <x:c r="N555" s="8" t="n"/>
      <x:c r="O555" s="8" t="n"/>
      <x:c r="P555">
        <x:f>COUNTA(J555:N555)</x:f>
      </x:c>
      <x:c r="Q555">
        <x:f>IF(A555="","",IF(P555&lt;&gt;5,1,0))</x:f>
      </x:c>
      <x:c r="R555">
        <x:f>IF(A555="","",IF(COUNTIF($A$5:$A$604,A555)&gt;1,1,0))</x:f>
      </x:c>
    </x:row>
    <x:row r="556">
      <x:c r="A556" s="8" t="n"/>
      <x:c r="B556" s="12" t="n"/>
      <x:c r="C556" s="8" t="n"/>
      <x:c r="D556" s="8" t="n"/>
      <x:c r="E556" s="8" t="n"/>
      <x:c r="F556" s="8" t="n"/>
      <x:c r="G556" s="8" t="n"/>
      <x:c r="H556" s="8" t="n"/>
      <x:c r="I556" s="8" t="n"/>
      <x:c r="J556" s="8" t="n"/>
      <x:c r="K556" s="8" t="n"/>
      <x:c r="L556" s="8" t="n"/>
      <x:c r="M556" s="8" t="n"/>
      <x:c r="N556" s="8" t="n"/>
      <x:c r="O556" s="8" t="n"/>
      <x:c r="P556">
        <x:f>COUNTA(J556:N556)</x:f>
      </x:c>
      <x:c r="Q556">
        <x:f>IF(A556="","",IF(P556&lt;&gt;5,1,0))</x:f>
      </x:c>
      <x:c r="R556">
        <x:f>IF(A556="","",IF(COUNTIF($A$5:$A$604,A556)&gt;1,1,0))</x:f>
      </x:c>
    </x:row>
    <x:row r="557">
      <x:c r="A557" s="8" t="n"/>
      <x:c r="B557" s="12" t="n"/>
      <x:c r="C557" s="8" t="n"/>
      <x:c r="D557" s="8" t="n"/>
      <x:c r="E557" s="8" t="n"/>
      <x:c r="F557" s="8" t="n"/>
      <x:c r="G557" s="8" t="n"/>
      <x:c r="H557" s="8" t="n"/>
      <x:c r="I557" s="8" t="n"/>
      <x:c r="J557" s="8" t="n"/>
      <x:c r="K557" s="8" t="n"/>
      <x:c r="L557" s="8" t="n"/>
      <x:c r="M557" s="8" t="n"/>
      <x:c r="N557" s="8" t="n"/>
      <x:c r="O557" s="8" t="n"/>
      <x:c r="P557">
        <x:f>COUNTA(J557:N557)</x:f>
      </x:c>
      <x:c r="Q557">
        <x:f>IF(A557="","",IF(P557&lt;&gt;5,1,0))</x:f>
      </x:c>
      <x:c r="R557">
        <x:f>IF(A557="","",IF(COUNTIF($A$5:$A$604,A557)&gt;1,1,0))</x:f>
      </x:c>
    </x:row>
    <x:row r="558">
      <x:c r="A558" s="8" t="n"/>
      <x:c r="B558" s="12" t="n"/>
      <x:c r="C558" s="8" t="n"/>
      <x:c r="D558" s="8" t="n"/>
      <x:c r="E558" s="8" t="n"/>
      <x:c r="F558" s="8" t="n"/>
      <x:c r="G558" s="8" t="n"/>
      <x:c r="H558" s="8" t="n"/>
      <x:c r="I558" s="8" t="n"/>
      <x:c r="J558" s="8" t="n"/>
      <x:c r="K558" s="8" t="n"/>
      <x:c r="L558" s="8" t="n"/>
      <x:c r="M558" s="8" t="n"/>
      <x:c r="N558" s="8" t="n"/>
      <x:c r="O558" s="8" t="n"/>
      <x:c r="P558">
        <x:f>COUNTA(J558:N558)</x:f>
      </x:c>
      <x:c r="Q558">
        <x:f>IF(A558="","",IF(P558&lt;&gt;5,1,0))</x:f>
      </x:c>
      <x:c r="R558">
        <x:f>IF(A558="","",IF(COUNTIF($A$5:$A$604,A558)&gt;1,1,0))</x:f>
      </x:c>
    </x:row>
    <x:row r="559">
      <x:c r="A559" s="8" t="n"/>
      <x:c r="B559" s="12" t="n"/>
      <x:c r="C559" s="8" t="n"/>
      <x:c r="D559" s="8" t="n"/>
      <x:c r="E559" s="8" t="n"/>
      <x:c r="F559" s="8" t="n"/>
      <x:c r="G559" s="8" t="n"/>
      <x:c r="H559" s="8" t="n"/>
      <x:c r="I559" s="8" t="n"/>
      <x:c r="J559" s="8" t="n"/>
      <x:c r="K559" s="8" t="n"/>
      <x:c r="L559" s="8" t="n"/>
      <x:c r="M559" s="8" t="n"/>
      <x:c r="N559" s="8" t="n"/>
      <x:c r="O559" s="8" t="n"/>
      <x:c r="P559">
        <x:f>COUNTA(J559:N559)</x:f>
      </x:c>
      <x:c r="Q559">
        <x:f>IF(A559="","",IF(P559&lt;&gt;5,1,0))</x:f>
      </x:c>
      <x:c r="R559">
        <x:f>IF(A559="","",IF(COUNTIF($A$5:$A$604,A559)&gt;1,1,0))</x:f>
      </x:c>
    </x:row>
    <x:row r="560">
      <x:c r="A560" s="8" t="n"/>
      <x:c r="B560" s="12" t="n"/>
      <x:c r="C560" s="8" t="n"/>
      <x:c r="D560" s="8" t="n"/>
      <x:c r="E560" s="8" t="n"/>
      <x:c r="F560" s="8" t="n"/>
      <x:c r="G560" s="8" t="n"/>
      <x:c r="H560" s="8" t="n"/>
      <x:c r="I560" s="8" t="n"/>
      <x:c r="J560" s="8" t="n"/>
      <x:c r="K560" s="8" t="n"/>
      <x:c r="L560" s="8" t="n"/>
      <x:c r="M560" s="8" t="n"/>
      <x:c r="N560" s="8" t="n"/>
      <x:c r="O560" s="8" t="n"/>
      <x:c r="P560">
        <x:f>COUNTA(J560:N560)</x:f>
      </x:c>
      <x:c r="Q560">
        <x:f>IF(A560="","",IF(P560&lt;&gt;5,1,0))</x:f>
      </x:c>
      <x:c r="R560">
        <x:f>IF(A560="","",IF(COUNTIF($A$5:$A$604,A560)&gt;1,1,0))</x:f>
      </x:c>
    </x:row>
    <x:row r="561">
      <x:c r="A561" s="8" t="n"/>
      <x:c r="B561" s="12" t="n"/>
      <x:c r="C561" s="8" t="n"/>
      <x:c r="D561" s="8" t="n"/>
      <x:c r="E561" s="8" t="n"/>
      <x:c r="F561" s="8" t="n"/>
      <x:c r="G561" s="8" t="n"/>
      <x:c r="H561" s="8" t="n"/>
      <x:c r="I561" s="8" t="n"/>
      <x:c r="J561" s="8" t="n"/>
      <x:c r="K561" s="8" t="n"/>
      <x:c r="L561" s="8" t="n"/>
      <x:c r="M561" s="8" t="n"/>
      <x:c r="N561" s="8" t="n"/>
      <x:c r="O561" s="8" t="n"/>
      <x:c r="P561">
        <x:f>COUNTA(J561:N561)</x:f>
      </x:c>
      <x:c r="Q561">
        <x:f>IF(A561="","",IF(P561&lt;&gt;5,1,0))</x:f>
      </x:c>
      <x:c r="R561">
        <x:f>IF(A561="","",IF(COUNTIF($A$5:$A$604,A561)&gt;1,1,0))</x:f>
      </x:c>
    </x:row>
    <x:row r="562">
      <x:c r="A562" s="8" t="n"/>
      <x:c r="B562" s="12" t="n"/>
      <x:c r="C562" s="8" t="n"/>
      <x:c r="D562" s="8" t="n"/>
      <x:c r="E562" s="8" t="n"/>
      <x:c r="F562" s="8" t="n"/>
      <x:c r="G562" s="8" t="n"/>
      <x:c r="H562" s="8" t="n"/>
      <x:c r="I562" s="8" t="n"/>
      <x:c r="J562" s="8" t="n"/>
      <x:c r="K562" s="8" t="n"/>
      <x:c r="L562" s="8" t="n"/>
      <x:c r="M562" s="8" t="n"/>
      <x:c r="N562" s="8" t="n"/>
      <x:c r="O562" s="8" t="n"/>
      <x:c r="P562">
        <x:f>COUNTA(J562:N562)</x:f>
      </x:c>
      <x:c r="Q562">
        <x:f>IF(A562="","",IF(P562&lt;&gt;5,1,0))</x:f>
      </x:c>
      <x:c r="R562">
        <x:f>IF(A562="","",IF(COUNTIF($A$5:$A$604,A562)&gt;1,1,0))</x:f>
      </x:c>
    </x:row>
    <x:row r="563">
      <x:c r="A563" s="8" t="n"/>
      <x:c r="B563" s="12" t="n"/>
      <x:c r="C563" s="8" t="n"/>
      <x:c r="D563" s="8" t="n"/>
      <x:c r="E563" s="8" t="n"/>
      <x:c r="F563" s="8" t="n"/>
      <x:c r="G563" s="8" t="n"/>
      <x:c r="H563" s="8" t="n"/>
      <x:c r="I563" s="8" t="n"/>
      <x:c r="J563" s="8" t="n"/>
      <x:c r="K563" s="8" t="n"/>
      <x:c r="L563" s="8" t="n"/>
      <x:c r="M563" s="8" t="n"/>
      <x:c r="N563" s="8" t="n"/>
      <x:c r="O563" s="8" t="n"/>
      <x:c r="P563">
        <x:f>COUNTA(J563:N563)</x:f>
      </x:c>
      <x:c r="Q563">
        <x:f>IF(A563="","",IF(P563&lt;&gt;5,1,0))</x:f>
      </x:c>
      <x:c r="R563">
        <x:f>IF(A563="","",IF(COUNTIF($A$5:$A$604,A563)&gt;1,1,0))</x:f>
      </x:c>
    </x:row>
    <x:row r="564">
      <x:c r="A564" s="8" t="n"/>
      <x:c r="B564" s="12" t="n"/>
      <x:c r="C564" s="8" t="n"/>
      <x:c r="D564" s="8" t="n"/>
      <x:c r="E564" s="8" t="n"/>
      <x:c r="F564" s="8" t="n"/>
      <x:c r="G564" s="8" t="n"/>
      <x:c r="H564" s="8" t="n"/>
      <x:c r="I564" s="8" t="n"/>
      <x:c r="J564" s="8" t="n"/>
      <x:c r="K564" s="8" t="n"/>
      <x:c r="L564" s="8" t="n"/>
      <x:c r="M564" s="8" t="n"/>
      <x:c r="N564" s="8" t="n"/>
      <x:c r="O564" s="8" t="n"/>
      <x:c r="P564">
        <x:f>COUNTA(J564:N564)</x:f>
      </x:c>
      <x:c r="Q564">
        <x:f>IF(A564="","",IF(P564&lt;&gt;5,1,0))</x:f>
      </x:c>
      <x:c r="R564">
        <x:f>IF(A564="","",IF(COUNTIF($A$5:$A$604,A564)&gt;1,1,0))</x:f>
      </x:c>
    </x:row>
    <x:row r="565">
      <x:c r="A565" s="8" t="n"/>
      <x:c r="B565" s="12" t="n"/>
      <x:c r="C565" s="8" t="n"/>
      <x:c r="D565" s="8" t="n"/>
      <x:c r="E565" s="8" t="n"/>
      <x:c r="F565" s="8" t="n"/>
      <x:c r="G565" s="8" t="n"/>
      <x:c r="H565" s="8" t="n"/>
      <x:c r="I565" s="8" t="n"/>
      <x:c r="J565" s="8" t="n"/>
      <x:c r="K565" s="8" t="n"/>
      <x:c r="L565" s="8" t="n"/>
      <x:c r="M565" s="8" t="n"/>
      <x:c r="N565" s="8" t="n"/>
      <x:c r="O565" s="8" t="n"/>
      <x:c r="P565">
        <x:f>COUNTA(J565:N565)</x:f>
      </x:c>
      <x:c r="Q565">
        <x:f>IF(A565="","",IF(P565&lt;&gt;5,1,0))</x:f>
      </x:c>
      <x:c r="R565">
        <x:f>IF(A565="","",IF(COUNTIF($A$5:$A$604,A565)&gt;1,1,0))</x:f>
      </x:c>
    </x:row>
    <x:row r="566">
      <x:c r="A566" s="8" t="n"/>
      <x:c r="B566" s="12" t="n"/>
      <x:c r="C566" s="8" t="n"/>
      <x:c r="D566" s="8" t="n"/>
      <x:c r="E566" s="8" t="n"/>
      <x:c r="F566" s="8" t="n"/>
      <x:c r="G566" s="8" t="n"/>
      <x:c r="H566" s="8" t="n"/>
      <x:c r="I566" s="8" t="n"/>
      <x:c r="J566" s="8" t="n"/>
      <x:c r="K566" s="8" t="n"/>
      <x:c r="L566" s="8" t="n"/>
      <x:c r="M566" s="8" t="n"/>
      <x:c r="N566" s="8" t="n"/>
      <x:c r="O566" s="8" t="n"/>
      <x:c r="P566">
        <x:f>COUNTA(J566:N566)</x:f>
      </x:c>
      <x:c r="Q566">
        <x:f>IF(A566="","",IF(P566&lt;&gt;5,1,0))</x:f>
      </x:c>
      <x:c r="R566">
        <x:f>IF(A566="","",IF(COUNTIF($A$5:$A$604,A566)&gt;1,1,0))</x:f>
      </x:c>
    </x:row>
    <x:row r="567">
      <x:c r="A567" s="8" t="n"/>
      <x:c r="B567" s="12" t="n"/>
      <x:c r="C567" s="8" t="n"/>
      <x:c r="D567" s="8" t="n"/>
      <x:c r="E567" s="8" t="n"/>
      <x:c r="F567" s="8" t="n"/>
      <x:c r="G567" s="8" t="n"/>
      <x:c r="H567" s="8" t="n"/>
      <x:c r="I567" s="8" t="n"/>
      <x:c r="J567" s="8" t="n"/>
      <x:c r="K567" s="8" t="n"/>
      <x:c r="L567" s="8" t="n"/>
      <x:c r="M567" s="8" t="n"/>
      <x:c r="N567" s="8" t="n"/>
      <x:c r="O567" s="8" t="n"/>
      <x:c r="P567">
        <x:f>COUNTA(J567:N567)</x:f>
      </x:c>
      <x:c r="Q567">
        <x:f>IF(A567="","",IF(P567&lt;&gt;5,1,0))</x:f>
      </x:c>
      <x:c r="R567">
        <x:f>IF(A567="","",IF(COUNTIF($A$5:$A$604,A567)&gt;1,1,0))</x:f>
      </x:c>
    </x:row>
    <x:row r="568">
      <x:c r="A568" s="8" t="n"/>
      <x:c r="B568" s="12" t="n"/>
      <x:c r="C568" s="8" t="n"/>
      <x:c r="D568" s="8" t="n"/>
      <x:c r="E568" s="8" t="n"/>
      <x:c r="F568" s="8" t="n"/>
      <x:c r="G568" s="8" t="n"/>
      <x:c r="H568" s="8" t="n"/>
      <x:c r="I568" s="8" t="n"/>
      <x:c r="J568" s="8" t="n"/>
      <x:c r="K568" s="8" t="n"/>
      <x:c r="L568" s="8" t="n"/>
      <x:c r="M568" s="8" t="n"/>
      <x:c r="N568" s="8" t="n"/>
      <x:c r="O568" s="8" t="n"/>
      <x:c r="P568">
        <x:f>COUNTA(J568:N568)</x:f>
      </x:c>
      <x:c r="Q568">
        <x:f>IF(A568="","",IF(P568&lt;&gt;5,1,0))</x:f>
      </x:c>
      <x:c r="R568">
        <x:f>IF(A568="","",IF(COUNTIF($A$5:$A$604,A568)&gt;1,1,0))</x:f>
      </x:c>
    </x:row>
    <x:row r="569">
      <x:c r="A569" s="8" t="n"/>
      <x:c r="B569" s="12" t="n"/>
      <x:c r="C569" s="8" t="n"/>
      <x:c r="D569" s="8" t="n"/>
      <x:c r="E569" s="8" t="n"/>
      <x:c r="F569" s="8" t="n"/>
      <x:c r="G569" s="8" t="n"/>
      <x:c r="H569" s="8" t="n"/>
      <x:c r="I569" s="8" t="n"/>
      <x:c r="J569" s="8" t="n"/>
      <x:c r="K569" s="8" t="n"/>
      <x:c r="L569" s="8" t="n"/>
      <x:c r="M569" s="8" t="n"/>
      <x:c r="N569" s="8" t="n"/>
      <x:c r="O569" s="8" t="n"/>
      <x:c r="P569">
        <x:f>COUNTA(J569:N569)</x:f>
      </x:c>
      <x:c r="Q569">
        <x:f>IF(A569="","",IF(P569&lt;&gt;5,1,0))</x:f>
      </x:c>
      <x:c r="R569">
        <x:f>IF(A569="","",IF(COUNTIF($A$5:$A$604,A569)&gt;1,1,0))</x:f>
      </x:c>
    </x:row>
    <x:row r="570">
      <x:c r="A570" s="8" t="n"/>
      <x:c r="B570" s="12" t="n"/>
      <x:c r="C570" s="8" t="n"/>
      <x:c r="D570" s="8" t="n"/>
      <x:c r="E570" s="8" t="n"/>
      <x:c r="F570" s="8" t="n"/>
      <x:c r="G570" s="8" t="n"/>
      <x:c r="H570" s="8" t="n"/>
      <x:c r="I570" s="8" t="n"/>
      <x:c r="J570" s="8" t="n"/>
      <x:c r="K570" s="8" t="n"/>
      <x:c r="L570" s="8" t="n"/>
      <x:c r="M570" s="8" t="n"/>
      <x:c r="N570" s="8" t="n"/>
      <x:c r="O570" s="8" t="n"/>
      <x:c r="P570">
        <x:f>COUNTA(J570:N570)</x:f>
      </x:c>
      <x:c r="Q570">
        <x:f>IF(A570="","",IF(P570&lt;&gt;5,1,0))</x:f>
      </x:c>
      <x:c r="R570">
        <x:f>IF(A570="","",IF(COUNTIF($A$5:$A$604,A570)&gt;1,1,0))</x:f>
      </x:c>
    </x:row>
    <x:row r="571">
      <x:c r="A571" s="8" t="n"/>
      <x:c r="B571" s="12" t="n"/>
      <x:c r="C571" s="8" t="n"/>
      <x:c r="D571" s="8" t="n"/>
      <x:c r="E571" s="8" t="n"/>
      <x:c r="F571" s="8" t="n"/>
      <x:c r="G571" s="8" t="n"/>
      <x:c r="H571" s="8" t="n"/>
      <x:c r="I571" s="8" t="n"/>
      <x:c r="J571" s="8" t="n"/>
      <x:c r="K571" s="8" t="n"/>
      <x:c r="L571" s="8" t="n"/>
      <x:c r="M571" s="8" t="n"/>
      <x:c r="N571" s="8" t="n"/>
      <x:c r="O571" s="8" t="n"/>
      <x:c r="P571">
        <x:f>COUNTA(J571:N571)</x:f>
      </x:c>
      <x:c r="Q571">
        <x:f>IF(A571="","",IF(P571&lt;&gt;5,1,0))</x:f>
      </x:c>
      <x:c r="R571">
        <x:f>IF(A571="","",IF(COUNTIF($A$5:$A$604,A571)&gt;1,1,0))</x:f>
      </x:c>
    </x:row>
    <x:row r="572">
      <x:c r="A572" s="8" t="n"/>
      <x:c r="B572" s="12" t="n"/>
      <x:c r="C572" s="8" t="n"/>
      <x:c r="D572" s="8" t="n"/>
      <x:c r="E572" s="8" t="n"/>
      <x:c r="F572" s="8" t="n"/>
      <x:c r="G572" s="8" t="n"/>
      <x:c r="H572" s="8" t="n"/>
      <x:c r="I572" s="8" t="n"/>
      <x:c r="J572" s="8" t="n"/>
      <x:c r="K572" s="8" t="n"/>
      <x:c r="L572" s="8" t="n"/>
      <x:c r="M572" s="8" t="n"/>
      <x:c r="N572" s="8" t="n"/>
      <x:c r="O572" s="8" t="n"/>
      <x:c r="P572">
        <x:f>COUNTA(J572:N572)</x:f>
      </x:c>
      <x:c r="Q572">
        <x:f>IF(A572="","",IF(P572&lt;&gt;5,1,0))</x:f>
      </x:c>
      <x:c r="R572">
        <x:f>IF(A572="","",IF(COUNTIF($A$5:$A$604,A572)&gt;1,1,0))</x:f>
      </x:c>
    </x:row>
    <x:row r="573">
      <x:c r="A573" s="8" t="n"/>
      <x:c r="B573" s="12" t="n"/>
      <x:c r="C573" s="8" t="n"/>
      <x:c r="D573" s="8" t="n"/>
      <x:c r="E573" s="8" t="n"/>
      <x:c r="F573" s="8" t="n"/>
      <x:c r="G573" s="8" t="n"/>
      <x:c r="H573" s="8" t="n"/>
      <x:c r="I573" s="8" t="n"/>
      <x:c r="J573" s="8" t="n"/>
      <x:c r="K573" s="8" t="n"/>
      <x:c r="L573" s="8" t="n"/>
      <x:c r="M573" s="8" t="n"/>
      <x:c r="N573" s="8" t="n"/>
      <x:c r="O573" s="8" t="n"/>
      <x:c r="P573">
        <x:f>COUNTA(J573:N573)</x:f>
      </x:c>
      <x:c r="Q573">
        <x:f>IF(A573="","",IF(P573&lt;&gt;5,1,0))</x:f>
      </x:c>
      <x:c r="R573">
        <x:f>IF(A573="","",IF(COUNTIF($A$5:$A$604,A573)&gt;1,1,0))</x:f>
      </x:c>
    </x:row>
    <x:row r="574">
      <x:c r="A574" s="8" t="n"/>
      <x:c r="B574" s="12" t="n"/>
      <x:c r="C574" s="8" t="n"/>
      <x:c r="D574" s="8" t="n"/>
      <x:c r="E574" s="8" t="n"/>
      <x:c r="F574" s="8" t="n"/>
      <x:c r="G574" s="8" t="n"/>
      <x:c r="H574" s="8" t="n"/>
      <x:c r="I574" s="8" t="n"/>
      <x:c r="J574" s="8" t="n"/>
      <x:c r="K574" s="8" t="n"/>
      <x:c r="L574" s="8" t="n"/>
      <x:c r="M574" s="8" t="n"/>
      <x:c r="N574" s="8" t="n"/>
      <x:c r="O574" s="8" t="n"/>
      <x:c r="P574">
        <x:f>COUNTA(J574:N574)</x:f>
      </x:c>
      <x:c r="Q574">
        <x:f>IF(A574="","",IF(P574&lt;&gt;5,1,0))</x:f>
      </x:c>
      <x:c r="R574">
        <x:f>IF(A574="","",IF(COUNTIF($A$5:$A$604,A574)&gt;1,1,0))</x:f>
      </x:c>
    </x:row>
    <x:row r="575">
      <x:c r="A575" s="8" t="n"/>
      <x:c r="B575" s="12" t="n"/>
      <x:c r="C575" s="8" t="n"/>
      <x:c r="D575" s="8" t="n"/>
      <x:c r="E575" s="8" t="n"/>
      <x:c r="F575" s="8" t="n"/>
      <x:c r="G575" s="8" t="n"/>
      <x:c r="H575" s="8" t="n"/>
      <x:c r="I575" s="8" t="n"/>
      <x:c r="J575" s="8" t="n"/>
      <x:c r="K575" s="8" t="n"/>
      <x:c r="L575" s="8" t="n"/>
      <x:c r="M575" s="8" t="n"/>
      <x:c r="N575" s="8" t="n"/>
      <x:c r="O575" s="8" t="n"/>
      <x:c r="P575">
        <x:f>COUNTA(J575:N575)</x:f>
      </x:c>
      <x:c r="Q575">
        <x:f>IF(A575="","",IF(P575&lt;&gt;5,1,0))</x:f>
      </x:c>
      <x:c r="R575">
        <x:f>IF(A575="","",IF(COUNTIF($A$5:$A$604,A575)&gt;1,1,0))</x:f>
      </x:c>
    </x:row>
    <x:row r="576">
      <x:c r="A576" s="8" t="n"/>
      <x:c r="B576" s="12" t="n"/>
      <x:c r="C576" s="8" t="n"/>
      <x:c r="D576" s="8" t="n"/>
      <x:c r="E576" s="8" t="n"/>
      <x:c r="F576" s="8" t="n"/>
      <x:c r="G576" s="8" t="n"/>
      <x:c r="H576" s="8" t="n"/>
      <x:c r="I576" s="8" t="n"/>
      <x:c r="J576" s="8" t="n"/>
      <x:c r="K576" s="8" t="n"/>
      <x:c r="L576" s="8" t="n"/>
      <x:c r="M576" s="8" t="n"/>
      <x:c r="N576" s="8" t="n"/>
      <x:c r="O576" s="8" t="n"/>
      <x:c r="P576">
        <x:f>COUNTA(J576:N576)</x:f>
      </x:c>
      <x:c r="Q576">
        <x:f>IF(A576="","",IF(P576&lt;&gt;5,1,0))</x:f>
      </x:c>
      <x:c r="R576">
        <x:f>IF(A576="","",IF(COUNTIF($A$5:$A$604,A576)&gt;1,1,0))</x:f>
      </x:c>
    </x:row>
    <x:row r="577">
      <x:c r="A577" s="8" t="n"/>
      <x:c r="B577" s="12" t="n"/>
      <x:c r="C577" s="8" t="n"/>
      <x:c r="D577" s="8" t="n"/>
      <x:c r="E577" s="8" t="n"/>
      <x:c r="F577" s="8" t="n"/>
      <x:c r="G577" s="8" t="n"/>
      <x:c r="H577" s="8" t="n"/>
      <x:c r="I577" s="8" t="n"/>
      <x:c r="J577" s="8" t="n"/>
      <x:c r="K577" s="8" t="n"/>
      <x:c r="L577" s="8" t="n"/>
      <x:c r="M577" s="8" t="n"/>
      <x:c r="N577" s="8" t="n"/>
      <x:c r="O577" s="8" t="n"/>
      <x:c r="P577">
        <x:f>COUNTA(J577:N577)</x:f>
      </x:c>
      <x:c r="Q577">
        <x:f>IF(A577="","",IF(P577&lt;&gt;5,1,0))</x:f>
      </x:c>
      <x:c r="R577">
        <x:f>IF(A577="","",IF(COUNTIF($A$5:$A$604,A577)&gt;1,1,0))</x:f>
      </x:c>
    </x:row>
    <x:row r="578">
      <x:c r="A578" s="8" t="n"/>
      <x:c r="B578" s="12" t="n"/>
      <x:c r="C578" s="8" t="n"/>
      <x:c r="D578" s="8" t="n"/>
      <x:c r="E578" s="8" t="n"/>
      <x:c r="F578" s="8" t="n"/>
      <x:c r="G578" s="8" t="n"/>
      <x:c r="H578" s="8" t="n"/>
      <x:c r="I578" s="8" t="n"/>
      <x:c r="J578" s="8" t="n"/>
      <x:c r="K578" s="8" t="n"/>
      <x:c r="L578" s="8" t="n"/>
      <x:c r="M578" s="8" t="n"/>
      <x:c r="N578" s="8" t="n"/>
      <x:c r="O578" s="8" t="n"/>
      <x:c r="P578">
        <x:f>COUNTA(J578:N578)</x:f>
      </x:c>
      <x:c r="Q578">
        <x:f>IF(A578="","",IF(P578&lt;&gt;5,1,0))</x:f>
      </x:c>
      <x:c r="R578">
        <x:f>IF(A578="","",IF(COUNTIF($A$5:$A$604,A578)&gt;1,1,0))</x:f>
      </x:c>
    </x:row>
    <x:row r="579">
      <x:c r="A579" s="8" t="n"/>
      <x:c r="B579" s="12" t="n"/>
      <x:c r="C579" s="8" t="n"/>
      <x:c r="D579" s="8" t="n"/>
      <x:c r="E579" s="8" t="n"/>
      <x:c r="F579" s="8" t="n"/>
      <x:c r="G579" s="8" t="n"/>
      <x:c r="H579" s="8" t="n"/>
      <x:c r="I579" s="8" t="n"/>
      <x:c r="J579" s="8" t="n"/>
      <x:c r="K579" s="8" t="n"/>
      <x:c r="L579" s="8" t="n"/>
      <x:c r="M579" s="8" t="n"/>
      <x:c r="N579" s="8" t="n"/>
      <x:c r="O579" s="8" t="n"/>
      <x:c r="P579">
        <x:f>COUNTA(J579:N579)</x:f>
      </x:c>
      <x:c r="Q579">
        <x:f>IF(A579="","",IF(P579&lt;&gt;5,1,0))</x:f>
      </x:c>
      <x:c r="R579">
        <x:f>IF(A579="","",IF(COUNTIF($A$5:$A$604,A579)&gt;1,1,0))</x:f>
      </x:c>
    </x:row>
    <x:row r="580">
      <x:c r="A580" s="8" t="n"/>
      <x:c r="B580" s="12" t="n"/>
      <x:c r="C580" s="8" t="n"/>
      <x:c r="D580" s="8" t="n"/>
      <x:c r="E580" s="8" t="n"/>
      <x:c r="F580" s="8" t="n"/>
      <x:c r="G580" s="8" t="n"/>
      <x:c r="H580" s="8" t="n"/>
      <x:c r="I580" s="8" t="n"/>
      <x:c r="J580" s="8" t="n"/>
      <x:c r="K580" s="8" t="n"/>
      <x:c r="L580" s="8" t="n"/>
      <x:c r="M580" s="8" t="n"/>
      <x:c r="N580" s="8" t="n"/>
      <x:c r="O580" s="8" t="n"/>
      <x:c r="P580">
        <x:f>COUNTA(J580:N580)</x:f>
      </x:c>
      <x:c r="Q580">
        <x:f>IF(A580="","",IF(P580&lt;&gt;5,1,0))</x:f>
      </x:c>
      <x:c r="R580">
        <x:f>IF(A580="","",IF(COUNTIF($A$5:$A$604,A580)&gt;1,1,0))</x:f>
      </x:c>
    </x:row>
    <x:row r="581">
      <x:c r="A581" s="8" t="n"/>
      <x:c r="B581" s="12" t="n"/>
      <x:c r="C581" s="8" t="n"/>
      <x:c r="D581" s="8" t="n"/>
      <x:c r="E581" s="8" t="n"/>
      <x:c r="F581" s="8" t="n"/>
      <x:c r="G581" s="8" t="n"/>
      <x:c r="H581" s="8" t="n"/>
      <x:c r="I581" s="8" t="n"/>
      <x:c r="J581" s="8" t="n"/>
      <x:c r="K581" s="8" t="n"/>
      <x:c r="L581" s="8" t="n"/>
      <x:c r="M581" s="8" t="n"/>
      <x:c r="N581" s="8" t="n"/>
      <x:c r="O581" s="8" t="n"/>
      <x:c r="P581">
        <x:f>COUNTA(J581:N581)</x:f>
      </x:c>
      <x:c r="Q581">
        <x:f>IF(A581="","",IF(P581&lt;&gt;5,1,0))</x:f>
      </x:c>
      <x:c r="R581">
        <x:f>IF(A581="","",IF(COUNTIF($A$5:$A$604,A581)&gt;1,1,0))</x:f>
      </x:c>
    </x:row>
    <x:row r="582">
      <x:c r="A582" s="8" t="n"/>
      <x:c r="B582" s="12" t="n"/>
      <x:c r="C582" s="8" t="n"/>
      <x:c r="D582" s="8" t="n"/>
      <x:c r="E582" s="8" t="n"/>
      <x:c r="F582" s="8" t="n"/>
      <x:c r="G582" s="8" t="n"/>
      <x:c r="H582" s="8" t="n"/>
      <x:c r="I582" s="8" t="n"/>
      <x:c r="J582" s="8" t="n"/>
      <x:c r="K582" s="8" t="n"/>
      <x:c r="L582" s="8" t="n"/>
      <x:c r="M582" s="8" t="n"/>
      <x:c r="N582" s="8" t="n"/>
      <x:c r="O582" s="8" t="n"/>
      <x:c r="P582">
        <x:f>COUNTA(J582:N582)</x:f>
      </x:c>
      <x:c r="Q582">
        <x:f>IF(A582="","",IF(P582&lt;&gt;5,1,0))</x:f>
      </x:c>
      <x:c r="R582">
        <x:f>IF(A582="","",IF(COUNTIF($A$5:$A$604,A582)&gt;1,1,0))</x:f>
      </x:c>
    </x:row>
    <x:row r="583">
      <x:c r="A583" s="8" t="n"/>
      <x:c r="B583" s="12" t="n"/>
      <x:c r="C583" s="8" t="n"/>
      <x:c r="D583" s="8" t="n"/>
      <x:c r="E583" s="8" t="n"/>
      <x:c r="F583" s="8" t="n"/>
      <x:c r="G583" s="8" t="n"/>
      <x:c r="H583" s="8" t="n"/>
      <x:c r="I583" s="8" t="n"/>
      <x:c r="J583" s="8" t="n"/>
      <x:c r="K583" s="8" t="n"/>
      <x:c r="L583" s="8" t="n"/>
      <x:c r="M583" s="8" t="n"/>
      <x:c r="N583" s="8" t="n"/>
      <x:c r="O583" s="8" t="n"/>
      <x:c r="P583">
        <x:f>COUNTA(J583:N583)</x:f>
      </x:c>
      <x:c r="Q583">
        <x:f>IF(A583="","",IF(P583&lt;&gt;5,1,0))</x:f>
      </x:c>
      <x:c r="R583">
        <x:f>IF(A583="","",IF(COUNTIF($A$5:$A$604,A583)&gt;1,1,0))</x:f>
      </x:c>
    </x:row>
    <x:row r="584">
      <x:c r="A584" s="8" t="n"/>
      <x:c r="B584" s="12" t="n"/>
      <x:c r="C584" s="8" t="n"/>
      <x:c r="D584" s="8" t="n"/>
      <x:c r="E584" s="8" t="n"/>
      <x:c r="F584" s="8" t="n"/>
      <x:c r="G584" s="8" t="n"/>
      <x:c r="H584" s="8" t="n"/>
      <x:c r="I584" s="8" t="n"/>
      <x:c r="J584" s="8" t="n"/>
      <x:c r="K584" s="8" t="n"/>
      <x:c r="L584" s="8" t="n"/>
      <x:c r="M584" s="8" t="n"/>
      <x:c r="N584" s="8" t="n"/>
      <x:c r="O584" s="8" t="n"/>
      <x:c r="P584">
        <x:f>COUNTA(J584:N584)</x:f>
      </x:c>
      <x:c r="Q584">
        <x:f>IF(A584="","",IF(P584&lt;&gt;5,1,0))</x:f>
      </x:c>
      <x:c r="R584">
        <x:f>IF(A584="","",IF(COUNTIF($A$5:$A$604,A584)&gt;1,1,0))</x:f>
      </x:c>
    </x:row>
    <x:row r="585">
      <x:c r="A585" s="8" t="n"/>
      <x:c r="B585" s="12" t="n"/>
      <x:c r="C585" s="8" t="n"/>
      <x:c r="D585" s="8" t="n"/>
      <x:c r="E585" s="8" t="n"/>
      <x:c r="F585" s="8" t="n"/>
      <x:c r="G585" s="8" t="n"/>
      <x:c r="H585" s="8" t="n"/>
      <x:c r="I585" s="8" t="n"/>
      <x:c r="J585" s="8" t="n"/>
      <x:c r="K585" s="8" t="n"/>
      <x:c r="L585" s="8" t="n"/>
      <x:c r="M585" s="8" t="n"/>
      <x:c r="N585" s="8" t="n"/>
      <x:c r="O585" s="8" t="n"/>
      <x:c r="P585">
        <x:f>COUNTA(J585:N585)</x:f>
      </x:c>
      <x:c r="Q585">
        <x:f>IF(A585="","",IF(P585&lt;&gt;5,1,0))</x:f>
      </x:c>
      <x:c r="R585">
        <x:f>IF(A585="","",IF(COUNTIF($A$5:$A$604,A585)&gt;1,1,0))</x:f>
      </x:c>
    </x:row>
    <x:row r="586">
      <x:c r="A586" s="8" t="n"/>
      <x:c r="B586" s="12" t="n"/>
      <x:c r="C586" s="8" t="n"/>
      <x:c r="D586" s="8" t="n"/>
      <x:c r="E586" s="8" t="n"/>
      <x:c r="F586" s="8" t="n"/>
      <x:c r="G586" s="8" t="n"/>
      <x:c r="H586" s="8" t="n"/>
      <x:c r="I586" s="8" t="n"/>
      <x:c r="J586" s="8" t="n"/>
      <x:c r="K586" s="8" t="n"/>
      <x:c r="L586" s="8" t="n"/>
      <x:c r="M586" s="8" t="n"/>
      <x:c r="N586" s="8" t="n"/>
      <x:c r="O586" s="8" t="n"/>
      <x:c r="P586">
        <x:f>COUNTA(J586:N586)</x:f>
      </x:c>
      <x:c r="Q586">
        <x:f>IF(A586="","",IF(P586&lt;&gt;5,1,0))</x:f>
      </x:c>
      <x:c r="R586">
        <x:f>IF(A586="","",IF(COUNTIF($A$5:$A$604,A586)&gt;1,1,0))</x:f>
      </x:c>
    </x:row>
    <x:row r="587">
      <x:c r="A587" s="8" t="n"/>
      <x:c r="B587" s="12" t="n"/>
      <x:c r="C587" s="8" t="n"/>
      <x:c r="D587" s="8" t="n"/>
      <x:c r="E587" s="8" t="n"/>
      <x:c r="F587" s="8" t="n"/>
      <x:c r="G587" s="8" t="n"/>
      <x:c r="H587" s="8" t="n"/>
      <x:c r="I587" s="8" t="n"/>
      <x:c r="J587" s="8" t="n"/>
      <x:c r="K587" s="8" t="n"/>
      <x:c r="L587" s="8" t="n"/>
      <x:c r="M587" s="8" t="n"/>
      <x:c r="N587" s="8" t="n"/>
      <x:c r="O587" s="8" t="n"/>
      <x:c r="P587">
        <x:f>COUNTA(J587:N587)</x:f>
      </x:c>
      <x:c r="Q587">
        <x:f>IF(A587="","",IF(P587&lt;&gt;5,1,0))</x:f>
      </x:c>
      <x:c r="R587">
        <x:f>IF(A587="","",IF(COUNTIF($A$5:$A$604,A587)&gt;1,1,0))</x:f>
      </x:c>
    </x:row>
    <x:row r="588">
      <x:c r="A588" s="8" t="n"/>
      <x:c r="B588" s="12" t="n"/>
      <x:c r="C588" s="8" t="n"/>
      <x:c r="D588" s="8" t="n"/>
      <x:c r="E588" s="8" t="n"/>
      <x:c r="F588" s="8" t="n"/>
      <x:c r="G588" s="8" t="n"/>
      <x:c r="H588" s="8" t="n"/>
      <x:c r="I588" s="8" t="n"/>
      <x:c r="J588" s="8" t="n"/>
      <x:c r="K588" s="8" t="n"/>
      <x:c r="L588" s="8" t="n"/>
      <x:c r="M588" s="8" t="n"/>
      <x:c r="N588" s="8" t="n"/>
      <x:c r="O588" s="8" t="n"/>
      <x:c r="P588">
        <x:f>COUNTA(J588:N588)</x:f>
      </x:c>
      <x:c r="Q588">
        <x:f>IF(A588="","",IF(P588&lt;&gt;5,1,0))</x:f>
      </x:c>
      <x:c r="R588">
        <x:f>IF(A588="","",IF(COUNTIF($A$5:$A$604,A588)&gt;1,1,0))</x:f>
      </x:c>
    </x:row>
    <x:row r="589">
      <x:c r="A589" s="8" t="n"/>
      <x:c r="B589" s="12" t="n"/>
      <x:c r="C589" s="8" t="n"/>
      <x:c r="D589" s="8" t="n"/>
      <x:c r="E589" s="8" t="n"/>
      <x:c r="F589" s="8" t="n"/>
      <x:c r="G589" s="8" t="n"/>
      <x:c r="H589" s="8" t="n"/>
      <x:c r="I589" s="8" t="n"/>
      <x:c r="J589" s="8" t="n"/>
      <x:c r="K589" s="8" t="n"/>
      <x:c r="L589" s="8" t="n"/>
      <x:c r="M589" s="8" t="n"/>
      <x:c r="N589" s="8" t="n"/>
      <x:c r="O589" s="8" t="n"/>
      <x:c r="P589">
        <x:f>COUNTA(J589:N589)</x:f>
      </x:c>
      <x:c r="Q589">
        <x:f>IF(A589="","",IF(P589&lt;&gt;5,1,0))</x:f>
      </x:c>
      <x:c r="R589">
        <x:f>IF(A589="","",IF(COUNTIF($A$5:$A$604,A589)&gt;1,1,0))</x:f>
      </x:c>
    </x:row>
    <x:row r="590">
      <x:c r="A590" s="8" t="n"/>
      <x:c r="B590" s="12" t="n"/>
      <x:c r="C590" s="8" t="n"/>
      <x:c r="D590" s="8" t="n"/>
      <x:c r="E590" s="8" t="n"/>
      <x:c r="F590" s="8" t="n"/>
      <x:c r="G590" s="8" t="n"/>
      <x:c r="H590" s="8" t="n"/>
      <x:c r="I590" s="8" t="n"/>
      <x:c r="J590" s="8" t="n"/>
      <x:c r="K590" s="8" t="n"/>
      <x:c r="L590" s="8" t="n"/>
      <x:c r="M590" s="8" t="n"/>
      <x:c r="N590" s="8" t="n"/>
      <x:c r="O590" s="8" t="n"/>
      <x:c r="P590">
        <x:f>COUNTA(J590:N590)</x:f>
      </x:c>
      <x:c r="Q590">
        <x:f>IF(A590="","",IF(P590&lt;&gt;5,1,0))</x:f>
      </x:c>
      <x:c r="R590">
        <x:f>IF(A590="","",IF(COUNTIF($A$5:$A$604,A590)&gt;1,1,0))</x:f>
      </x:c>
    </x:row>
    <x:row r="591">
      <x:c r="A591" s="8" t="n"/>
      <x:c r="B591" s="12" t="n"/>
      <x:c r="C591" s="8" t="n"/>
      <x:c r="D591" s="8" t="n"/>
      <x:c r="E591" s="8" t="n"/>
      <x:c r="F591" s="8" t="n"/>
      <x:c r="G591" s="8" t="n"/>
      <x:c r="H591" s="8" t="n"/>
      <x:c r="I591" s="8" t="n"/>
      <x:c r="J591" s="8" t="n"/>
      <x:c r="K591" s="8" t="n"/>
      <x:c r="L591" s="8" t="n"/>
      <x:c r="M591" s="8" t="n"/>
      <x:c r="N591" s="8" t="n"/>
      <x:c r="O591" s="8" t="n"/>
      <x:c r="P591">
        <x:f>COUNTA(J591:N591)</x:f>
      </x:c>
      <x:c r="Q591">
        <x:f>IF(A591="","",IF(P591&lt;&gt;5,1,0))</x:f>
      </x:c>
      <x:c r="R591">
        <x:f>IF(A591="","",IF(COUNTIF($A$5:$A$604,A591)&gt;1,1,0))</x:f>
      </x:c>
    </x:row>
    <x:row r="592">
      <x:c r="A592" s="8" t="n"/>
      <x:c r="B592" s="12" t="n"/>
      <x:c r="C592" s="8" t="n"/>
      <x:c r="D592" s="8" t="n"/>
      <x:c r="E592" s="8" t="n"/>
      <x:c r="F592" s="8" t="n"/>
      <x:c r="G592" s="8" t="n"/>
      <x:c r="H592" s="8" t="n"/>
      <x:c r="I592" s="8" t="n"/>
      <x:c r="J592" s="8" t="n"/>
      <x:c r="K592" s="8" t="n"/>
      <x:c r="L592" s="8" t="n"/>
      <x:c r="M592" s="8" t="n"/>
      <x:c r="N592" s="8" t="n"/>
      <x:c r="O592" s="8" t="n"/>
      <x:c r="P592">
        <x:f>COUNTA(J592:N592)</x:f>
      </x:c>
      <x:c r="Q592">
        <x:f>IF(A592="","",IF(P592&lt;&gt;5,1,0))</x:f>
      </x:c>
      <x:c r="R592">
        <x:f>IF(A592="","",IF(COUNTIF($A$5:$A$604,A592)&gt;1,1,0))</x:f>
      </x:c>
    </x:row>
    <x:row r="593">
      <x:c r="A593" s="8" t="n"/>
      <x:c r="B593" s="12" t="n"/>
      <x:c r="C593" s="8" t="n"/>
      <x:c r="D593" s="8" t="n"/>
      <x:c r="E593" s="8" t="n"/>
      <x:c r="F593" s="8" t="n"/>
      <x:c r="G593" s="8" t="n"/>
      <x:c r="H593" s="8" t="n"/>
      <x:c r="I593" s="8" t="n"/>
      <x:c r="J593" s="8" t="n"/>
      <x:c r="K593" s="8" t="n"/>
      <x:c r="L593" s="8" t="n"/>
      <x:c r="M593" s="8" t="n"/>
      <x:c r="N593" s="8" t="n"/>
      <x:c r="O593" s="8" t="n"/>
      <x:c r="P593">
        <x:f>COUNTA(J593:N593)</x:f>
      </x:c>
      <x:c r="Q593">
        <x:f>IF(A593="","",IF(P593&lt;&gt;5,1,0))</x:f>
      </x:c>
      <x:c r="R593">
        <x:f>IF(A593="","",IF(COUNTIF($A$5:$A$604,A593)&gt;1,1,0))</x:f>
      </x:c>
    </x:row>
    <x:row r="594">
      <x:c r="A594" s="8" t="n"/>
      <x:c r="B594" s="12" t="n"/>
      <x:c r="C594" s="8" t="n"/>
      <x:c r="D594" s="8" t="n"/>
      <x:c r="E594" s="8" t="n"/>
      <x:c r="F594" s="8" t="n"/>
      <x:c r="G594" s="8" t="n"/>
      <x:c r="H594" s="8" t="n"/>
      <x:c r="I594" s="8" t="n"/>
      <x:c r="J594" s="8" t="n"/>
      <x:c r="K594" s="8" t="n"/>
      <x:c r="L594" s="8" t="n"/>
      <x:c r="M594" s="8" t="n"/>
      <x:c r="N594" s="8" t="n"/>
      <x:c r="O594" s="8" t="n"/>
      <x:c r="P594">
        <x:f>COUNTA(J594:N594)</x:f>
      </x:c>
      <x:c r="Q594">
        <x:f>IF(A594="","",IF(P594&lt;&gt;5,1,0))</x:f>
      </x:c>
      <x:c r="R594">
        <x:f>IF(A594="","",IF(COUNTIF($A$5:$A$604,A594)&gt;1,1,0))</x:f>
      </x:c>
    </x:row>
    <x:row r="595">
      <x:c r="A595" s="8" t="n"/>
      <x:c r="B595" s="12" t="n"/>
      <x:c r="C595" s="8" t="n"/>
      <x:c r="D595" s="8" t="n"/>
      <x:c r="E595" s="8" t="n"/>
      <x:c r="F595" s="8" t="n"/>
      <x:c r="G595" s="8" t="n"/>
      <x:c r="H595" s="8" t="n"/>
      <x:c r="I595" s="8" t="n"/>
      <x:c r="J595" s="8" t="n"/>
      <x:c r="K595" s="8" t="n"/>
      <x:c r="L595" s="8" t="n"/>
      <x:c r="M595" s="8" t="n"/>
      <x:c r="N595" s="8" t="n"/>
      <x:c r="O595" s="8" t="n"/>
      <x:c r="P595">
        <x:f>COUNTA(J595:N595)</x:f>
      </x:c>
      <x:c r="Q595">
        <x:f>IF(A595="","",IF(P595&lt;&gt;5,1,0))</x:f>
      </x:c>
      <x:c r="R595">
        <x:f>IF(A595="","",IF(COUNTIF($A$5:$A$604,A595)&gt;1,1,0))</x:f>
      </x:c>
    </x:row>
    <x:row r="596">
      <x:c r="A596" s="8" t="n"/>
      <x:c r="B596" s="12" t="n"/>
      <x:c r="C596" s="8" t="n"/>
      <x:c r="D596" s="8" t="n"/>
      <x:c r="E596" s="8" t="n"/>
      <x:c r="F596" s="8" t="n"/>
      <x:c r="G596" s="8" t="n"/>
      <x:c r="H596" s="8" t="n"/>
      <x:c r="I596" s="8" t="n"/>
      <x:c r="J596" s="8" t="n"/>
      <x:c r="K596" s="8" t="n"/>
      <x:c r="L596" s="8" t="n"/>
      <x:c r="M596" s="8" t="n"/>
      <x:c r="N596" s="8" t="n"/>
      <x:c r="O596" s="8" t="n"/>
      <x:c r="P596">
        <x:f>COUNTA(J596:N596)</x:f>
      </x:c>
      <x:c r="Q596">
        <x:f>IF(A596="","",IF(P596&lt;&gt;5,1,0))</x:f>
      </x:c>
      <x:c r="R596">
        <x:f>IF(A596="","",IF(COUNTIF($A$5:$A$604,A596)&gt;1,1,0))</x:f>
      </x:c>
    </x:row>
    <x:row r="597">
      <x:c r="A597" s="8" t="n"/>
      <x:c r="B597" s="12" t="n"/>
      <x:c r="C597" s="8" t="n"/>
      <x:c r="D597" s="8" t="n"/>
      <x:c r="E597" s="8" t="n"/>
      <x:c r="F597" s="8" t="n"/>
      <x:c r="G597" s="8" t="n"/>
      <x:c r="H597" s="8" t="n"/>
      <x:c r="I597" s="8" t="n"/>
      <x:c r="J597" s="8" t="n"/>
      <x:c r="K597" s="8" t="n"/>
      <x:c r="L597" s="8" t="n"/>
      <x:c r="M597" s="8" t="n"/>
      <x:c r="N597" s="8" t="n"/>
      <x:c r="O597" s="8" t="n"/>
      <x:c r="P597">
        <x:f>COUNTA(J597:N597)</x:f>
      </x:c>
      <x:c r="Q597">
        <x:f>IF(A597="","",IF(P597&lt;&gt;5,1,0))</x:f>
      </x:c>
      <x:c r="R597">
        <x:f>IF(A597="","",IF(COUNTIF($A$5:$A$604,A597)&gt;1,1,0))</x:f>
      </x:c>
    </x:row>
    <x:row r="598">
      <x:c r="A598" s="8" t="n"/>
      <x:c r="B598" s="12" t="n"/>
      <x:c r="C598" s="8" t="n"/>
      <x:c r="D598" s="8" t="n"/>
      <x:c r="E598" s="8" t="n"/>
      <x:c r="F598" s="8" t="n"/>
      <x:c r="G598" s="8" t="n"/>
      <x:c r="H598" s="8" t="n"/>
      <x:c r="I598" s="8" t="n"/>
      <x:c r="J598" s="8" t="n"/>
      <x:c r="K598" s="8" t="n"/>
      <x:c r="L598" s="8" t="n"/>
      <x:c r="M598" s="8" t="n"/>
      <x:c r="N598" s="8" t="n"/>
      <x:c r="O598" s="8" t="n"/>
      <x:c r="P598">
        <x:f>COUNTA(J598:N598)</x:f>
      </x:c>
      <x:c r="Q598">
        <x:f>IF(A598="","",IF(P598&lt;&gt;5,1,0))</x:f>
      </x:c>
      <x:c r="R598">
        <x:f>IF(A598="","",IF(COUNTIF($A$5:$A$604,A598)&gt;1,1,0))</x:f>
      </x:c>
    </x:row>
    <x:row r="599">
      <x:c r="A599" s="8" t="n"/>
      <x:c r="B599" s="12" t="n"/>
      <x:c r="C599" s="8" t="n"/>
      <x:c r="D599" s="8" t="n"/>
      <x:c r="E599" s="8" t="n"/>
      <x:c r="F599" s="8" t="n"/>
      <x:c r="G599" s="8" t="n"/>
      <x:c r="H599" s="8" t="n"/>
      <x:c r="I599" s="8" t="n"/>
      <x:c r="J599" s="8" t="n"/>
      <x:c r="K599" s="8" t="n"/>
      <x:c r="L599" s="8" t="n"/>
      <x:c r="M599" s="8" t="n"/>
      <x:c r="N599" s="8" t="n"/>
      <x:c r="O599" s="8" t="n"/>
      <x:c r="P599">
        <x:f>COUNTA(J599:N599)</x:f>
      </x:c>
      <x:c r="Q599">
        <x:f>IF(A599="","",IF(P599&lt;&gt;5,1,0))</x:f>
      </x:c>
      <x:c r="R599">
        <x:f>IF(A599="","",IF(COUNTIF($A$5:$A$604,A599)&gt;1,1,0))</x:f>
      </x:c>
    </x:row>
    <x:row r="600">
      <x:c r="A600" s="8" t="n"/>
      <x:c r="B600" s="12" t="n"/>
      <x:c r="C600" s="8" t="n"/>
      <x:c r="D600" s="8" t="n"/>
      <x:c r="E600" s="8" t="n"/>
      <x:c r="F600" s="8" t="n"/>
      <x:c r="G600" s="8" t="n"/>
      <x:c r="H600" s="8" t="n"/>
      <x:c r="I600" s="8" t="n"/>
      <x:c r="J600" s="8" t="n"/>
      <x:c r="K600" s="8" t="n"/>
      <x:c r="L600" s="8" t="n"/>
      <x:c r="M600" s="8" t="n"/>
      <x:c r="N600" s="8" t="n"/>
      <x:c r="O600" s="8" t="n"/>
      <x:c r="P600">
        <x:f>COUNTA(J600:N600)</x:f>
      </x:c>
      <x:c r="Q600">
        <x:f>IF(A600="","",IF(P600&lt;&gt;5,1,0))</x:f>
      </x:c>
      <x:c r="R600">
        <x:f>IF(A600="","",IF(COUNTIF($A$5:$A$604,A600)&gt;1,1,0))</x:f>
      </x:c>
    </x:row>
    <x:row r="601">
      <x:c r="A601" s="8" t="n"/>
      <x:c r="B601" s="12" t="n"/>
      <x:c r="C601" s="8" t="n"/>
      <x:c r="D601" s="8" t="n"/>
      <x:c r="E601" s="8" t="n"/>
      <x:c r="F601" s="8" t="n"/>
      <x:c r="G601" s="8" t="n"/>
      <x:c r="H601" s="8" t="n"/>
      <x:c r="I601" s="8" t="n"/>
      <x:c r="J601" s="8" t="n"/>
      <x:c r="K601" s="8" t="n"/>
      <x:c r="L601" s="8" t="n"/>
      <x:c r="M601" s="8" t="n"/>
      <x:c r="N601" s="8" t="n"/>
      <x:c r="O601" s="8" t="n"/>
      <x:c r="P601">
        <x:f>COUNTA(J601:N601)</x:f>
      </x:c>
      <x:c r="Q601">
        <x:f>IF(A601="","",IF(P601&lt;&gt;5,1,0))</x:f>
      </x:c>
      <x:c r="R601">
        <x:f>IF(A601="","",IF(COUNTIF($A$5:$A$604,A601)&gt;1,1,0))</x:f>
      </x:c>
    </x:row>
    <x:row r="602">
      <x:c r="A602" s="8" t="n"/>
      <x:c r="B602" s="12" t="n"/>
      <x:c r="C602" s="8" t="n"/>
      <x:c r="D602" s="8" t="n"/>
      <x:c r="E602" s="8" t="n"/>
      <x:c r="F602" s="8" t="n"/>
      <x:c r="G602" s="8" t="n"/>
      <x:c r="H602" s="8" t="n"/>
      <x:c r="I602" s="8" t="n"/>
      <x:c r="J602" s="8" t="n"/>
      <x:c r="K602" s="8" t="n"/>
      <x:c r="L602" s="8" t="n"/>
      <x:c r="M602" s="8" t="n"/>
      <x:c r="N602" s="8" t="n"/>
      <x:c r="O602" s="8" t="n"/>
      <x:c r="P602">
        <x:f>COUNTA(J602:N602)</x:f>
      </x:c>
      <x:c r="Q602">
        <x:f>IF(A602="","",IF(P602&lt;&gt;5,1,0))</x:f>
      </x:c>
      <x:c r="R602">
        <x:f>IF(A602="","",IF(COUNTIF($A$5:$A$604,A602)&gt;1,1,0))</x:f>
      </x:c>
    </x:row>
    <x:row r="603">
      <x:c r="A603" s="8" t="n"/>
      <x:c r="B603" s="12" t="n"/>
      <x:c r="C603" s="8" t="n"/>
      <x:c r="D603" s="8" t="n"/>
      <x:c r="E603" s="8" t="n"/>
      <x:c r="F603" s="8" t="n"/>
      <x:c r="G603" s="8" t="n"/>
      <x:c r="H603" s="8" t="n"/>
      <x:c r="I603" s="8" t="n"/>
      <x:c r="J603" s="8" t="n"/>
      <x:c r="K603" s="8" t="n"/>
      <x:c r="L603" s="8" t="n"/>
      <x:c r="M603" s="8" t="n"/>
      <x:c r="N603" s="8" t="n"/>
      <x:c r="O603" s="8" t="n"/>
      <x:c r="P603">
        <x:f>COUNTA(J603:N603)</x:f>
      </x:c>
      <x:c r="Q603">
        <x:f>IF(A603="","",IF(P603&lt;&gt;5,1,0))</x:f>
      </x:c>
      <x:c r="R603">
        <x:f>IF(A603="","",IF(COUNTIF($A$5:$A$604,A603)&gt;1,1,0))</x:f>
      </x:c>
    </x:row>
    <x:row r="604">
      <x:c r="A604" s="8" t="n"/>
      <x:c r="B604" s="12" t="n"/>
      <x:c r="C604" s="8" t="n"/>
      <x:c r="D604" s="8" t="n"/>
      <x:c r="E604" s="8" t="n"/>
      <x:c r="F604" s="8" t="n"/>
      <x:c r="G604" s="8" t="n"/>
      <x:c r="H604" s="8" t="n"/>
      <x:c r="I604" s="8" t="n"/>
      <x:c r="J604" s="8" t="n"/>
      <x:c r="K604" s="8" t="n"/>
      <x:c r="L604" s="8" t="n"/>
      <x:c r="M604" s="8" t="n"/>
      <x:c r="N604" s="8" t="n"/>
      <x:c r="O604" s="8" t="n"/>
      <x:c r="P604">
        <x:f>COUNTA(J604:N604)</x:f>
      </x:c>
      <x:c r="Q604">
        <x:f>IF(A604="","",IF(P604&lt;&gt;5,1,0))</x:f>
      </x:c>
      <x:c r="R604">
        <x:f>IF(A604="","",IF(COUNTIF($A$5:$A$604,A604)&gt;1,1,0))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2" customWidth="1"/>
    <x:col min="3" max="3" width="12" customWidth="1"/>
    <x:col min="4" max="4" width="14" customWidth="1"/>
    <x:col min="5" max="5" width="18" customWidth="1"/>
    <x:col min="6" max="6" width="18" customWidth="1"/>
    <x:col min="7" max="7" width="14" customWidth="1"/>
    <x:col min="8" max="8" width="50" customWidth="1"/>
    <x:col min="9" max="9" width="40" customWidth="1"/>
    <x:col min="10" max="10" width="16" customWidth="1"/>
    <x:col min="11" max="11" width="16" customWidth="1"/>
    <x:col min="12" max="12" width="12" customWidth="1"/>
  </x:cols>
  <x:sheetData>
    <x:row r="1">
      <x:c r="A1" s="4" t="inlineStr">
        <x:is>
          <x:t xml:space="preserve">Entrées - Notation des statistiques (format long)</x:t>
        </x:is>
      </x:c>
    </x:row>
    <x:row r="2">
      <x:c r="A2" s="3" t="inlineStr">
        <x:is>
          <x:t xml:space="preserve">1 ligne = (soumission × statistique). Renseignez A à F. Les colonnes G à I et QC sont calculées.</x:t>
        </x:is>
      </x:c>
    </x:row>
    <x:row r="4" ht="22" customHeight="1">
      <x:c r="A4" s="11" t="inlineStr">
        <x:is>
          <x:t xml:space="preserve">submission_id</x:t>
        </x:is>
      </x:c>
      <x:c r="B4" s="11" t="inlineStr">
        <x:is>
          <x:t xml:space="preserve">domain_code</x:t>
        </x:is>
      </x:c>
      <x:c r="C4" s="11" t="inlineStr">
        <x:is>
          <x:t xml:space="preserve">stat_code</x:t>
        </x:is>
      </x:c>
      <x:c r="D4" s="11" t="inlineStr">
        <x:is>
          <x:t xml:space="preserve">demand_score</x:t>
        </x:is>
      </x:c>
      <x:c r="E4" s="11" t="inlineStr">
        <x:is>
          <x:t xml:space="preserve">availability_score</x:t>
        </x:is>
      </x:c>
      <x:c r="F4" s="11" t="inlineStr">
        <x:is>
          <x:t xml:space="preserve">feasibility_score</x:t>
        </x:is>
      </x:c>
      <x:c r="G4" s="11" t="inlineStr">
        <x:is>
          <x:t xml:space="preserve">score_composite</x:t>
        </x:is>
      </x:c>
      <x:c r="H4" s="11" t="inlineStr">
        <x:is>
          <x:t xml:space="preserve">stat_label_fr</x:t>
        </x:is>
      </x:c>
      <x:c r="I4" s="11" t="inlineStr">
        <x:is>
          <x:t xml:space="preserve">domain_label_fr</x:t>
        </x:is>
      </x:c>
      <x:c r="J4" s="11" t="inlineStr">
        <x:is>
          <x:t xml:space="preserve">qc_score_invalide</x:t>
        </x:is>
      </x:c>
      <x:c r="K4" s="11" t="inlineStr">
        <x:is>
          <x:t xml:space="preserve">qc_composite_vide</x:t>
        </x:is>
      </x:c>
      <x:c r="L4" s="11" t="inlineStr">
        <x:is>
          <x:t xml:space="preserve">qc_dup_key</x:t>
        </x:is>
      </x:c>
    </x:row>
    <x:row r="5">
      <x:c r="A5" s="8" t="n"/>
      <x:c r="B5" s="8" t="n"/>
      <x:c r="C5" s="8" t="n"/>
      <x:c r="D5" s="8" t="n"/>
      <x:c r="E5" s="8" t="n"/>
      <x:c r="F5" s="8" t="n"/>
      <x:c r="G5" s="7">
        <x:f>IF(A5="","",IF(01_Parametres!$B$11="Oui",IF((01_Parametres!$B$4*(D5&gt;0)+01_Parametres!$B$5*(E5&gt;0)+01_Parametres!$B$6*(F5&gt;0))=0,"",(01_Parametres!$B$4*IF(D5&gt;0,D5,0)+01_Parametres!$B$5*IF(E5&gt;0,E5,0)+01_Parametres!$B$6*IF(F5&gt;0,F5,0))/(01_Parametres!$B$4*(D5&gt;0)+01_Parametres!$B$5*(E5&gt;0)+01_Parametres!$B$6*(F5&gt;0))),IF(01_Parametres!$B$8=0,"",(01_Parametres!$B$4*D5+01_Parametres!$B$5*E5+01_Parametres!$B$6*F5)/01_Parametres!$B$8)))</x:f>
      </x:c>
      <x:c r="H5" t="str">
        <x:f>IFERROR(VLOOKUP(C5,02_Referentiels!$A$20:$D$99,3,FALSE),"")</x:f>
        <x:v>null</x:v>
      </x:c>
      <x:c r="I5">
        <x:f>IFERROR(VLOOKUP(B5,02_Referentiels!$A$5:$C$16,2,FALSE),"")</x:f>
      </x:c>
      <x:c r="J5">
        <x:f>IF(A5="","",IF(OR(D5="",E5="",F5=""),1,IF(OR(D5&lt;0,D5&gt;3,E5&lt;0,E5&gt;3,F5&lt;0,F5&gt;3),1,0)))</x:f>
      </x:c>
      <x:c r="K5">
        <x:f>IF(A5="","",IF(G5="",1,0))</x:f>
      </x:c>
      <x:c r="L5">
        <x:f>IF(A5="","",IF(COUNTIFS($A$5:$A$2004,A5,$C$5:$C$2004,C5)&gt;1,1,0))</x:f>
      </x:c>
    </x:row>
    <x:row r="6">
      <x:c r="A6" s="8" t="n"/>
      <x:c r="B6" s="8" t="n"/>
      <x:c r="C6" s="8" t="n"/>
      <x:c r="D6" s="8" t="n"/>
      <x:c r="E6" s="8" t="n"/>
      <x:c r="F6" s="8" t="n"/>
      <x:c r="G6" s="7">
        <x:f>IF(A6="","",IF(01_Parametres!$B$11="Oui",IF((01_Parametres!$B$4*(D6&gt;0)+01_Parametres!$B$5*(E6&gt;0)+01_Parametres!$B$6*(F6&gt;0))=0,"",(01_Parametres!$B$4*IF(D6&gt;0,D6,0)+01_Parametres!$B$5*IF(E6&gt;0,E6,0)+01_Parametres!$B$6*IF(F6&gt;0,F6,0))/(01_Parametres!$B$4*(D6&gt;0)+01_Parametres!$B$5*(E6&gt;0)+01_Parametres!$B$6*(F6&gt;0))),IF(01_Parametres!$B$8=0,"",(01_Parametres!$B$4*D6+01_Parametres!$B$5*E6+01_Parametres!$B$6*F6)/01_Parametres!$B$8)))</x:f>
      </x:c>
      <x:c r="H6" t="str">
        <x:f>IFERROR(VLOOKUP(C6,02_Referentiels!$A$20:$D$99,3,FALSE),"")</x:f>
        <x:v>null</x:v>
      </x:c>
      <x:c r="I6">
        <x:f>IFERROR(VLOOKUP(B6,02_Referentiels!$A$5:$C$16,2,FALSE),"")</x:f>
      </x:c>
      <x:c r="J6">
        <x:f>IF(A6="","",IF(OR(D6="",E6="",F6=""),1,IF(OR(D6&lt;0,D6&gt;3,E6&lt;0,E6&gt;3,F6&lt;0,F6&gt;3),1,0)))</x:f>
      </x:c>
      <x:c r="K6">
        <x:f>IF(A6="","",IF(G6="",1,0))</x:f>
      </x:c>
      <x:c r="L6">
        <x:f>IF(A6="","",IF(COUNTIFS($A$5:$A$2004,A6,$C$5:$C$2004,C6)&gt;1,1,0))</x:f>
      </x:c>
    </x:row>
    <x:row r="7">
      <x:c r="A7" s="8" t="n"/>
      <x:c r="B7" s="8" t="n"/>
      <x:c r="C7" s="8" t="n"/>
      <x:c r="D7" s="8" t="n"/>
      <x:c r="E7" s="8" t="n"/>
      <x:c r="F7" s="8" t="n"/>
      <x:c r="G7" s="7">
        <x:f>IF(A7="","",IF(01_Parametres!$B$11="Oui",IF((01_Parametres!$B$4*(D7&gt;0)+01_Parametres!$B$5*(E7&gt;0)+01_Parametres!$B$6*(F7&gt;0))=0,"",(01_Parametres!$B$4*IF(D7&gt;0,D7,0)+01_Parametres!$B$5*IF(E7&gt;0,E7,0)+01_Parametres!$B$6*IF(F7&gt;0,F7,0))/(01_Parametres!$B$4*(D7&gt;0)+01_Parametres!$B$5*(E7&gt;0)+01_Parametres!$B$6*(F7&gt;0))),IF(01_Parametres!$B$8=0,"",(01_Parametres!$B$4*D7+01_Parametres!$B$5*E7+01_Parametres!$B$6*F7)/01_Parametres!$B$8)))</x:f>
      </x:c>
      <x:c r="H7" t="str">
        <x:f>IFERROR(VLOOKUP(C7,02_Referentiels!$A$20:$D$99,3,FALSE),"")</x:f>
        <x:v>null</x:v>
      </x:c>
      <x:c r="I7">
        <x:f>IFERROR(VLOOKUP(B7,02_Referentiels!$A$5:$C$16,2,FALSE),"")</x:f>
      </x:c>
      <x:c r="J7">
        <x:f>IF(A7="","",IF(OR(D7="",E7="",F7=""),1,IF(OR(D7&lt;0,D7&gt;3,E7&lt;0,E7&gt;3,F7&lt;0,F7&gt;3),1,0)))</x:f>
      </x:c>
      <x:c r="K7">
        <x:f>IF(A7="","",IF(G7="",1,0))</x:f>
      </x:c>
      <x:c r="L7">
        <x:f>IF(A7="","",IF(COUNTIFS($A$5:$A$2004,A7,$C$5:$C$2004,C7)&gt;1,1,0))</x:f>
      </x:c>
    </x:row>
    <x:row r="8">
      <x:c r="A8" s="8" t="n"/>
      <x:c r="B8" s="8" t="n"/>
      <x:c r="C8" s="8" t="n"/>
      <x:c r="D8" s="8" t="n"/>
      <x:c r="E8" s="8" t="n"/>
      <x:c r="F8" s="8" t="n"/>
      <x:c r="G8" s="7">
        <x:f>IF(A8="","",IF(01_Parametres!$B$11="Oui",IF((01_Parametres!$B$4*(D8&gt;0)+01_Parametres!$B$5*(E8&gt;0)+01_Parametres!$B$6*(F8&gt;0))=0,"",(01_Parametres!$B$4*IF(D8&gt;0,D8,0)+01_Parametres!$B$5*IF(E8&gt;0,E8,0)+01_Parametres!$B$6*IF(F8&gt;0,F8,0))/(01_Parametres!$B$4*(D8&gt;0)+01_Parametres!$B$5*(E8&gt;0)+01_Parametres!$B$6*(F8&gt;0))),IF(01_Parametres!$B$8=0,"",(01_Parametres!$B$4*D8+01_Parametres!$B$5*E8+01_Parametres!$B$6*F8)/01_Parametres!$B$8)))</x:f>
      </x:c>
      <x:c r="H8" t="str">
        <x:f>IFERROR(VLOOKUP(C8,02_Referentiels!$A$20:$D$99,3,FALSE),"")</x:f>
        <x:v>null</x:v>
      </x:c>
      <x:c r="I8">
        <x:f>IFERROR(VLOOKUP(B8,02_Referentiels!$A$5:$C$16,2,FALSE),"")</x:f>
      </x:c>
      <x:c r="J8">
        <x:f>IF(A8="","",IF(OR(D8="",E8="",F8=""),1,IF(OR(D8&lt;0,D8&gt;3,E8&lt;0,E8&gt;3,F8&lt;0,F8&gt;3),1,0)))</x:f>
      </x:c>
      <x:c r="K8">
        <x:f>IF(A8="","",IF(G8="",1,0))</x:f>
      </x:c>
      <x:c r="L8">
        <x:f>IF(A8="","",IF(COUNTIFS($A$5:$A$2004,A8,$C$5:$C$2004,C8)&gt;1,1,0))</x:f>
      </x:c>
    </x:row>
    <x:row r="9">
      <x:c r="A9" s="8" t="n"/>
      <x:c r="B9" s="8" t="n"/>
      <x:c r="C9" s="8" t="n"/>
      <x:c r="D9" s="8" t="n"/>
      <x:c r="E9" s="8" t="n"/>
      <x:c r="F9" s="8" t="n"/>
      <x:c r="G9" s="7">
        <x:f>IF(A9="","",IF(01_Parametres!$B$11="Oui",IF((01_Parametres!$B$4*(D9&gt;0)+01_Parametres!$B$5*(E9&gt;0)+01_Parametres!$B$6*(F9&gt;0))=0,"",(01_Parametres!$B$4*IF(D9&gt;0,D9,0)+01_Parametres!$B$5*IF(E9&gt;0,E9,0)+01_Parametres!$B$6*IF(F9&gt;0,F9,0))/(01_Parametres!$B$4*(D9&gt;0)+01_Parametres!$B$5*(E9&gt;0)+01_Parametres!$B$6*(F9&gt;0))),IF(01_Parametres!$B$8=0,"",(01_Parametres!$B$4*D9+01_Parametres!$B$5*E9+01_Parametres!$B$6*F9)/01_Parametres!$B$8)))</x:f>
      </x:c>
      <x:c r="H9" t="str">
        <x:f>IFERROR(VLOOKUP(C9,02_Referentiels!$A$20:$D$99,3,FALSE),"")</x:f>
        <x:v>null</x:v>
      </x:c>
      <x:c r="I9">
        <x:f>IFERROR(VLOOKUP(B9,02_Referentiels!$A$5:$C$16,2,FALSE),"")</x:f>
      </x:c>
      <x:c r="J9">
        <x:f>IF(A9="","",IF(OR(D9="",E9="",F9=""),1,IF(OR(D9&lt;0,D9&gt;3,E9&lt;0,E9&gt;3,F9&lt;0,F9&gt;3),1,0)))</x:f>
      </x:c>
      <x:c r="K9">
        <x:f>IF(A9="","",IF(G9="",1,0))</x:f>
      </x:c>
      <x:c r="L9">
        <x:f>IF(A9="","",IF(COUNTIFS($A$5:$A$2004,A9,$C$5:$C$2004,C9)&gt;1,1,0))</x:f>
      </x:c>
    </x:row>
    <x:row r="10">
      <x:c r="A10" s="8" t="n"/>
      <x:c r="B10" s="8" t="n"/>
      <x:c r="C10" s="8" t="n"/>
      <x:c r="D10" s="8" t="n"/>
      <x:c r="E10" s="8" t="n"/>
      <x:c r="F10" s="8" t="n"/>
      <x:c r="G10" s="7">
        <x:f>IF(A10="","",IF(01_Parametres!$B$11="Oui",IF((01_Parametres!$B$4*(D10&gt;0)+01_Parametres!$B$5*(E10&gt;0)+01_Parametres!$B$6*(F10&gt;0))=0,"",(01_Parametres!$B$4*IF(D10&gt;0,D10,0)+01_Parametres!$B$5*IF(E10&gt;0,E10,0)+01_Parametres!$B$6*IF(F10&gt;0,F10,0))/(01_Parametres!$B$4*(D10&gt;0)+01_Parametres!$B$5*(E10&gt;0)+01_Parametres!$B$6*(F10&gt;0))),IF(01_Parametres!$B$8=0,"",(01_Parametres!$B$4*D10+01_Parametres!$B$5*E10+01_Parametres!$B$6*F10)/01_Parametres!$B$8)))</x:f>
      </x:c>
      <x:c r="H10" t="str">
        <x:f>IFERROR(VLOOKUP(C10,02_Referentiels!$A$20:$D$99,3,FALSE),"")</x:f>
        <x:v>null</x:v>
      </x:c>
      <x:c r="I10">
        <x:f>IFERROR(VLOOKUP(B10,02_Referentiels!$A$5:$C$16,2,FALSE),"")</x:f>
      </x:c>
      <x:c r="J10">
        <x:f>IF(A10="","",IF(OR(D10="",E10="",F10=""),1,IF(OR(D10&lt;0,D10&gt;3,E10&lt;0,E10&gt;3,F10&lt;0,F10&gt;3),1,0)))</x:f>
      </x:c>
      <x:c r="K10">
        <x:f>IF(A10="","",IF(G10="",1,0))</x:f>
      </x:c>
      <x:c r="L10">
        <x:f>IF(A10="","",IF(COUNTIFS($A$5:$A$2004,A10,$C$5:$C$2004,C10)&gt;1,1,0))</x:f>
      </x:c>
    </x:row>
    <x:row r="11">
      <x:c r="A11" s="8" t="n"/>
      <x:c r="B11" s="8" t="n"/>
      <x:c r="C11" s="8" t="n"/>
      <x:c r="D11" s="8" t="n"/>
      <x:c r="E11" s="8" t="n"/>
      <x:c r="F11" s="8" t="n"/>
      <x:c r="G11" s="7">
        <x:f>IF(A11="","",IF(01_Parametres!$B$11="Oui",IF((01_Parametres!$B$4*(D11&gt;0)+01_Parametres!$B$5*(E11&gt;0)+01_Parametres!$B$6*(F11&gt;0))=0,"",(01_Parametres!$B$4*IF(D11&gt;0,D11,0)+01_Parametres!$B$5*IF(E11&gt;0,E11,0)+01_Parametres!$B$6*IF(F11&gt;0,F11,0))/(01_Parametres!$B$4*(D11&gt;0)+01_Parametres!$B$5*(E11&gt;0)+01_Parametres!$B$6*(F11&gt;0))),IF(01_Parametres!$B$8=0,"",(01_Parametres!$B$4*D11+01_Parametres!$B$5*E11+01_Parametres!$B$6*F11)/01_Parametres!$B$8)))</x:f>
      </x:c>
      <x:c r="H11" t="str">
        <x:f>IFERROR(VLOOKUP(C11,02_Referentiels!$A$20:$D$99,3,FALSE),"")</x:f>
        <x:v>null</x:v>
      </x:c>
      <x:c r="I11">
        <x:f>IFERROR(VLOOKUP(B11,02_Referentiels!$A$5:$C$16,2,FALSE),"")</x:f>
      </x:c>
      <x:c r="J11">
        <x:f>IF(A11="","",IF(OR(D11="",E11="",F11=""),1,IF(OR(D11&lt;0,D11&gt;3,E11&lt;0,E11&gt;3,F11&lt;0,F11&gt;3),1,0)))</x:f>
      </x:c>
      <x:c r="K11">
        <x:f>IF(A11="","",IF(G11="",1,0))</x:f>
      </x:c>
      <x:c r="L11">
        <x:f>IF(A11="","",IF(COUNTIFS($A$5:$A$2004,A11,$C$5:$C$2004,C11)&gt;1,1,0))</x:f>
      </x:c>
    </x:row>
    <x:row r="12">
      <x:c r="A12" s="8" t="n"/>
      <x:c r="B12" s="8" t="n"/>
      <x:c r="C12" s="8" t="n"/>
      <x:c r="D12" s="8" t="n"/>
      <x:c r="E12" s="8" t="n"/>
      <x:c r="F12" s="8" t="n"/>
      <x:c r="G12" s="7">
        <x:f>IF(A12="","",IF(01_Parametres!$B$11="Oui",IF((01_Parametres!$B$4*(D12&gt;0)+01_Parametres!$B$5*(E12&gt;0)+01_Parametres!$B$6*(F12&gt;0))=0,"",(01_Parametres!$B$4*IF(D12&gt;0,D12,0)+01_Parametres!$B$5*IF(E12&gt;0,E12,0)+01_Parametres!$B$6*IF(F12&gt;0,F12,0))/(01_Parametres!$B$4*(D12&gt;0)+01_Parametres!$B$5*(E12&gt;0)+01_Parametres!$B$6*(F12&gt;0))),IF(01_Parametres!$B$8=0,"",(01_Parametres!$B$4*D12+01_Parametres!$B$5*E12+01_Parametres!$B$6*F12)/01_Parametres!$B$8)))</x:f>
      </x:c>
      <x:c r="H12" t="str">
        <x:f>IFERROR(VLOOKUP(C12,02_Referentiels!$A$20:$D$99,3,FALSE),"")</x:f>
        <x:v>null</x:v>
      </x:c>
      <x:c r="I12">
        <x:f>IFERROR(VLOOKUP(B12,02_Referentiels!$A$5:$C$16,2,FALSE),"")</x:f>
      </x:c>
      <x:c r="J12">
        <x:f>IF(A12="","",IF(OR(D12="",E12="",F12=""),1,IF(OR(D12&lt;0,D12&gt;3,E12&lt;0,E12&gt;3,F12&lt;0,F12&gt;3),1,0)))</x:f>
      </x:c>
      <x:c r="K12">
        <x:f>IF(A12="","",IF(G12="",1,0))</x:f>
      </x:c>
      <x:c r="L12">
        <x:f>IF(A12="","",IF(COUNTIFS($A$5:$A$2004,A12,$C$5:$C$2004,C12)&gt;1,1,0))</x:f>
      </x:c>
    </x:row>
    <x:row r="13">
      <x:c r="A13" s="8" t="n"/>
      <x:c r="B13" s="8" t="n"/>
      <x:c r="C13" s="8" t="n"/>
      <x:c r="D13" s="8" t="n"/>
      <x:c r="E13" s="8" t="n"/>
      <x:c r="F13" s="8" t="n"/>
      <x:c r="G13" s="7">
        <x:f>IF(A13="","",IF(01_Parametres!$B$11="Oui",IF((01_Parametres!$B$4*(D13&gt;0)+01_Parametres!$B$5*(E13&gt;0)+01_Parametres!$B$6*(F13&gt;0))=0,"",(01_Parametres!$B$4*IF(D13&gt;0,D13,0)+01_Parametres!$B$5*IF(E13&gt;0,E13,0)+01_Parametres!$B$6*IF(F13&gt;0,F13,0))/(01_Parametres!$B$4*(D13&gt;0)+01_Parametres!$B$5*(E13&gt;0)+01_Parametres!$B$6*(F13&gt;0))),IF(01_Parametres!$B$8=0,"",(01_Parametres!$B$4*D13+01_Parametres!$B$5*E13+01_Parametres!$B$6*F13)/01_Parametres!$B$8)))</x:f>
      </x:c>
      <x:c r="H13" t="str">
        <x:f>IFERROR(VLOOKUP(C13,02_Referentiels!$A$20:$D$99,3,FALSE),"")</x:f>
        <x:v>null</x:v>
      </x:c>
      <x:c r="I13">
        <x:f>IFERROR(VLOOKUP(B13,02_Referentiels!$A$5:$C$16,2,FALSE),"")</x:f>
      </x:c>
      <x:c r="J13">
        <x:f>IF(A13="","",IF(OR(D13="",E13="",F13=""),1,IF(OR(D13&lt;0,D13&gt;3,E13&lt;0,E13&gt;3,F13&lt;0,F13&gt;3),1,0)))</x:f>
      </x:c>
      <x:c r="K13">
        <x:f>IF(A13="","",IF(G13="",1,0))</x:f>
      </x:c>
      <x:c r="L13">
        <x:f>IF(A13="","",IF(COUNTIFS($A$5:$A$2004,A13,$C$5:$C$2004,C13)&gt;1,1,0))</x:f>
      </x:c>
    </x:row>
    <x:row r="14">
      <x:c r="A14" s="8" t="n"/>
      <x:c r="B14" s="8" t="n"/>
      <x:c r="C14" s="8" t="n"/>
      <x:c r="D14" s="8" t="n"/>
      <x:c r="E14" s="8" t="n"/>
      <x:c r="F14" s="8" t="n"/>
      <x:c r="G14" s="7">
        <x:f>IF(A14="","",IF(01_Parametres!$B$11="Oui",IF((01_Parametres!$B$4*(D14&gt;0)+01_Parametres!$B$5*(E14&gt;0)+01_Parametres!$B$6*(F14&gt;0))=0,"",(01_Parametres!$B$4*IF(D14&gt;0,D14,0)+01_Parametres!$B$5*IF(E14&gt;0,E14,0)+01_Parametres!$B$6*IF(F14&gt;0,F14,0))/(01_Parametres!$B$4*(D14&gt;0)+01_Parametres!$B$5*(E14&gt;0)+01_Parametres!$B$6*(F14&gt;0))),IF(01_Parametres!$B$8=0,"",(01_Parametres!$B$4*D14+01_Parametres!$B$5*E14+01_Parametres!$B$6*F14)/01_Parametres!$B$8)))</x:f>
      </x:c>
      <x:c r="H14" t="str">
        <x:f>IFERROR(VLOOKUP(C14,02_Referentiels!$A$20:$D$99,3,FALSE),"")</x:f>
        <x:v>null</x:v>
      </x:c>
      <x:c r="I14">
        <x:f>IFERROR(VLOOKUP(B14,02_Referentiels!$A$5:$C$16,2,FALSE),"")</x:f>
      </x:c>
      <x:c r="J14">
        <x:f>IF(A14="","",IF(OR(D14="",E14="",F14=""),1,IF(OR(D14&lt;0,D14&gt;3,E14&lt;0,E14&gt;3,F14&lt;0,F14&gt;3),1,0)))</x:f>
      </x:c>
      <x:c r="K14">
        <x:f>IF(A14="","",IF(G14="",1,0))</x:f>
      </x:c>
      <x:c r="L14">
        <x:f>IF(A14="","",IF(COUNTIFS($A$5:$A$2004,A14,$C$5:$C$2004,C14)&gt;1,1,0))</x:f>
      </x:c>
    </x:row>
    <x:row r="15">
      <x:c r="A15" s="8" t="n"/>
      <x:c r="B15" s="8" t="n"/>
      <x:c r="C15" s="8" t="n"/>
      <x:c r="D15" s="8" t="n"/>
      <x:c r="E15" s="8" t="n"/>
      <x:c r="F15" s="8" t="n"/>
      <x:c r="G15" s="7">
        <x:f>IF(A15="","",IF(01_Parametres!$B$11="Oui",IF((01_Parametres!$B$4*(D15&gt;0)+01_Parametres!$B$5*(E15&gt;0)+01_Parametres!$B$6*(F15&gt;0))=0,"",(01_Parametres!$B$4*IF(D15&gt;0,D15,0)+01_Parametres!$B$5*IF(E15&gt;0,E15,0)+01_Parametres!$B$6*IF(F15&gt;0,F15,0))/(01_Parametres!$B$4*(D15&gt;0)+01_Parametres!$B$5*(E15&gt;0)+01_Parametres!$B$6*(F15&gt;0))),IF(01_Parametres!$B$8=0,"",(01_Parametres!$B$4*D15+01_Parametres!$B$5*E15+01_Parametres!$B$6*F15)/01_Parametres!$B$8)))</x:f>
      </x:c>
      <x:c r="H15" t="str">
        <x:f>IFERROR(VLOOKUP(C15,02_Referentiels!$A$20:$D$99,3,FALSE),"")</x:f>
        <x:v>null</x:v>
      </x:c>
      <x:c r="I15">
        <x:f>IFERROR(VLOOKUP(B15,02_Referentiels!$A$5:$C$16,2,FALSE),"")</x:f>
      </x:c>
      <x:c r="J15">
        <x:f>IF(A15="","",IF(OR(D15="",E15="",F15=""),1,IF(OR(D15&lt;0,D15&gt;3,E15&lt;0,E15&gt;3,F15&lt;0,F15&gt;3),1,0)))</x:f>
      </x:c>
      <x:c r="K15">
        <x:f>IF(A15="","",IF(G15="",1,0))</x:f>
      </x:c>
      <x:c r="L15">
        <x:f>IF(A15="","",IF(COUNTIFS($A$5:$A$2004,A15,$C$5:$C$2004,C15)&gt;1,1,0))</x:f>
      </x:c>
    </x:row>
    <x:row r="16">
      <x:c r="A16" s="8" t="n"/>
      <x:c r="B16" s="8" t="n"/>
      <x:c r="C16" s="8" t="n"/>
      <x:c r="D16" s="8" t="n"/>
      <x:c r="E16" s="8" t="n"/>
      <x:c r="F16" s="8" t="n"/>
      <x:c r="G16" s="7">
        <x:f>IF(A16="","",IF(01_Parametres!$B$11="Oui",IF((01_Parametres!$B$4*(D16&gt;0)+01_Parametres!$B$5*(E16&gt;0)+01_Parametres!$B$6*(F16&gt;0))=0,"",(01_Parametres!$B$4*IF(D16&gt;0,D16,0)+01_Parametres!$B$5*IF(E16&gt;0,E16,0)+01_Parametres!$B$6*IF(F16&gt;0,F16,0))/(01_Parametres!$B$4*(D16&gt;0)+01_Parametres!$B$5*(E16&gt;0)+01_Parametres!$B$6*(F16&gt;0))),IF(01_Parametres!$B$8=0,"",(01_Parametres!$B$4*D16+01_Parametres!$B$5*E16+01_Parametres!$B$6*F16)/01_Parametres!$B$8)))</x:f>
      </x:c>
      <x:c r="H16" t="str">
        <x:f>IFERROR(VLOOKUP(C16,02_Referentiels!$A$20:$D$99,3,FALSE),"")</x:f>
        <x:v>null</x:v>
      </x:c>
      <x:c r="I16">
        <x:f>IFERROR(VLOOKUP(B16,02_Referentiels!$A$5:$C$16,2,FALSE),"")</x:f>
      </x:c>
      <x:c r="J16">
        <x:f>IF(A16="","",IF(OR(D16="",E16="",F16=""),1,IF(OR(D16&lt;0,D16&gt;3,E16&lt;0,E16&gt;3,F16&lt;0,F16&gt;3),1,0)))</x:f>
      </x:c>
      <x:c r="K16">
        <x:f>IF(A16="","",IF(G16="",1,0))</x:f>
      </x:c>
      <x:c r="L16">
        <x:f>IF(A16="","",IF(COUNTIFS($A$5:$A$2004,A16,$C$5:$C$2004,C16)&gt;1,1,0))</x:f>
      </x:c>
    </x:row>
    <x:row r="17">
      <x:c r="A17" s="8" t="n"/>
      <x:c r="B17" s="8" t="n"/>
      <x:c r="C17" s="8" t="n"/>
      <x:c r="D17" s="8" t="n"/>
      <x:c r="E17" s="8" t="n"/>
      <x:c r="F17" s="8" t="n"/>
      <x:c r="G17" s="7">
        <x:f>IF(A17="","",IF(01_Parametres!$B$11="Oui",IF((01_Parametres!$B$4*(D17&gt;0)+01_Parametres!$B$5*(E17&gt;0)+01_Parametres!$B$6*(F17&gt;0))=0,"",(01_Parametres!$B$4*IF(D17&gt;0,D17,0)+01_Parametres!$B$5*IF(E17&gt;0,E17,0)+01_Parametres!$B$6*IF(F17&gt;0,F17,0))/(01_Parametres!$B$4*(D17&gt;0)+01_Parametres!$B$5*(E17&gt;0)+01_Parametres!$B$6*(F17&gt;0))),IF(01_Parametres!$B$8=0,"",(01_Parametres!$B$4*D17+01_Parametres!$B$5*E17+01_Parametres!$B$6*F17)/01_Parametres!$B$8)))</x:f>
      </x:c>
      <x:c r="H17" t="str">
        <x:f>IFERROR(VLOOKUP(C17,02_Referentiels!$A$20:$D$99,3,FALSE),"")</x:f>
        <x:v>null</x:v>
      </x:c>
      <x:c r="I17">
        <x:f>IFERROR(VLOOKUP(B17,02_Referentiels!$A$5:$C$16,2,FALSE),"")</x:f>
      </x:c>
      <x:c r="J17">
        <x:f>IF(A17="","",IF(OR(D17="",E17="",F17=""),1,IF(OR(D17&lt;0,D17&gt;3,E17&lt;0,E17&gt;3,F17&lt;0,F17&gt;3),1,0)))</x:f>
      </x:c>
      <x:c r="K17">
        <x:f>IF(A17="","",IF(G17="",1,0))</x:f>
      </x:c>
      <x:c r="L17">
        <x:f>IF(A17="","",IF(COUNTIFS($A$5:$A$2004,A17,$C$5:$C$2004,C17)&gt;1,1,0))</x:f>
      </x:c>
    </x:row>
    <x:row r="18">
      <x:c r="A18" s="8" t="n"/>
      <x:c r="B18" s="8" t="n"/>
      <x:c r="C18" s="8" t="n"/>
      <x:c r="D18" s="8" t="n"/>
      <x:c r="E18" s="8" t="n"/>
      <x:c r="F18" s="8" t="n"/>
      <x:c r="G18" s="7">
        <x:f>IF(A18="","",IF(01_Parametres!$B$11="Oui",IF((01_Parametres!$B$4*(D18&gt;0)+01_Parametres!$B$5*(E18&gt;0)+01_Parametres!$B$6*(F18&gt;0))=0,"",(01_Parametres!$B$4*IF(D18&gt;0,D18,0)+01_Parametres!$B$5*IF(E18&gt;0,E18,0)+01_Parametres!$B$6*IF(F18&gt;0,F18,0))/(01_Parametres!$B$4*(D18&gt;0)+01_Parametres!$B$5*(E18&gt;0)+01_Parametres!$B$6*(F18&gt;0))),IF(01_Parametres!$B$8=0,"",(01_Parametres!$B$4*D18+01_Parametres!$B$5*E18+01_Parametres!$B$6*F18)/01_Parametres!$B$8)))</x:f>
      </x:c>
      <x:c r="H18" t="str">
        <x:f>IFERROR(VLOOKUP(C18,02_Referentiels!$A$20:$D$99,3,FALSE),"")</x:f>
        <x:v>null</x:v>
      </x:c>
      <x:c r="I18">
        <x:f>IFERROR(VLOOKUP(B18,02_Referentiels!$A$5:$C$16,2,FALSE),"")</x:f>
      </x:c>
      <x:c r="J18">
        <x:f>IF(A18="","",IF(OR(D18="",E18="",F18=""),1,IF(OR(D18&lt;0,D18&gt;3,E18&lt;0,E18&gt;3,F18&lt;0,F18&gt;3),1,0)))</x:f>
      </x:c>
      <x:c r="K18">
        <x:f>IF(A18="","",IF(G18="",1,0))</x:f>
      </x:c>
      <x:c r="L18">
        <x:f>IF(A18="","",IF(COUNTIFS($A$5:$A$2004,A18,$C$5:$C$2004,C18)&gt;1,1,0))</x:f>
      </x:c>
    </x:row>
    <x:row r="19">
      <x:c r="A19" s="8" t="n"/>
      <x:c r="B19" s="8" t="n"/>
      <x:c r="C19" s="8" t="n"/>
      <x:c r="D19" s="8" t="n"/>
      <x:c r="E19" s="8" t="n"/>
      <x:c r="F19" s="8" t="n"/>
      <x:c r="G19" s="7">
        <x:f>IF(A19="","",IF(01_Parametres!$B$11="Oui",IF((01_Parametres!$B$4*(D19&gt;0)+01_Parametres!$B$5*(E19&gt;0)+01_Parametres!$B$6*(F19&gt;0))=0,"",(01_Parametres!$B$4*IF(D19&gt;0,D19,0)+01_Parametres!$B$5*IF(E19&gt;0,E19,0)+01_Parametres!$B$6*IF(F19&gt;0,F19,0))/(01_Parametres!$B$4*(D19&gt;0)+01_Parametres!$B$5*(E19&gt;0)+01_Parametres!$B$6*(F19&gt;0))),IF(01_Parametres!$B$8=0,"",(01_Parametres!$B$4*D19+01_Parametres!$B$5*E19+01_Parametres!$B$6*F19)/01_Parametres!$B$8)))</x:f>
      </x:c>
      <x:c r="H19" t="str">
        <x:f>IFERROR(VLOOKUP(C19,02_Referentiels!$A$20:$D$99,3,FALSE),"")</x:f>
        <x:v>null</x:v>
      </x:c>
      <x:c r="I19">
        <x:f>IFERROR(VLOOKUP(B19,02_Referentiels!$A$5:$C$16,2,FALSE),"")</x:f>
      </x:c>
      <x:c r="J19">
        <x:f>IF(A19="","",IF(OR(D19="",E19="",F19=""),1,IF(OR(D19&lt;0,D19&gt;3,E19&lt;0,E19&gt;3,F19&lt;0,F19&gt;3),1,0)))</x:f>
      </x:c>
      <x:c r="K19">
        <x:f>IF(A19="","",IF(G19="",1,0))</x:f>
      </x:c>
      <x:c r="L19">
        <x:f>IF(A19="","",IF(COUNTIFS($A$5:$A$2004,A19,$C$5:$C$2004,C19)&gt;1,1,0))</x:f>
      </x:c>
    </x:row>
    <x:row r="20">
      <x:c r="A20" s="8" t="n"/>
      <x:c r="B20" s="8" t="n"/>
      <x:c r="C20" s="8" t="n"/>
      <x:c r="D20" s="8" t="n"/>
      <x:c r="E20" s="8" t="n"/>
      <x:c r="F20" s="8" t="n"/>
      <x:c r="G20" s="7">
        <x:f>IF(A20="","",IF(01_Parametres!$B$11="Oui",IF((01_Parametres!$B$4*(D20&gt;0)+01_Parametres!$B$5*(E20&gt;0)+01_Parametres!$B$6*(F20&gt;0))=0,"",(01_Parametres!$B$4*IF(D20&gt;0,D20,0)+01_Parametres!$B$5*IF(E20&gt;0,E20,0)+01_Parametres!$B$6*IF(F20&gt;0,F20,0))/(01_Parametres!$B$4*(D20&gt;0)+01_Parametres!$B$5*(E20&gt;0)+01_Parametres!$B$6*(F20&gt;0))),IF(01_Parametres!$B$8=0,"",(01_Parametres!$B$4*D20+01_Parametres!$B$5*E20+01_Parametres!$B$6*F20)/01_Parametres!$B$8)))</x:f>
      </x:c>
      <x:c r="H20" t="str">
        <x:f>IFERROR(VLOOKUP(C20,02_Referentiels!$A$20:$D$99,3,FALSE),"")</x:f>
        <x:v>null</x:v>
      </x:c>
      <x:c r="I20">
        <x:f>IFERROR(VLOOKUP(B20,02_Referentiels!$A$5:$C$16,2,FALSE),"")</x:f>
      </x:c>
      <x:c r="J20">
        <x:f>IF(A20="","",IF(OR(D20="",E20="",F20=""),1,IF(OR(D20&lt;0,D20&gt;3,E20&lt;0,E20&gt;3,F20&lt;0,F20&gt;3),1,0)))</x:f>
      </x:c>
      <x:c r="K20">
        <x:f>IF(A20="","",IF(G20="",1,0))</x:f>
      </x:c>
      <x:c r="L20">
        <x:f>IF(A20="","",IF(COUNTIFS($A$5:$A$2004,A20,$C$5:$C$2004,C20)&gt;1,1,0))</x:f>
      </x:c>
    </x:row>
    <x:row r="21">
      <x:c r="A21" s="8" t="n"/>
      <x:c r="B21" s="8" t="n"/>
      <x:c r="C21" s="8" t="n"/>
      <x:c r="D21" s="8" t="n"/>
      <x:c r="E21" s="8" t="n"/>
      <x:c r="F21" s="8" t="n"/>
      <x:c r="G21" s="7">
        <x:f>IF(A21="","",IF(01_Parametres!$B$11="Oui",IF((01_Parametres!$B$4*(D21&gt;0)+01_Parametres!$B$5*(E21&gt;0)+01_Parametres!$B$6*(F21&gt;0))=0,"",(01_Parametres!$B$4*IF(D21&gt;0,D21,0)+01_Parametres!$B$5*IF(E21&gt;0,E21,0)+01_Parametres!$B$6*IF(F21&gt;0,F21,0))/(01_Parametres!$B$4*(D21&gt;0)+01_Parametres!$B$5*(E21&gt;0)+01_Parametres!$B$6*(F21&gt;0))),IF(01_Parametres!$B$8=0,"",(01_Parametres!$B$4*D21+01_Parametres!$B$5*E21+01_Parametres!$B$6*F21)/01_Parametres!$B$8)))</x:f>
      </x:c>
      <x:c r="H21" t="str">
        <x:f>IFERROR(VLOOKUP(C21,02_Referentiels!$A$20:$D$99,3,FALSE),"")</x:f>
        <x:v>null</x:v>
      </x:c>
      <x:c r="I21">
        <x:f>IFERROR(VLOOKUP(B21,02_Referentiels!$A$5:$C$16,2,FALSE),"")</x:f>
      </x:c>
      <x:c r="J21">
        <x:f>IF(A21="","",IF(OR(D21="",E21="",F21=""),1,IF(OR(D21&lt;0,D21&gt;3,E21&lt;0,E21&gt;3,F21&lt;0,F21&gt;3),1,0)))</x:f>
      </x:c>
      <x:c r="K21">
        <x:f>IF(A21="","",IF(G21="",1,0))</x:f>
      </x:c>
      <x:c r="L21">
        <x:f>IF(A21="","",IF(COUNTIFS($A$5:$A$2004,A21,$C$5:$C$2004,C21)&gt;1,1,0))</x:f>
      </x:c>
    </x:row>
    <x:row r="22">
      <x:c r="A22" s="8" t="n"/>
      <x:c r="B22" s="8" t="n"/>
      <x:c r="C22" s="8" t="n"/>
      <x:c r="D22" s="8" t="n"/>
      <x:c r="E22" s="8" t="n"/>
      <x:c r="F22" s="8" t="n"/>
      <x:c r="G22" s="7">
        <x:f>IF(A22="","",IF(01_Parametres!$B$11="Oui",IF((01_Parametres!$B$4*(D22&gt;0)+01_Parametres!$B$5*(E22&gt;0)+01_Parametres!$B$6*(F22&gt;0))=0,"",(01_Parametres!$B$4*IF(D22&gt;0,D22,0)+01_Parametres!$B$5*IF(E22&gt;0,E22,0)+01_Parametres!$B$6*IF(F22&gt;0,F22,0))/(01_Parametres!$B$4*(D22&gt;0)+01_Parametres!$B$5*(E22&gt;0)+01_Parametres!$B$6*(F22&gt;0))),IF(01_Parametres!$B$8=0,"",(01_Parametres!$B$4*D22+01_Parametres!$B$5*E22+01_Parametres!$B$6*F22)/01_Parametres!$B$8)))</x:f>
      </x:c>
      <x:c r="H22" t="str">
        <x:f>IFERROR(VLOOKUP(C22,02_Referentiels!$A$20:$D$99,3,FALSE),"")</x:f>
        <x:v>null</x:v>
      </x:c>
      <x:c r="I22">
        <x:f>IFERROR(VLOOKUP(B22,02_Referentiels!$A$5:$C$16,2,FALSE),"")</x:f>
      </x:c>
      <x:c r="J22">
        <x:f>IF(A22="","",IF(OR(D22="",E22="",F22=""),1,IF(OR(D22&lt;0,D22&gt;3,E22&lt;0,E22&gt;3,F22&lt;0,F22&gt;3),1,0)))</x:f>
      </x:c>
      <x:c r="K22">
        <x:f>IF(A22="","",IF(G22="",1,0))</x:f>
      </x:c>
      <x:c r="L22">
        <x:f>IF(A22="","",IF(COUNTIFS($A$5:$A$2004,A22,$C$5:$C$2004,C22)&gt;1,1,0))</x:f>
      </x:c>
    </x:row>
    <x:row r="23">
      <x:c r="A23" s="8" t="n"/>
      <x:c r="B23" s="8" t="n"/>
      <x:c r="C23" s="8" t="n"/>
      <x:c r="D23" s="8" t="n"/>
      <x:c r="E23" s="8" t="n"/>
      <x:c r="F23" s="8" t="n"/>
      <x:c r="G23" s="7">
        <x:f>IF(A23="","",IF(01_Parametres!$B$11="Oui",IF((01_Parametres!$B$4*(D23&gt;0)+01_Parametres!$B$5*(E23&gt;0)+01_Parametres!$B$6*(F23&gt;0))=0,"",(01_Parametres!$B$4*IF(D23&gt;0,D23,0)+01_Parametres!$B$5*IF(E23&gt;0,E23,0)+01_Parametres!$B$6*IF(F23&gt;0,F23,0))/(01_Parametres!$B$4*(D23&gt;0)+01_Parametres!$B$5*(E23&gt;0)+01_Parametres!$B$6*(F23&gt;0))),IF(01_Parametres!$B$8=0,"",(01_Parametres!$B$4*D23+01_Parametres!$B$5*E23+01_Parametres!$B$6*F23)/01_Parametres!$B$8)))</x:f>
      </x:c>
      <x:c r="H23" t="str">
        <x:f>IFERROR(VLOOKUP(C23,02_Referentiels!$A$20:$D$99,3,FALSE),"")</x:f>
        <x:v>null</x:v>
      </x:c>
      <x:c r="I23">
        <x:f>IFERROR(VLOOKUP(B23,02_Referentiels!$A$5:$C$16,2,FALSE),"")</x:f>
      </x:c>
      <x:c r="J23">
        <x:f>IF(A23="","",IF(OR(D23="",E23="",F23=""),1,IF(OR(D23&lt;0,D23&gt;3,E23&lt;0,E23&gt;3,F23&lt;0,F23&gt;3),1,0)))</x:f>
      </x:c>
      <x:c r="K23">
        <x:f>IF(A23="","",IF(G23="",1,0))</x:f>
      </x:c>
      <x:c r="L23">
        <x:f>IF(A23="","",IF(COUNTIFS($A$5:$A$2004,A23,$C$5:$C$2004,C23)&gt;1,1,0))</x:f>
      </x:c>
    </x:row>
    <x:row r="24">
      <x:c r="A24" s="8" t="n"/>
      <x:c r="B24" s="8" t="n"/>
      <x:c r="C24" s="8" t="n"/>
      <x:c r="D24" s="8" t="n"/>
      <x:c r="E24" s="8" t="n"/>
      <x:c r="F24" s="8" t="n"/>
      <x:c r="G24" s="7">
        <x:f>IF(A24="","",IF(01_Parametres!$B$11="Oui",IF((01_Parametres!$B$4*(D24&gt;0)+01_Parametres!$B$5*(E24&gt;0)+01_Parametres!$B$6*(F24&gt;0))=0,"",(01_Parametres!$B$4*IF(D24&gt;0,D24,0)+01_Parametres!$B$5*IF(E24&gt;0,E24,0)+01_Parametres!$B$6*IF(F24&gt;0,F24,0))/(01_Parametres!$B$4*(D24&gt;0)+01_Parametres!$B$5*(E24&gt;0)+01_Parametres!$B$6*(F24&gt;0))),IF(01_Parametres!$B$8=0,"",(01_Parametres!$B$4*D24+01_Parametres!$B$5*E24+01_Parametres!$B$6*F24)/01_Parametres!$B$8)))</x:f>
      </x:c>
      <x:c r="H24" t="str">
        <x:f>IFERROR(VLOOKUP(C24,02_Referentiels!$A$20:$D$99,3,FALSE),"")</x:f>
        <x:v>null</x:v>
      </x:c>
      <x:c r="I24">
        <x:f>IFERROR(VLOOKUP(B24,02_Referentiels!$A$5:$C$16,2,FALSE),"")</x:f>
      </x:c>
      <x:c r="J24">
        <x:f>IF(A24="","",IF(OR(D24="",E24="",F24=""),1,IF(OR(D24&lt;0,D24&gt;3,E24&lt;0,E24&gt;3,F24&lt;0,F24&gt;3),1,0)))</x:f>
      </x:c>
      <x:c r="K24">
        <x:f>IF(A24="","",IF(G24="",1,0))</x:f>
      </x:c>
      <x:c r="L24">
        <x:f>IF(A24="","",IF(COUNTIFS($A$5:$A$2004,A24,$C$5:$C$2004,C24)&gt;1,1,0))</x:f>
      </x:c>
    </x:row>
    <x:row r="25">
      <x:c r="A25" s="8" t="n"/>
      <x:c r="B25" s="8" t="n"/>
      <x:c r="C25" s="8" t="n"/>
      <x:c r="D25" s="8" t="n"/>
      <x:c r="E25" s="8" t="n"/>
      <x:c r="F25" s="8" t="n"/>
      <x:c r="G25" s="7">
        <x:f>IF(A25="","",IF(01_Parametres!$B$11="Oui",IF((01_Parametres!$B$4*(D25&gt;0)+01_Parametres!$B$5*(E25&gt;0)+01_Parametres!$B$6*(F25&gt;0))=0,"",(01_Parametres!$B$4*IF(D25&gt;0,D25,0)+01_Parametres!$B$5*IF(E25&gt;0,E25,0)+01_Parametres!$B$6*IF(F25&gt;0,F25,0))/(01_Parametres!$B$4*(D25&gt;0)+01_Parametres!$B$5*(E25&gt;0)+01_Parametres!$B$6*(F25&gt;0))),IF(01_Parametres!$B$8=0,"",(01_Parametres!$B$4*D25+01_Parametres!$B$5*E25+01_Parametres!$B$6*F25)/01_Parametres!$B$8)))</x:f>
      </x:c>
      <x:c r="H25" t="str">
        <x:f>IFERROR(VLOOKUP(C25,02_Referentiels!$A$20:$D$99,3,FALSE),"")</x:f>
        <x:v>null</x:v>
      </x:c>
      <x:c r="I25">
        <x:f>IFERROR(VLOOKUP(B25,02_Referentiels!$A$5:$C$16,2,FALSE),"")</x:f>
      </x:c>
      <x:c r="J25">
        <x:f>IF(A25="","",IF(OR(D25="",E25="",F25=""),1,IF(OR(D25&lt;0,D25&gt;3,E25&lt;0,E25&gt;3,F25&lt;0,F25&gt;3),1,0)))</x:f>
      </x:c>
      <x:c r="K25">
        <x:f>IF(A25="","",IF(G25="",1,0))</x:f>
      </x:c>
      <x:c r="L25">
        <x:f>IF(A25="","",IF(COUNTIFS($A$5:$A$2004,A25,$C$5:$C$2004,C25)&gt;1,1,0))</x:f>
      </x:c>
    </x:row>
    <x:row r="26">
      <x:c r="A26" s="8" t="n"/>
      <x:c r="B26" s="8" t="n"/>
      <x:c r="C26" s="8" t="n"/>
      <x:c r="D26" s="8" t="n"/>
      <x:c r="E26" s="8" t="n"/>
      <x:c r="F26" s="8" t="n"/>
      <x:c r="G26" s="7">
        <x:f>IF(A26="","",IF(01_Parametres!$B$11="Oui",IF((01_Parametres!$B$4*(D26&gt;0)+01_Parametres!$B$5*(E26&gt;0)+01_Parametres!$B$6*(F26&gt;0))=0,"",(01_Parametres!$B$4*IF(D26&gt;0,D26,0)+01_Parametres!$B$5*IF(E26&gt;0,E26,0)+01_Parametres!$B$6*IF(F26&gt;0,F26,0))/(01_Parametres!$B$4*(D26&gt;0)+01_Parametres!$B$5*(E26&gt;0)+01_Parametres!$B$6*(F26&gt;0))),IF(01_Parametres!$B$8=0,"",(01_Parametres!$B$4*D26+01_Parametres!$B$5*E26+01_Parametres!$B$6*F26)/01_Parametres!$B$8)))</x:f>
      </x:c>
      <x:c r="H26" t="str">
        <x:f>IFERROR(VLOOKUP(C26,02_Referentiels!$A$20:$D$99,3,FALSE),"")</x:f>
        <x:v>null</x:v>
      </x:c>
      <x:c r="I26">
        <x:f>IFERROR(VLOOKUP(B26,02_Referentiels!$A$5:$C$16,2,FALSE),"")</x:f>
      </x:c>
      <x:c r="J26">
        <x:f>IF(A26="","",IF(OR(D26="",E26="",F26=""),1,IF(OR(D26&lt;0,D26&gt;3,E26&lt;0,E26&gt;3,F26&lt;0,F26&gt;3),1,0)))</x:f>
      </x:c>
      <x:c r="K26">
        <x:f>IF(A26="","",IF(G26="",1,0))</x:f>
      </x:c>
      <x:c r="L26">
        <x:f>IF(A26="","",IF(COUNTIFS($A$5:$A$2004,A26,$C$5:$C$2004,C26)&gt;1,1,0))</x:f>
      </x:c>
    </x:row>
    <x:row r="27">
      <x:c r="A27" s="8" t="n"/>
      <x:c r="B27" s="8" t="n"/>
      <x:c r="C27" s="8" t="n"/>
      <x:c r="D27" s="8" t="n"/>
      <x:c r="E27" s="8" t="n"/>
      <x:c r="F27" s="8" t="n"/>
      <x:c r="G27" s="7">
        <x:f>IF(A27="","",IF(01_Parametres!$B$11="Oui",IF((01_Parametres!$B$4*(D27&gt;0)+01_Parametres!$B$5*(E27&gt;0)+01_Parametres!$B$6*(F27&gt;0))=0,"",(01_Parametres!$B$4*IF(D27&gt;0,D27,0)+01_Parametres!$B$5*IF(E27&gt;0,E27,0)+01_Parametres!$B$6*IF(F27&gt;0,F27,0))/(01_Parametres!$B$4*(D27&gt;0)+01_Parametres!$B$5*(E27&gt;0)+01_Parametres!$B$6*(F27&gt;0))),IF(01_Parametres!$B$8=0,"",(01_Parametres!$B$4*D27+01_Parametres!$B$5*E27+01_Parametres!$B$6*F27)/01_Parametres!$B$8)))</x:f>
      </x:c>
      <x:c r="H27" t="str">
        <x:f>IFERROR(VLOOKUP(C27,02_Referentiels!$A$20:$D$99,3,FALSE),"")</x:f>
        <x:v>null</x:v>
      </x:c>
      <x:c r="I27">
        <x:f>IFERROR(VLOOKUP(B27,02_Referentiels!$A$5:$C$16,2,FALSE),"")</x:f>
      </x:c>
      <x:c r="J27">
        <x:f>IF(A27="","",IF(OR(D27="",E27="",F27=""),1,IF(OR(D27&lt;0,D27&gt;3,E27&lt;0,E27&gt;3,F27&lt;0,F27&gt;3),1,0)))</x:f>
      </x:c>
      <x:c r="K27">
        <x:f>IF(A27="","",IF(G27="",1,0))</x:f>
      </x:c>
      <x:c r="L27">
        <x:f>IF(A27="","",IF(COUNTIFS($A$5:$A$2004,A27,$C$5:$C$2004,C27)&gt;1,1,0))</x:f>
      </x:c>
    </x:row>
    <x:row r="28">
      <x:c r="A28" s="8" t="n"/>
      <x:c r="B28" s="8" t="n"/>
      <x:c r="C28" s="8" t="n"/>
      <x:c r="D28" s="8" t="n"/>
      <x:c r="E28" s="8" t="n"/>
      <x:c r="F28" s="8" t="n"/>
      <x:c r="G28" s="7">
        <x:f>IF(A28="","",IF(01_Parametres!$B$11="Oui",IF((01_Parametres!$B$4*(D28&gt;0)+01_Parametres!$B$5*(E28&gt;0)+01_Parametres!$B$6*(F28&gt;0))=0,"",(01_Parametres!$B$4*IF(D28&gt;0,D28,0)+01_Parametres!$B$5*IF(E28&gt;0,E28,0)+01_Parametres!$B$6*IF(F28&gt;0,F28,0))/(01_Parametres!$B$4*(D28&gt;0)+01_Parametres!$B$5*(E28&gt;0)+01_Parametres!$B$6*(F28&gt;0))),IF(01_Parametres!$B$8=0,"",(01_Parametres!$B$4*D28+01_Parametres!$B$5*E28+01_Parametres!$B$6*F28)/01_Parametres!$B$8)))</x:f>
      </x:c>
      <x:c r="H28" t="str">
        <x:f>IFERROR(VLOOKUP(C28,02_Referentiels!$A$20:$D$99,3,FALSE),"")</x:f>
        <x:v>null</x:v>
      </x:c>
      <x:c r="I28">
        <x:f>IFERROR(VLOOKUP(B28,02_Referentiels!$A$5:$C$16,2,FALSE),"")</x:f>
      </x:c>
      <x:c r="J28">
        <x:f>IF(A28="","",IF(OR(D28="",E28="",F28=""),1,IF(OR(D28&lt;0,D28&gt;3,E28&lt;0,E28&gt;3,F28&lt;0,F28&gt;3),1,0)))</x:f>
      </x:c>
      <x:c r="K28">
        <x:f>IF(A28="","",IF(G28="",1,0))</x:f>
      </x:c>
      <x:c r="L28">
        <x:f>IF(A28="","",IF(COUNTIFS($A$5:$A$2004,A28,$C$5:$C$2004,C28)&gt;1,1,0))</x:f>
      </x:c>
    </x:row>
    <x:row r="29">
      <x:c r="A29" s="8" t="n"/>
      <x:c r="B29" s="8" t="n"/>
      <x:c r="C29" s="8" t="n"/>
      <x:c r="D29" s="8" t="n"/>
      <x:c r="E29" s="8" t="n"/>
      <x:c r="F29" s="8" t="n"/>
      <x:c r="G29" s="7">
        <x:f>IF(A29="","",IF(01_Parametres!$B$11="Oui",IF((01_Parametres!$B$4*(D29&gt;0)+01_Parametres!$B$5*(E29&gt;0)+01_Parametres!$B$6*(F29&gt;0))=0,"",(01_Parametres!$B$4*IF(D29&gt;0,D29,0)+01_Parametres!$B$5*IF(E29&gt;0,E29,0)+01_Parametres!$B$6*IF(F29&gt;0,F29,0))/(01_Parametres!$B$4*(D29&gt;0)+01_Parametres!$B$5*(E29&gt;0)+01_Parametres!$B$6*(F29&gt;0))),IF(01_Parametres!$B$8=0,"",(01_Parametres!$B$4*D29+01_Parametres!$B$5*E29+01_Parametres!$B$6*F29)/01_Parametres!$B$8)))</x:f>
      </x:c>
      <x:c r="H29" t="str">
        <x:f>IFERROR(VLOOKUP(C29,02_Referentiels!$A$20:$D$99,3,FALSE),"")</x:f>
        <x:v>null</x:v>
      </x:c>
      <x:c r="I29">
        <x:f>IFERROR(VLOOKUP(B29,02_Referentiels!$A$5:$C$16,2,FALSE),"")</x:f>
      </x:c>
      <x:c r="J29">
        <x:f>IF(A29="","",IF(OR(D29="",E29="",F29=""),1,IF(OR(D29&lt;0,D29&gt;3,E29&lt;0,E29&gt;3,F29&lt;0,F29&gt;3),1,0)))</x:f>
      </x:c>
      <x:c r="K29">
        <x:f>IF(A29="","",IF(G29="",1,0))</x:f>
      </x:c>
      <x:c r="L29">
        <x:f>IF(A29="","",IF(COUNTIFS($A$5:$A$2004,A29,$C$5:$C$2004,C29)&gt;1,1,0))</x:f>
      </x:c>
    </x:row>
    <x:row r="30">
      <x:c r="A30" s="8" t="n"/>
      <x:c r="B30" s="8" t="n"/>
      <x:c r="C30" s="8" t="n"/>
      <x:c r="D30" s="8" t="n"/>
      <x:c r="E30" s="8" t="n"/>
      <x:c r="F30" s="8" t="n"/>
      <x:c r="G30" s="7">
        <x:f>IF(A30="","",IF(01_Parametres!$B$11="Oui",IF((01_Parametres!$B$4*(D30&gt;0)+01_Parametres!$B$5*(E30&gt;0)+01_Parametres!$B$6*(F30&gt;0))=0,"",(01_Parametres!$B$4*IF(D30&gt;0,D30,0)+01_Parametres!$B$5*IF(E30&gt;0,E30,0)+01_Parametres!$B$6*IF(F30&gt;0,F30,0))/(01_Parametres!$B$4*(D30&gt;0)+01_Parametres!$B$5*(E30&gt;0)+01_Parametres!$B$6*(F30&gt;0))),IF(01_Parametres!$B$8=0,"",(01_Parametres!$B$4*D30+01_Parametres!$B$5*E30+01_Parametres!$B$6*F30)/01_Parametres!$B$8)))</x:f>
      </x:c>
      <x:c r="H30" t="str">
        <x:f>IFERROR(VLOOKUP(C30,02_Referentiels!$A$20:$D$99,3,FALSE),"")</x:f>
        <x:v>null</x:v>
      </x:c>
      <x:c r="I30">
        <x:f>IFERROR(VLOOKUP(B30,02_Referentiels!$A$5:$C$16,2,FALSE),"")</x:f>
      </x:c>
      <x:c r="J30">
        <x:f>IF(A30="","",IF(OR(D30="",E30="",F30=""),1,IF(OR(D30&lt;0,D30&gt;3,E30&lt;0,E30&gt;3,F30&lt;0,F30&gt;3),1,0)))</x:f>
      </x:c>
      <x:c r="K30">
        <x:f>IF(A30="","",IF(G30="",1,0))</x:f>
      </x:c>
      <x:c r="L30">
        <x:f>IF(A30="","",IF(COUNTIFS($A$5:$A$2004,A30,$C$5:$C$2004,C30)&gt;1,1,0))</x:f>
      </x:c>
    </x:row>
    <x:row r="31">
      <x:c r="A31" s="8" t="n"/>
      <x:c r="B31" s="8" t="n"/>
      <x:c r="C31" s="8" t="n"/>
      <x:c r="D31" s="8" t="n"/>
      <x:c r="E31" s="8" t="n"/>
      <x:c r="F31" s="8" t="n"/>
      <x:c r="G31" s="7">
        <x:f>IF(A31="","",IF(01_Parametres!$B$11="Oui",IF((01_Parametres!$B$4*(D31&gt;0)+01_Parametres!$B$5*(E31&gt;0)+01_Parametres!$B$6*(F31&gt;0))=0,"",(01_Parametres!$B$4*IF(D31&gt;0,D31,0)+01_Parametres!$B$5*IF(E31&gt;0,E31,0)+01_Parametres!$B$6*IF(F31&gt;0,F31,0))/(01_Parametres!$B$4*(D31&gt;0)+01_Parametres!$B$5*(E31&gt;0)+01_Parametres!$B$6*(F31&gt;0))),IF(01_Parametres!$B$8=0,"",(01_Parametres!$B$4*D31+01_Parametres!$B$5*E31+01_Parametres!$B$6*F31)/01_Parametres!$B$8)))</x:f>
      </x:c>
      <x:c r="H31" t="str">
        <x:f>IFERROR(VLOOKUP(C31,02_Referentiels!$A$20:$D$99,3,FALSE),"")</x:f>
        <x:v>null</x:v>
      </x:c>
      <x:c r="I31">
        <x:f>IFERROR(VLOOKUP(B31,02_Referentiels!$A$5:$C$16,2,FALSE),"")</x:f>
      </x:c>
      <x:c r="J31">
        <x:f>IF(A31="","",IF(OR(D31="",E31="",F31=""),1,IF(OR(D31&lt;0,D31&gt;3,E31&lt;0,E31&gt;3,F31&lt;0,F31&gt;3),1,0)))</x:f>
      </x:c>
      <x:c r="K31">
        <x:f>IF(A31="","",IF(G31="",1,0))</x:f>
      </x:c>
      <x:c r="L31">
        <x:f>IF(A31="","",IF(COUNTIFS($A$5:$A$2004,A31,$C$5:$C$2004,C31)&gt;1,1,0))</x:f>
      </x:c>
    </x:row>
    <x:row r="32">
      <x:c r="A32" s="8" t="n"/>
      <x:c r="B32" s="8" t="n"/>
      <x:c r="C32" s="8" t="n"/>
      <x:c r="D32" s="8" t="n"/>
      <x:c r="E32" s="8" t="n"/>
      <x:c r="F32" s="8" t="n"/>
      <x:c r="G32" s="7">
        <x:f>IF(A32="","",IF(01_Parametres!$B$11="Oui",IF((01_Parametres!$B$4*(D32&gt;0)+01_Parametres!$B$5*(E32&gt;0)+01_Parametres!$B$6*(F32&gt;0))=0,"",(01_Parametres!$B$4*IF(D32&gt;0,D32,0)+01_Parametres!$B$5*IF(E32&gt;0,E32,0)+01_Parametres!$B$6*IF(F32&gt;0,F32,0))/(01_Parametres!$B$4*(D32&gt;0)+01_Parametres!$B$5*(E32&gt;0)+01_Parametres!$B$6*(F32&gt;0))),IF(01_Parametres!$B$8=0,"",(01_Parametres!$B$4*D32+01_Parametres!$B$5*E32+01_Parametres!$B$6*F32)/01_Parametres!$B$8)))</x:f>
      </x:c>
      <x:c r="H32" t="str">
        <x:f>IFERROR(VLOOKUP(C32,02_Referentiels!$A$20:$D$99,3,FALSE),"")</x:f>
        <x:v>null</x:v>
      </x:c>
      <x:c r="I32">
        <x:f>IFERROR(VLOOKUP(B32,02_Referentiels!$A$5:$C$16,2,FALSE),"")</x:f>
      </x:c>
      <x:c r="J32">
        <x:f>IF(A32="","",IF(OR(D32="",E32="",F32=""),1,IF(OR(D32&lt;0,D32&gt;3,E32&lt;0,E32&gt;3,F32&lt;0,F32&gt;3),1,0)))</x:f>
      </x:c>
      <x:c r="K32">
        <x:f>IF(A32="","",IF(G32="",1,0))</x:f>
      </x:c>
      <x:c r="L32">
        <x:f>IF(A32="","",IF(COUNTIFS($A$5:$A$2004,A32,$C$5:$C$2004,C32)&gt;1,1,0))</x:f>
      </x:c>
    </x:row>
    <x:row r="33">
      <x:c r="A33" s="8" t="n"/>
      <x:c r="B33" s="8" t="n"/>
      <x:c r="C33" s="8" t="n"/>
      <x:c r="D33" s="8" t="n"/>
      <x:c r="E33" s="8" t="n"/>
      <x:c r="F33" s="8" t="n"/>
      <x:c r="G33" s="7">
        <x:f>IF(A33="","",IF(01_Parametres!$B$11="Oui",IF((01_Parametres!$B$4*(D33&gt;0)+01_Parametres!$B$5*(E33&gt;0)+01_Parametres!$B$6*(F33&gt;0))=0,"",(01_Parametres!$B$4*IF(D33&gt;0,D33,0)+01_Parametres!$B$5*IF(E33&gt;0,E33,0)+01_Parametres!$B$6*IF(F33&gt;0,F33,0))/(01_Parametres!$B$4*(D33&gt;0)+01_Parametres!$B$5*(E33&gt;0)+01_Parametres!$B$6*(F33&gt;0))),IF(01_Parametres!$B$8=0,"",(01_Parametres!$B$4*D33+01_Parametres!$B$5*E33+01_Parametres!$B$6*F33)/01_Parametres!$B$8)))</x:f>
      </x:c>
      <x:c r="H33" t="str">
        <x:f>IFERROR(VLOOKUP(C33,02_Referentiels!$A$20:$D$99,3,FALSE),"")</x:f>
        <x:v>null</x:v>
      </x:c>
      <x:c r="I33">
        <x:f>IFERROR(VLOOKUP(B33,02_Referentiels!$A$5:$C$16,2,FALSE),"")</x:f>
      </x:c>
      <x:c r="J33">
        <x:f>IF(A33="","",IF(OR(D33="",E33="",F33=""),1,IF(OR(D33&lt;0,D33&gt;3,E33&lt;0,E33&gt;3,F33&lt;0,F33&gt;3),1,0)))</x:f>
      </x:c>
      <x:c r="K33">
        <x:f>IF(A33="","",IF(G33="",1,0))</x:f>
      </x:c>
      <x:c r="L33">
        <x:f>IF(A33="","",IF(COUNTIFS($A$5:$A$2004,A33,$C$5:$C$2004,C33)&gt;1,1,0))</x:f>
      </x:c>
    </x:row>
    <x:row r="34">
      <x:c r="A34" s="8" t="n"/>
      <x:c r="B34" s="8" t="n"/>
      <x:c r="C34" s="8" t="n"/>
      <x:c r="D34" s="8" t="n"/>
      <x:c r="E34" s="8" t="n"/>
      <x:c r="F34" s="8" t="n"/>
      <x:c r="G34" s="7">
        <x:f>IF(A34="","",IF(01_Parametres!$B$11="Oui",IF((01_Parametres!$B$4*(D34&gt;0)+01_Parametres!$B$5*(E34&gt;0)+01_Parametres!$B$6*(F34&gt;0))=0,"",(01_Parametres!$B$4*IF(D34&gt;0,D34,0)+01_Parametres!$B$5*IF(E34&gt;0,E34,0)+01_Parametres!$B$6*IF(F34&gt;0,F34,0))/(01_Parametres!$B$4*(D34&gt;0)+01_Parametres!$B$5*(E34&gt;0)+01_Parametres!$B$6*(F34&gt;0))),IF(01_Parametres!$B$8=0,"",(01_Parametres!$B$4*D34+01_Parametres!$B$5*E34+01_Parametres!$B$6*F34)/01_Parametres!$B$8)))</x:f>
      </x:c>
      <x:c r="H34" t="str">
        <x:f>IFERROR(VLOOKUP(C34,02_Referentiels!$A$20:$D$99,3,FALSE),"")</x:f>
        <x:v>null</x:v>
      </x:c>
      <x:c r="I34">
        <x:f>IFERROR(VLOOKUP(B34,02_Referentiels!$A$5:$C$16,2,FALSE),"")</x:f>
      </x:c>
      <x:c r="J34">
        <x:f>IF(A34="","",IF(OR(D34="",E34="",F34=""),1,IF(OR(D34&lt;0,D34&gt;3,E34&lt;0,E34&gt;3,F34&lt;0,F34&gt;3),1,0)))</x:f>
      </x:c>
      <x:c r="K34">
        <x:f>IF(A34="","",IF(G34="",1,0))</x:f>
      </x:c>
      <x:c r="L34">
        <x:f>IF(A34="","",IF(COUNTIFS($A$5:$A$2004,A34,$C$5:$C$2004,C34)&gt;1,1,0))</x:f>
      </x:c>
    </x:row>
    <x:row r="35">
      <x:c r="A35" s="8" t="n"/>
      <x:c r="B35" s="8" t="n"/>
      <x:c r="C35" s="8" t="n"/>
      <x:c r="D35" s="8" t="n"/>
      <x:c r="E35" s="8" t="n"/>
      <x:c r="F35" s="8" t="n"/>
      <x:c r="G35" s="7">
        <x:f>IF(A35="","",IF(01_Parametres!$B$11="Oui",IF((01_Parametres!$B$4*(D35&gt;0)+01_Parametres!$B$5*(E35&gt;0)+01_Parametres!$B$6*(F35&gt;0))=0,"",(01_Parametres!$B$4*IF(D35&gt;0,D35,0)+01_Parametres!$B$5*IF(E35&gt;0,E35,0)+01_Parametres!$B$6*IF(F35&gt;0,F35,0))/(01_Parametres!$B$4*(D35&gt;0)+01_Parametres!$B$5*(E35&gt;0)+01_Parametres!$B$6*(F35&gt;0))),IF(01_Parametres!$B$8=0,"",(01_Parametres!$B$4*D35+01_Parametres!$B$5*E35+01_Parametres!$B$6*F35)/01_Parametres!$B$8)))</x:f>
      </x:c>
      <x:c r="H35" t="str">
        <x:f>IFERROR(VLOOKUP(C35,02_Referentiels!$A$20:$D$99,3,FALSE),"")</x:f>
        <x:v>null</x:v>
      </x:c>
      <x:c r="I35">
        <x:f>IFERROR(VLOOKUP(B35,02_Referentiels!$A$5:$C$16,2,FALSE),"")</x:f>
      </x:c>
      <x:c r="J35">
        <x:f>IF(A35="","",IF(OR(D35="",E35="",F35=""),1,IF(OR(D35&lt;0,D35&gt;3,E35&lt;0,E35&gt;3,F35&lt;0,F35&gt;3),1,0)))</x:f>
      </x:c>
      <x:c r="K35">
        <x:f>IF(A35="","",IF(G35="",1,0))</x:f>
      </x:c>
      <x:c r="L35">
        <x:f>IF(A35="","",IF(COUNTIFS($A$5:$A$2004,A35,$C$5:$C$2004,C35)&gt;1,1,0))</x:f>
      </x:c>
    </x:row>
    <x:row r="36">
      <x:c r="A36" s="8" t="n"/>
      <x:c r="B36" s="8" t="n"/>
      <x:c r="C36" s="8" t="n"/>
      <x:c r="D36" s="8" t="n"/>
      <x:c r="E36" s="8" t="n"/>
      <x:c r="F36" s="8" t="n"/>
      <x:c r="G36" s="7">
        <x:f>IF(A36="","",IF(01_Parametres!$B$11="Oui",IF((01_Parametres!$B$4*(D36&gt;0)+01_Parametres!$B$5*(E36&gt;0)+01_Parametres!$B$6*(F36&gt;0))=0,"",(01_Parametres!$B$4*IF(D36&gt;0,D36,0)+01_Parametres!$B$5*IF(E36&gt;0,E36,0)+01_Parametres!$B$6*IF(F36&gt;0,F36,0))/(01_Parametres!$B$4*(D36&gt;0)+01_Parametres!$B$5*(E36&gt;0)+01_Parametres!$B$6*(F36&gt;0))),IF(01_Parametres!$B$8=0,"",(01_Parametres!$B$4*D36+01_Parametres!$B$5*E36+01_Parametres!$B$6*F36)/01_Parametres!$B$8)))</x:f>
      </x:c>
      <x:c r="H36" t="str">
        <x:f>IFERROR(VLOOKUP(C36,02_Referentiels!$A$20:$D$99,3,FALSE),"")</x:f>
        <x:v>null</x:v>
      </x:c>
      <x:c r="I36">
        <x:f>IFERROR(VLOOKUP(B36,02_Referentiels!$A$5:$C$16,2,FALSE),"")</x:f>
      </x:c>
      <x:c r="J36">
        <x:f>IF(A36="","",IF(OR(D36="",E36="",F36=""),1,IF(OR(D36&lt;0,D36&gt;3,E36&lt;0,E36&gt;3,F36&lt;0,F36&gt;3),1,0)))</x:f>
      </x:c>
      <x:c r="K36">
        <x:f>IF(A36="","",IF(G36="",1,0))</x:f>
      </x:c>
      <x:c r="L36">
        <x:f>IF(A36="","",IF(COUNTIFS($A$5:$A$2004,A36,$C$5:$C$2004,C36)&gt;1,1,0))</x:f>
      </x:c>
    </x:row>
    <x:row r="37">
      <x:c r="A37" s="8" t="n"/>
      <x:c r="B37" s="8" t="n"/>
      <x:c r="C37" s="8" t="n"/>
      <x:c r="D37" s="8" t="n"/>
      <x:c r="E37" s="8" t="n"/>
      <x:c r="F37" s="8" t="n"/>
      <x:c r="G37" s="7">
        <x:f>IF(A37="","",IF(01_Parametres!$B$11="Oui",IF((01_Parametres!$B$4*(D37&gt;0)+01_Parametres!$B$5*(E37&gt;0)+01_Parametres!$B$6*(F37&gt;0))=0,"",(01_Parametres!$B$4*IF(D37&gt;0,D37,0)+01_Parametres!$B$5*IF(E37&gt;0,E37,0)+01_Parametres!$B$6*IF(F37&gt;0,F37,0))/(01_Parametres!$B$4*(D37&gt;0)+01_Parametres!$B$5*(E37&gt;0)+01_Parametres!$B$6*(F37&gt;0))),IF(01_Parametres!$B$8=0,"",(01_Parametres!$B$4*D37+01_Parametres!$B$5*E37+01_Parametres!$B$6*F37)/01_Parametres!$B$8)))</x:f>
      </x:c>
      <x:c r="H37" t="str">
        <x:f>IFERROR(VLOOKUP(C37,02_Referentiels!$A$20:$D$99,3,FALSE),"")</x:f>
        <x:v>null</x:v>
      </x:c>
      <x:c r="I37">
        <x:f>IFERROR(VLOOKUP(B37,02_Referentiels!$A$5:$C$16,2,FALSE),"")</x:f>
      </x:c>
      <x:c r="J37">
        <x:f>IF(A37="","",IF(OR(D37="",E37="",F37=""),1,IF(OR(D37&lt;0,D37&gt;3,E37&lt;0,E37&gt;3,F37&lt;0,F37&gt;3),1,0)))</x:f>
      </x:c>
      <x:c r="K37">
        <x:f>IF(A37="","",IF(G37="",1,0))</x:f>
      </x:c>
      <x:c r="L37">
        <x:f>IF(A37="","",IF(COUNTIFS($A$5:$A$2004,A37,$C$5:$C$2004,C37)&gt;1,1,0))</x:f>
      </x:c>
    </x:row>
    <x:row r="38">
      <x:c r="A38" s="8" t="n"/>
      <x:c r="B38" s="8" t="n"/>
      <x:c r="C38" s="8" t="n"/>
      <x:c r="D38" s="8" t="n"/>
      <x:c r="E38" s="8" t="n"/>
      <x:c r="F38" s="8" t="n"/>
      <x:c r="G38" s="7">
        <x:f>IF(A38="","",IF(01_Parametres!$B$11="Oui",IF((01_Parametres!$B$4*(D38&gt;0)+01_Parametres!$B$5*(E38&gt;0)+01_Parametres!$B$6*(F38&gt;0))=0,"",(01_Parametres!$B$4*IF(D38&gt;0,D38,0)+01_Parametres!$B$5*IF(E38&gt;0,E38,0)+01_Parametres!$B$6*IF(F38&gt;0,F38,0))/(01_Parametres!$B$4*(D38&gt;0)+01_Parametres!$B$5*(E38&gt;0)+01_Parametres!$B$6*(F38&gt;0))),IF(01_Parametres!$B$8=0,"",(01_Parametres!$B$4*D38+01_Parametres!$B$5*E38+01_Parametres!$B$6*F38)/01_Parametres!$B$8)))</x:f>
      </x:c>
      <x:c r="H38" t="str">
        <x:f>IFERROR(VLOOKUP(C38,02_Referentiels!$A$20:$D$99,3,FALSE),"")</x:f>
        <x:v>null</x:v>
      </x:c>
      <x:c r="I38">
        <x:f>IFERROR(VLOOKUP(B38,02_Referentiels!$A$5:$C$16,2,FALSE),"")</x:f>
      </x:c>
      <x:c r="J38">
        <x:f>IF(A38="","",IF(OR(D38="",E38="",F38=""),1,IF(OR(D38&lt;0,D38&gt;3,E38&lt;0,E38&gt;3,F38&lt;0,F38&gt;3),1,0)))</x:f>
      </x:c>
      <x:c r="K38">
        <x:f>IF(A38="","",IF(G38="",1,0))</x:f>
      </x:c>
      <x:c r="L38">
        <x:f>IF(A38="","",IF(COUNTIFS($A$5:$A$2004,A38,$C$5:$C$2004,C38)&gt;1,1,0))</x:f>
      </x:c>
    </x:row>
    <x:row r="39">
      <x:c r="A39" s="8" t="n"/>
      <x:c r="B39" s="8" t="n"/>
      <x:c r="C39" s="8" t="n"/>
      <x:c r="D39" s="8" t="n"/>
      <x:c r="E39" s="8" t="n"/>
      <x:c r="F39" s="8" t="n"/>
      <x:c r="G39" s="7">
        <x:f>IF(A39="","",IF(01_Parametres!$B$11="Oui",IF((01_Parametres!$B$4*(D39&gt;0)+01_Parametres!$B$5*(E39&gt;0)+01_Parametres!$B$6*(F39&gt;0))=0,"",(01_Parametres!$B$4*IF(D39&gt;0,D39,0)+01_Parametres!$B$5*IF(E39&gt;0,E39,0)+01_Parametres!$B$6*IF(F39&gt;0,F39,0))/(01_Parametres!$B$4*(D39&gt;0)+01_Parametres!$B$5*(E39&gt;0)+01_Parametres!$B$6*(F39&gt;0))),IF(01_Parametres!$B$8=0,"",(01_Parametres!$B$4*D39+01_Parametres!$B$5*E39+01_Parametres!$B$6*F39)/01_Parametres!$B$8)))</x:f>
      </x:c>
      <x:c r="H39" t="str">
        <x:f>IFERROR(VLOOKUP(C39,02_Referentiels!$A$20:$D$99,3,FALSE),"")</x:f>
        <x:v>null</x:v>
      </x:c>
      <x:c r="I39">
        <x:f>IFERROR(VLOOKUP(B39,02_Referentiels!$A$5:$C$16,2,FALSE),"")</x:f>
      </x:c>
      <x:c r="J39">
        <x:f>IF(A39="","",IF(OR(D39="",E39="",F39=""),1,IF(OR(D39&lt;0,D39&gt;3,E39&lt;0,E39&gt;3,F39&lt;0,F39&gt;3),1,0)))</x:f>
      </x:c>
      <x:c r="K39">
        <x:f>IF(A39="","",IF(G39="",1,0))</x:f>
      </x:c>
      <x:c r="L39">
        <x:f>IF(A39="","",IF(COUNTIFS($A$5:$A$2004,A39,$C$5:$C$2004,C39)&gt;1,1,0))</x:f>
      </x:c>
    </x:row>
    <x:row r="40">
      <x:c r="A40" s="8" t="n"/>
      <x:c r="B40" s="8" t="n"/>
      <x:c r="C40" s="8" t="n"/>
      <x:c r="D40" s="8" t="n"/>
      <x:c r="E40" s="8" t="n"/>
      <x:c r="F40" s="8" t="n"/>
      <x:c r="G40" s="7">
        <x:f>IF(A40="","",IF(01_Parametres!$B$11="Oui",IF((01_Parametres!$B$4*(D40&gt;0)+01_Parametres!$B$5*(E40&gt;0)+01_Parametres!$B$6*(F40&gt;0))=0,"",(01_Parametres!$B$4*IF(D40&gt;0,D40,0)+01_Parametres!$B$5*IF(E40&gt;0,E40,0)+01_Parametres!$B$6*IF(F40&gt;0,F40,0))/(01_Parametres!$B$4*(D40&gt;0)+01_Parametres!$B$5*(E40&gt;0)+01_Parametres!$B$6*(F40&gt;0))),IF(01_Parametres!$B$8=0,"",(01_Parametres!$B$4*D40+01_Parametres!$B$5*E40+01_Parametres!$B$6*F40)/01_Parametres!$B$8)))</x:f>
      </x:c>
      <x:c r="H40" t="str">
        <x:f>IFERROR(VLOOKUP(C40,02_Referentiels!$A$20:$D$99,3,FALSE),"")</x:f>
        <x:v>null</x:v>
      </x:c>
      <x:c r="I40">
        <x:f>IFERROR(VLOOKUP(B40,02_Referentiels!$A$5:$C$16,2,FALSE),"")</x:f>
      </x:c>
      <x:c r="J40">
        <x:f>IF(A40="","",IF(OR(D40="",E40="",F40=""),1,IF(OR(D40&lt;0,D40&gt;3,E40&lt;0,E40&gt;3,F40&lt;0,F40&gt;3),1,0)))</x:f>
      </x:c>
      <x:c r="K40">
        <x:f>IF(A40="","",IF(G40="",1,0))</x:f>
      </x:c>
      <x:c r="L40">
        <x:f>IF(A40="","",IF(COUNTIFS($A$5:$A$2004,A40,$C$5:$C$2004,C40)&gt;1,1,0))</x:f>
      </x:c>
    </x:row>
    <x:row r="41">
      <x:c r="A41" s="8" t="n"/>
      <x:c r="B41" s="8" t="n"/>
      <x:c r="C41" s="8" t="n"/>
      <x:c r="D41" s="8" t="n"/>
      <x:c r="E41" s="8" t="n"/>
      <x:c r="F41" s="8" t="n"/>
      <x:c r="G41" s="7">
        <x:f>IF(A41="","",IF(01_Parametres!$B$11="Oui",IF((01_Parametres!$B$4*(D41&gt;0)+01_Parametres!$B$5*(E41&gt;0)+01_Parametres!$B$6*(F41&gt;0))=0,"",(01_Parametres!$B$4*IF(D41&gt;0,D41,0)+01_Parametres!$B$5*IF(E41&gt;0,E41,0)+01_Parametres!$B$6*IF(F41&gt;0,F41,0))/(01_Parametres!$B$4*(D41&gt;0)+01_Parametres!$B$5*(E41&gt;0)+01_Parametres!$B$6*(F41&gt;0))),IF(01_Parametres!$B$8=0,"",(01_Parametres!$B$4*D41+01_Parametres!$B$5*E41+01_Parametres!$B$6*F41)/01_Parametres!$B$8)))</x:f>
      </x:c>
      <x:c r="H41" t="str">
        <x:f>IFERROR(VLOOKUP(C41,02_Referentiels!$A$20:$D$99,3,FALSE),"")</x:f>
        <x:v>null</x:v>
      </x:c>
      <x:c r="I41">
        <x:f>IFERROR(VLOOKUP(B41,02_Referentiels!$A$5:$C$16,2,FALSE),"")</x:f>
      </x:c>
      <x:c r="J41">
        <x:f>IF(A41="","",IF(OR(D41="",E41="",F41=""),1,IF(OR(D41&lt;0,D41&gt;3,E41&lt;0,E41&gt;3,F41&lt;0,F41&gt;3),1,0)))</x:f>
      </x:c>
      <x:c r="K41">
        <x:f>IF(A41="","",IF(G41="",1,0))</x:f>
      </x:c>
      <x:c r="L41">
        <x:f>IF(A41="","",IF(COUNTIFS($A$5:$A$2004,A41,$C$5:$C$2004,C41)&gt;1,1,0))</x:f>
      </x:c>
    </x:row>
    <x:row r="42">
      <x:c r="A42" s="8" t="n"/>
      <x:c r="B42" s="8" t="n"/>
      <x:c r="C42" s="8" t="n"/>
      <x:c r="D42" s="8" t="n"/>
      <x:c r="E42" s="8" t="n"/>
      <x:c r="F42" s="8" t="n"/>
      <x:c r="G42" s="7">
        <x:f>IF(A42="","",IF(01_Parametres!$B$11="Oui",IF((01_Parametres!$B$4*(D42&gt;0)+01_Parametres!$B$5*(E42&gt;0)+01_Parametres!$B$6*(F42&gt;0))=0,"",(01_Parametres!$B$4*IF(D42&gt;0,D42,0)+01_Parametres!$B$5*IF(E42&gt;0,E42,0)+01_Parametres!$B$6*IF(F42&gt;0,F42,0))/(01_Parametres!$B$4*(D42&gt;0)+01_Parametres!$B$5*(E42&gt;0)+01_Parametres!$B$6*(F42&gt;0))),IF(01_Parametres!$B$8=0,"",(01_Parametres!$B$4*D42+01_Parametres!$B$5*E42+01_Parametres!$B$6*F42)/01_Parametres!$B$8)))</x:f>
      </x:c>
      <x:c r="H42" t="str">
        <x:f>IFERROR(VLOOKUP(C42,02_Referentiels!$A$20:$D$99,3,FALSE),"")</x:f>
        <x:v>null</x:v>
      </x:c>
      <x:c r="I42">
        <x:f>IFERROR(VLOOKUP(B42,02_Referentiels!$A$5:$C$16,2,FALSE),"")</x:f>
      </x:c>
      <x:c r="J42">
        <x:f>IF(A42="","",IF(OR(D42="",E42="",F42=""),1,IF(OR(D42&lt;0,D42&gt;3,E42&lt;0,E42&gt;3,F42&lt;0,F42&gt;3),1,0)))</x:f>
      </x:c>
      <x:c r="K42">
        <x:f>IF(A42="","",IF(G42="",1,0))</x:f>
      </x:c>
      <x:c r="L42">
        <x:f>IF(A42="","",IF(COUNTIFS($A$5:$A$2004,A42,$C$5:$C$2004,C42)&gt;1,1,0))</x:f>
      </x:c>
    </x:row>
    <x:row r="43">
      <x:c r="A43" s="8" t="n"/>
      <x:c r="B43" s="8" t="n"/>
      <x:c r="C43" s="8" t="n"/>
      <x:c r="D43" s="8" t="n"/>
      <x:c r="E43" s="8" t="n"/>
      <x:c r="F43" s="8" t="n"/>
      <x:c r="G43" s="7">
        <x:f>IF(A43="","",IF(01_Parametres!$B$11="Oui",IF((01_Parametres!$B$4*(D43&gt;0)+01_Parametres!$B$5*(E43&gt;0)+01_Parametres!$B$6*(F43&gt;0))=0,"",(01_Parametres!$B$4*IF(D43&gt;0,D43,0)+01_Parametres!$B$5*IF(E43&gt;0,E43,0)+01_Parametres!$B$6*IF(F43&gt;0,F43,0))/(01_Parametres!$B$4*(D43&gt;0)+01_Parametres!$B$5*(E43&gt;0)+01_Parametres!$B$6*(F43&gt;0))),IF(01_Parametres!$B$8=0,"",(01_Parametres!$B$4*D43+01_Parametres!$B$5*E43+01_Parametres!$B$6*F43)/01_Parametres!$B$8)))</x:f>
      </x:c>
      <x:c r="H43" t="str">
        <x:f>IFERROR(VLOOKUP(C43,02_Referentiels!$A$20:$D$99,3,FALSE),"")</x:f>
        <x:v>null</x:v>
      </x:c>
      <x:c r="I43">
        <x:f>IFERROR(VLOOKUP(B43,02_Referentiels!$A$5:$C$16,2,FALSE),"")</x:f>
      </x:c>
      <x:c r="J43">
        <x:f>IF(A43="","",IF(OR(D43="",E43="",F43=""),1,IF(OR(D43&lt;0,D43&gt;3,E43&lt;0,E43&gt;3,F43&lt;0,F43&gt;3),1,0)))</x:f>
      </x:c>
      <x:c r="K43">
        <x:f>IF(A43="","",IF(G43="",1,0))</x:f>
      </x:c>
      <x:c r="L43">
        <x:f>IF(A43="","",IF(COUNTIFS($A$5:$A$2004,A43,$C$5:$C$2004,C43)&gt;1,1,0))</x:f>
      </x:c>
    </x:row>
    <x:row r="44">
      <x:c r="A44" s="8" t="n"/>
      <x:c r="B44" s="8" t="n"/>
      <x:c r="C44" s="8" t="n"/>
      <x:c r="D44" s="8" t="n"/>
      <x:c r="E44" s="8" t="n"/>
      <x:c r="F44" s="8" t="n"/>
      <x:c r="G44" s="7">
        <x:f>IF(A44="","",IF(01_Parametres!$B$11="Oui",IF((01_Parametres!$B$4*(D44&gt;0)+01_Parametres!$B$5*(E44&gt;0)+01_Parametres!$B$6*(F44&gt;0))=0,"",(01_Parametres!$B$4*IF(D44&gt;0,D44,0)+01_Parametres!$B$5*IF(E44&gt;0,E44,0)+01_Parametres!$B$6*IF(F44&gt;0,F44,0))/(01_Parametres!$B$4*(D44&gt;0)+01_Parametres!$B$5*(E44&gt;0)+01_Parametres!$B$6*(F44&gt;0))),IF(01_Parametres!$B$8=0,"",(01_Parametres!$B$4*D44+01_Parametres!$B$5*E44+01_Parametres!$B$6*F44)/01_Parametres!$B$8)))</x:f>
      </x:c>
      <x:c r="H44" t="str">
        <x:f>IFERROR(VLOOKUP(C44,02_Referentiels!$A$20:$D$99,3,FALSE),"")</x:f>
        <x:v>null</x:v>
      </x:c>
      <x:c r="I44">
        <x:f>IFERROR(VLOOKUP(B44,02_Referentiels!$A$5:$C$16,2,FALSE),"")</x:f>
      </x:c>
      <x:c r="J44">
        <x:f>IF(A44="","",IF(OR(D44="",E44="",F44=""),1,IF(OR(D44&lt;0,D44&gt;3,E44&lt;0,E44&gt;3,F44&lt;0,F44&gt;3),1,0)))</x:f>
      </x:c>
      <x:c r="K44">
        <x:f>IF(A44="","",IF(G44="",1,0))</x:f>
      </x:c>
      <x:c r="L44">
        <x:f>IF(A44="","",IF(COUNTIFS($A$5:$A$2004,A44,$C$5:$C$2004,C44)&gt;1,1,0))</x:f>
      </x:c>
    </x:row>
    <x:row r="45">
      <x:c r="A45" s="8" t="n"/>
      <x:c r="B45" s="8" t="n"/>
      <x:c r="C45" s="8" t="n"/>
      <x:c r="D45" s="8" t="n"/>
      <x:c r="E45" s="8" t="n"/>
      <x:c r="F45" s="8" t="n"/>
      <x:c r="G45" s="7">
        <x:f>IF(A45="","",IF(01_Parametres!$B$11="Oui",IF((01_Parametres!$B$4*(D45&gt;0)+01_Parametres!$B$5*(E45&gt;0)+01_Parametres!$B$6*(F45&gt;0))=0,"",(01_Parametres!$B$4*IF(D45&gt;0,D45,0)+01_Parametres!$B$5*IF(E45&gt;0,E45,0)+01_Parametres!$B$6*IF(F45&gt;0,F45,0))/(01_Parametres!$B$4*(D45&gt;0)+01_Parametres!$B$5*(E45&gt;0)+01_Parametres!$B$6*(F45&gt;0))),IF(01_Parametres!$B$8=0,"",(01_Parametres!$B$4*D45+01_Parametres!$B$5*E45+01_Parametres!$B$6*F45)/01_Parametres!$B$8)))</x:f>
      </x:c>
      <x:c r="H45" t="str">
        <x:f>IFERROR(VLOOKUP(C45,02_Referentiels!$A$20:$D$99,3,FALSE),"")</x:f>
        <x:v>null</x:v>
      </x:c>
      <x:c r="I45">
        <x:f>IFERROR(VLOOKUP(B45,02_Referentiels!$A$5:$C$16,2,FALSE),"")</x:f>
      </x:c>
      <x:c r="J45">
        <x:f>IF(A45="","",IF(OR(D45="",E45="",F45=""),1,IF(OR(D45&lt;0,D45&gt;3,E45&lt;0,E45&gt;3,F45&lt;0,F45&gt;3),1,0)))</x:f>
      </x:c>
      <x:c r="K45">
        <x:f>IF(A45="","",IF(G45="",1,0))</x:f>
      </x:c>
      <x:c r="L45">
        <x:f>IF(A45="","",IF(COUNTIFS($A$5:$A$2004,A45,$C$5:$C$2004,C45)&gt;1,1,0))</x:f>
      </x:c>
    </x:row>
    <x:row r="46">
      <x:c r="A46" s="8" t="n"/>
      <x:c r="B46" s="8" t="n"/>
      <x:c r="C46" s="8" t="n"/>
      <x:c r="D46" s="8" t="n"/>
      <x:c r="E46" s="8" t="n"/>
      <x:c r="F46" s="8" t="n"/>
      <x:c r="G46" s="7">
        <x:f>IF(A46="","",IF(01_Parametres!$B$11="Oui",IF((01_Parametres!$B$4*(D46&gt;0)+01_Parametres!$B$5*(E46&gt;0)+01_Parametres!$B$6*(F46&gt;0))=0,"",(01_Parametres!$B$4*IF(D46&gt;0,D46,0)+01_Parametres!$B$5*IF(E46&gt;0,E46,0)+01_Parametres!$B$6*IF(F46&gt;0,F46,0))/(01_Parametres!$B$4*(D46&gt;0)+01_Parametres!$B$5*(E46&gt;0)+01_Parametres!$B$6*(F46&gt;0))),IF(01_Parametres!$B$8=0,"",(01_Parametres!$B$4*D46+01_Parametres!$B$5*E46+01_Parametres!$B$6*F46)/01_Parametres!$B$8)))</x:f>
      </x:c>
      <x:c r="H46" t="str">
        <x:f>IFERROR(VLOOKUP(C46,02_Referentiels!$A$20:$D$99,3,FALSE),"")</x:f>
        <x:v>null</x:v>
      </x:c>
      <x:c r="I46">
        <x:f>IFERROR(VLOOKUP(B46,02_Referentiels!$A$5:$C$16,2,FALSE),"")</x:f>
      </x:c>
      <x:c r="J46">
        <x:f>IF(A46="","",IF(OR(D46="",E46="",F46=""),1,IF(OR(D46&lt;0,D46&gt;3,E46&lt;0,E46&gt;3,F46&lt;0,F46&gt;3),1,0)))</x:f>
      </x:c>
      <x:c r="K46">
        <x:f>IF(A46="","",IF(G46="",1,0))</x:f>
      </x:c>
      <x:c r="L46">
        <x:f>IF(A46="","",IF(COUNTIFS($A$5:$A$2004,A46,$C$5:$C$2004,C46)&gt;1,1,0))</x:f>
      </x:c>
    </x:row>
    <x:row r="47">
      <x:c r="A47" s="8" t="n"/>
      <x:c r="B47" s="8" t="n"/>
      <x:c r="C47" s="8" t="n"/>
      <x:c r="D47" s="8" t="n"/>
      <x:c r="E47" s="8" t="n"/>
      <x:c r="F47" s="8" t="n"/>
      <x:c r="G47" s="7">
        <x:f>IF(A47="","",IF(01_Parametres!$B$11="Oui",IF((01_Parametres!$B$4*(D47&gt;0)+01_Parametres!$B$5*(E47&gt;0)+01_Parametres!$B$6*(F47&gt;0))=0,"",(01_Parametres!$B$4*IF(D47&gt;0,D47,0)+01_Parametres!$B$5*IF(E47&gt;0,E47,0)+01_Parametres!$B$6*IF(F47&gt;0,F47,0))/(01_Parametres!$B$4*(D47&gt;0)+01_Parametres!$B$5*(E47&gt;0)+01_Parametres!$B$6*(F47&gt;0))),IF(01_Parametres!$B$8=0,"",(01_Parametres!$B$4*D47+01_Parametres!$B$5*E47+01_Parametres!$B$6*F47)/01_Parametres!$B$8)))</x:f>
      </x:c>
      <x:c r="H47" t="str">
        <x:f>IFERROR(VLOOKUP(C47,02_Referentiels!$A$20:$D$99,3,FALSE),"")</x:f>
        <x:v>null</x:v>
      </x:c>
      <x:c r="I47">
        <x:f>IFERROR(VLOOKUP(B47,02_Referentiels!$A$5:$C$16,2,FALSE),"")</x:f>
      </x:c>
      <x:c r="J47">
        <x:f>IF(A47="","",IF(OR(D47="",E47="",F47=""),1,IF(OR(D47&lt;0,D47&gt;3,E47&lt;0,E47&gt;3,F47&lt;0,F47&gt;3),1,0)))</x:f>
      </x:c>
      <x:c r="K47">
        <x:f>IF(A47="","",IF(G47="",1,0))</x:f>
      </x:c>
      <x:c r="L47">
        <x:f>IF(A47="","",IF(COUNTIFS($A$5:$A$2004,A47,$C$5:$C$2004,C47)&gt;1,1,0))</x:f>
      </x:c>
    </x:row>
    <x:row r="48">
      <x:c r="A48" s="8" t="n"/>
      <x:c r="B48" s="8" t="n"/>
      <x:c r="C48" s="8" t="n"/>
      <x:c r="D48" s="8" t="n"/>
      <x:c r="E48" s="8" t="n"/>
      <x:c r="F48" s="8" t="n"/>
      <x:c r="G48" s="7">
        <x:f>IF(A48="","",IF(01_Parametres!$B$11="Oui",IF((01_Parametres!$B$4*(D48&gt;0)+01_Parametres!$B$5*(E48&gt;0)+01_Parametres!$B$6*(F48&gt;0))=0,"",(01_Parametres!$B$4*IF(D48&gt;0,D48,0)+01_Parametres!$B$5*IF(E48&gt;0,E48,0)+01_Parametres!$B$6*IF(F48&gt;0,F48,0))/(01_Parametres!$B$4*(D48&gt;0)+01_Parametres!$B$5*(E48&gt;0)+01_Parametres!$B$6*(F48&gt;0))),IF(01_Parametres!$B$8=0,"",(01_Parametres!$B$4*D48+01_Parametres!$B$5*E48+01_Parametres!$B$6*F48)/01_Parametres!$B$8)))</x:f>
      </x:c>
      <x:c r="H48" t="str">
        <x:f>IFERROR(VLOOKUP(C48,02_Referentiels!$A$20:$D$99,3,FALSE),"")</x:f>
        <x:v>null</x:v>
      </x:c>
      <x:c r="I48">
        <x:f>IFERROR(VLOOKUP(B48,02_Referentiels!$A$5:$C$16,2,FALSE),"")</x:f>
      </x:c>
      <x:c r="J48">
        <x:f>IF(A48="","",IF(OR(D48="",E48="",F48=""),1,IF(OR(D48&lt;0,D48&gt;3,E48&lt;0,E48&gt;3,F48&lt;0,F48&gt;3),1,0)))</x:f>
      </x:c>
      <x:c r="K48">
        <x:f>IF(A48="","",IF(G48="",1,0))</x:f>
      </x:c>
      <x:c r="L48">
        <x:f>IF(A48="","",IF(COUNTIFS($A$5:$A$2004,A48,$C$5:$C$2004,C48)&gt;1,1,0))</x:f>
      </x:c>
    </x:row>
    <x:row r="49">
      <x:c r="A49" s="8" t="n"/>
      <x:c r="B49" s="8" t="n"/>
      <x:c r="C49" s="8" t="n"/>
      <x:c r="D49" s="8" t="n"/>
      <x:c r="E49" s="8" t="n"/>
      <x:c r="F49" s="8" t="n"/>
      <x:c r="G49" s="7">
        <x:f>IF(A49="","",IF(01_Parametres!$B$11="Oui",IF((01_Parametres!$B$4*(D49&gt;0)+01_Parametres!$B$5*(E49&gt;0)+01_Parametres!$B$6*(F49&gt;0))=0,"",(01_Parametres!$B$4*IF(D49&gt;0,D49,0)+01_Parametres!$B$5*IF(E49&gt;0,E49,0)+01_Parametres!$B$6*IF(F49&gt;0,F49,0))/(01_Parametres!$B$4*(D49&gt;0)+01_Parametres!$B$5*(E49&gt;0)+01_Parametres!$B$6*(F49&gt;0))),IF(01_Parametres!$B$8=0,"",(01_Parametres!$B$4*D49+01_Parametres!$B$5*E49+01_Parametres!$B$6*F49)/01_Parametres!$B$8)))</x:f>
      </x:c>
      <x:c r="H49" t="str">
        <x:f>IFERROR(VLOOKUP(C49,02_Referentiels!$A$20:$D$99,3,FALSE),"")</x:f>
        <x:v>null</x:v>
      </x:c>
      <x:c r="I49">
        <x:f>IFERROR(VLOOKUP(B49,02_Referentiels!$A$5:$C$16,2,FALSE),"")</x:f>
      </x:c>
      <x:c r="J49">
        <x:f>IF(A49="","",IF(OR(D49="",E49="",F49=""),1,IF(OR(D49&lt;0,D49&gt;3,E49&lt;0,E49&gt;3,F49&lt;0,F49&gt;3),1,0)))</x:f>
      </x:c>
      <x:c r="K49">
        <x:f>IF(A49="","",IF(G49="",1,0))</x:f>
      </x:c>
      <x:c r="L49">
        <x:f>IF(A49="","",IF(COUNTIFS($A$5:$A$2004,A49,$C$5:$C$2004,C49)&gt;1,1,0))</x:f>
      </x:c>
    </x:row>
    <x:row r="50">
      <x:c r="A50" s="8" t="n"/>
      <x:c r="B50" s="8" t="n"/>
      <x:c r="C50" s="8" t="n"/>
      <x:c r="D50" s="8" t="n"/>
      <x:c r="E50" s="8" t="n"/>
      <x:c r="F50" s="8" t="n"/>
      <x:c r="G50" s="7">
        <x:f>IF(A50="","",IF(01_Parametres!$B$11="Oui",IF((01_Parametres!$B$4*(D50&gt;0)+01_Parametres!$B$5*(E50&gt;0)+01_Parametres!$B$6*(F50&gt;0))=0,"",(01_Parametres!$B$4*IF(D50&gt;0,D50,0)+01_Parametres!$B$5*IF(E50&gt;0,E50,0)+01_Parametres!$B$6*IF(F50&gt;0,F50,0))/(01_Parametres!$B$4*(D50&gt;0)+01_Parametres!$B$5*(E50&gt;0)+01_Parametres!$B$6*(F50&gt;0))),IF(01_Parametres!$B$8=0,"",(01_Parametres!$B$4*D50+01_Parametres!$B$5*E50+01_Parametres!$B$6*F50)/01_Parametres!$B$8)))</x:f>
      </x:c>
      <x:c r="H50" t="str">
        <x:f>IFERROR(VLOOKUP(C50,02_Referentiels!$A$20:$D$99,3,FALSE),"")</x:f>
        <x:v>null</x:v>
      </x:c>
      <x:c r="I50">
        <x:f>IFERROR(VLOOKUP(B50,02_Referentiels!$A$5:$C$16,2,FALSE),"")</x:f>
      </x:c>
      <x:c r="J50">
        <x:f>IF(A50="","",IF(OR(D50="",E50="",F50=""),1,IF(OR(D50&lt;0,D50&gt;3,E50&lt;0,E50&gt;3,F50&lt;0,F50&gt;3),1,0)))</x:f>
      </x:c>
      <x:c r="K50">
        <x:f>IF(A50="","",IF(G50="",1,0))</x:f>
      </x:c>
      <x:c r="L50">
        <x:f>IF(A50="","",IF(COUNTIFS($A$5:$A$2004,A50,$C$5:$C$2004,C50)&gt;1,1,0))</x:f>
      </x:c>
    </x:row>
    <x:row r="51">
      <x:c r="A51" s="8" t="n"/>
      <x:c r="B51" s="8" t="n"/>
      <x:c r="C51" s="8" t="n"/>
      <x:c r="D51" s="8" t="n"/>
      <x:c r="E51" s="8" t="n"/>
      <x:c r="F51" s="8" t="n"/>
      <x:c r="G51" s="7">
        <x:f>IF(A51="","",IF(01_Parametres!$B$11="Oui",IF((01_Parametres!$B$4*(D51&gt;0)+01_Parametres!$B$5*(E51&gt;0)+01_Parametres!$B$6*(F51&gt;0))=0,"",(01_Parametres!$B$4*IF(D51&gt;0,D51,0)+01_Parametres!$B$5*IF(E51&gt;0,E51,0)+01_Parametres!$B$6*IF(F51&gt;0,F51,0))/(01_Parametres!$B$4*(D51&gt;0)+01_Parametres!$B$5*(E51&gt;0)+01_Parametres!$B$6*(F51&gt;0))),IF(01_Parametres!$B$8=0,"",(01_Parametres!$B$4*D51+01_Parametres!$B$5*E51+01_Parametres!$B$6*F51)/01_Parametres!$B$8)))</x:f>
      </x:c>
      <x:c r="H51">
        <x:f>IFERROR(VLOOKUP(C51,02_Referentiels!$A$20:$D$99,3,FALSE),"")</x:f>
      </x:c>
      <x:c r="I51">
        <x:f>IFERROR(VLOOKUP(B51,02_Referentiels!$A$5:$C$16,2,FALSE),"")</x:f>
      </x:c>
      <x:c r="J51">
        <x:f>IF(A51="","",IF(OR(D51="",E51="",F51=""),1,IF(OR(D51&lt;0,D51&gt;3,E51&lt;0,E51&gt;3,F51&lt;0,F51&gt;3),1,0)))</x:f>
      </x:c>
      <x:c r="K51">
        <x:f>IF(A51="","",IF(G51="",1,0))</x:f>
      </x:c>
      <x:c r="L51">
        <x:f>IF(A51="","",IF(COUNTIFS($A$5:$A$2004,A51,$C$5:$C$2004,C51)&gt;1,1,0))</x:f>
      </x:c>
    </x:row>
    <x:row r="52">
      <x:c r="A52" s="8" t="n"/>
      <x:c r="B52" s="8" t="n"/>
      <x:c r="C52" s="8" t="n"/>
      <x:c r="D52" s="8" t="n"/>
      <x:c r="E52" s="8" t="n"/>
      <x:c r="F52" s="8" t="n"/>
      <x:c r="G52" s="7">
        <x:f>IF(A52="","",IF(01_Parametres!$B$11="Oui",IF((01_Parametres!$B$4*(D52&gt;0)+01_Parametres!$B$5*(E52&gt;0)+01_Parametres!$B$6*(F52&gt;0))=0,"",(01_Parametres!$B$4*IF(D52&gt;0,D52,0)+01_Parametres!$B$5*IF(E52&gt;0,E52,0)+01_Parametres!$B$6*IF(F52&gt;0,F52,0))/(01_Parametres!$B$4*(D52&gt;0)+01_Parametres!$B$5*(E52&gt;0)+01_Parametres!$B$6*(F52&gt;0))),IF(01_Parametres!$B$8=0,"",(01_Parametres!$B$4*D52+01_Parametres!$B$5*E52+01_Parametres!$B$6*F52)/01_Parametres!$B$8)))</x:f>
      </x:c>
      <x:c r="H52">
        <x:f>IFERROR(VLOOKUP(C52,02_Referentiels!$A$20:$D$99,3,FALSE),"")</x:f>
      </x:c>
      <x:c r="I52">
        <x:f>IFERROR(VLOOKUP(B52,02_Referentiels!$A$5:$C$16,2,FALSE),"")</x:f>
      </x:c>
      <x:c r="J52">
        <x:f>IF(A52="","",IF(OR(D52="",E52="",F52=""),1,IF(OR(D52&lt;0,D52&gt;3,E52&lt;0,E52&gt;3,F52&lt;0,F52&gt;3),1,0)))</x:f>
      </x:c>
      <x:c r="K52">
        <x:f>IF(A52="","",IF(G52="",1,0))</x:f>
      </x:c>
      <x:c r="L52">
        <x:f>IF(A52="","",IF(COUNTIFS($A$5:$A$2004,A52,$C$5:$C$2004,C52)&gt;1,1,0))</x:f>
      </x:c>
    </x:row>
    <x:row r="53">
      <x:c r="A53" s="8" t="n"/>
      <x:c r="B53" s="8" t="n"/>
      <x:c r="C53" s="8" t="n"/>
      <x:c r="D53" s="8" t="n"/>
      <x:c r="E53" s="8" t="n"/>
      <x:c r="F53" s="8" t="n"/>
      <x:c r="G53" s="7">
        <x:f>IF(A53="","",IF(01_Parametres!$B$11="Oui",IF((01_Parametres!$B$4*(D53&gt;0)+01_Parametres!$B$5*(E53&gt;0)+01_Parametres!$B$6*(F53&gt;0))=0,"",(01_Parametres!$B$4*IF(D53&gt;0,D53,0)+01_Parametres!$B$5*IF(E53&gt;0,E53,0)+01_Parametres!$B$6*IF(F53&gt;0,F53,0))/(01_Parametres!$B$4*(D53&gt;0)+01_Parametres!$B$5*(E53&gt;0)+01_Parametres!$B$6*(F53&gt;0))),IF(01_Parametres!$B$8=0,"",(01_Parametres!$B$4*D53+01_Parametres!$B$5*E53+01_Parametres!$B$6*F53)/01_Parametres!$B$8)))</x:f>
      </x:c>
      <x:c r="H53">
        <x:f>IFERROR(VLOOKUP(C53,02_Referentiels!$A$20:$D$99,3,FALSE),"")</x:f>
      </x:c>
      <x:c r="I53">
        <x:f>IFERROR(VLOOKUP(B53,02_Referentiels!$A$5:$C$16,2,FALSE),"")</x:f>
      </x:c>
      <x:c r="J53">
        <x:f>IF(A53="","",IF(OR(D53="",E53="",F53=""),1,IF(OR(D53&lt;0,D53&gt;3,E53&lt;0,E53&gt;3,F53&lt;0,F53&gt;3),1,0)))</x:f>
      </x:c>
      <x:c r="K53">
        <x:f>IF(A53="","",IF(G53="",1,0))</x:f>
      </x:c>
      <x:c r="L53">
        <x:f>IF(A53="","",IF(COUNTIFS($A$5:$A$2004,A53,$C$5:$C$2004,C53)&gt;1,1,0))</x:f>
      </x:c>
    </x:row>
    <x:row r="54">
      <x:c r="A54" s="8" t="n"/>
      <x:c r="B54" s="8" t="n"/>
      <x:c r="C54" s="8" t="n"/>
      <x:c r="D54" s="8" t="n"/>
      <x:c r="E54" s="8" t="n"/>
      <x:c r="F54" s="8" t="n"/>
      <x:c r="G54" s="7">
        <x:f>IF(A54="","",IF(01_Parametres!$B$11="Oui",IF((01_Parametres!$B$4*(D54&gt;0)+01_Parametres!$B$5*(E54&gt;0)+01_Parametres!$B$6*(F54&gt;0))=0,"",(01_Parametres!$B$4*IF(D54&gt;0,D54,0)+01_Parametres!$B$5*IF(E54&gt;0,E54,0)+01_Parametres!$B$6*IF(F54&gt;0,F54,0))/(01_Parametres!$B$4*(D54&gt;0)+01_Parametres!$B$5*(E54&gt;0)+01_Parametres!$B$6*(F54&gt;0))),IF(01_Parametres!$B$8=0,"",(01_Parametres!$B$4*D54+01_Parametres!$B$5*E54+01_Parametres!$B$6*F54)/01_Parametres!$B$8)))</x:f>
      </x:c>
      <x:c r="H54">
        <x:f>IFERROR(VLOOKUP(C54,02_Referentiels!$A$20:$D$99,3,FALSE),"")</x:f>
      </x:c>
      <x:c r="I54">
        <x:f>IFERROR(VLOOKUP(B54,02_Referentiels!$A$5:$C$16,2,FALSE),"")</x:f>
      </x:c>
      <x:c r="J54">
        <x:f>IF(A54="","",IF(OR(D54="",E54="",F54=""),1,IF(OR(D54&lt;0,D54&gt;3,E54&lt;0,E54&gt;3,F54&lt;0,F54&gt;3),1,0)))</x:f>
      </x:c>
      <x:c r="K54">
        <x:f>IF(A54="","",IF(G54="",1,0))</x:f>
      </x:c>
      <x:c r="L54">
        <x:f>IF(A54="","",IF(COUNTIFS($A$5:$A$2004,A54,$C$5:$C$2004,C54)&gt;1,1,0))</x:f>
      </x:c>
    </x:row>
    <x:row r="55">
      <x:c r="A55" s="8" t="n"/>
      <x:c r="B55" s="8" t="n"/>
      <x:c r="C55" s="8" t="n"/>
      <x:c r="D55" s="8" t="n"/>
      <x:c r="E55" s="8" t="n"/>
      <x:c r="F55" s="8" t="n"/>
      <x:c r="G55" s="7">
        <x:f>IF(A55="","",IF(01_Parametres!$B$11="Oui",IF((01_Parametres!$B$4*(D55&gt;0)+01_Parametres!$B$5*(E55&gt;0)+01_Parametres!$B$6*(F55&gt;0))=0,"",(01_Parametres!$B$4*IF(D55&gt;0,D55,0)+01_Parametres!$B$5*IF(E55&gt;0,E55,0)+01_Parametres!$B$6*IF(F55&gt;0,F55,0))/(01_Parametres!$B$4*(D55&gt;0)+01_Parametres!$B$5*(E55&gt;0)+01_Parametres!$B$6*(F55&gt;0))),IF(01_Parametres!$B$8=0,"",(01_Parametres!$B$4*D55+01_Parametres!$B$5*E55+01_Parametres!$B$6*F55)/01_Parametres!$B$8)))</x:f>
      </x:c>
      <x:c r="H55">
        <x:f>IFERROR(VLOOKUP(C55,02_Referentiels!$A$20:$D$99,3,FALSE),"")</x:f>
      </x:c>
      <x:c r="I55">
        <x:f>IFERROR(VLOOKUP(B55,02_Referentiels!$A$5:$C$16,2,FALSE),"")</x:f>
      </x:c>
      <x:c r="J55">
        <x:f>IF(A55="","",IF(OR(D55="",E55="",F55=""),1,IF(OR(D55&lt;0,D55&gt;3,E55&lt;0,E55&gt;3,F55&lt;0,F55&gt;3),1,0)))</x:f>
      </x:c>
      <x:c r="K55">
        <x:f>IF(A55="","",IF(G55="",1,0))</x:f>
      </x:c>
      <x:c r="L55">
        <x:f>IF(A55="","",IF(COUNTIFS($A$5:$A$2004,A55,$C$5:$C$2004,C55)&gt;1,1,0))</x:f>
      </x:c>
    </x:row>
    <x:row r="56">
      <x:c r="A56" s="8" t="n"/>
      <x:c r="B56" s="8" t="n"/>
      <x:c r="C56" s="8" t="n"/>
      <x:c r="D56" s="8" t="n"/>
      <x:c r="E56" s="8" t="n"/>
      <x:c r="F56" s="8" t="n"/>
      <x:c r="G56" s="7">
        <x:f>IF(A56="","",IF(01_Parametres!$B$11="Oui",IF((01_Parametres!$B$4*(D56&gt;0)+01_Parametres!$B$5*(E56&gt;0)+01_Parametres!$B$6*(F56&gt;0))=0,"",(01_Parametres!$B$4*IF(D56&gt;0,D56,0)+01_Parametres!$B$5*IF(E56&gt;0,E56,0)+01_Parametres!$B$6*IF(F56&gt;0,F56,0))/(01_Parametres!$B$4*(D56&gt;0)+01_Parametres!$B$5*(E56&gt;0)+01_Parametres!$B$6*(F56&gt;0))),IF(01_Parametres!$B$8=0,"",(01_Parametres!$B$4*D56+01_Parametres!$B$5*E56+01_Parametres!$B$6*F56)/01_Parametres!$B$8)))</x:f>
      </x:c>
      <x:c r="H56">
        <x:f>IFERROR(VLOOKUP(C56,02_Referentiels!$A$20:$D$99,3,FALSE),"")</x:f>
      </x:c>
      <x:c r="I56">
        <x:f>IFERROR(VLOOKUP(B56,02_Referentiels!$A$5:$C$16,2,FALSE),"")</x:f>
      </x:c>
      <x:c r="J56">
        <x:f>IF(A56="","",IF(OR(D56="",E56="",F56=""),1,IF(OR(D56&lt;0,D56&gt;3,E56&lt;0,E56&gt;3,F56&lt;0,F56&gt;3),1,0)))</x:f>
      </x:c>
      <x:c r="K56">
        <x:f>IF(A56="","",IF(G56="",1,0))</x:f>
      </x:c>
      <x:c r="L56">
        <x:f>IF(A56="","",IF(COUNTIFS($A$5:$A$2004,A56,$C$5:$C$2004,C56)&gt;1,1,0))</x:f>
      </x:c>
    </x:row>
    <x:row r="57">
      <x:c r="A57" s="8" t="n"/>
      <x:c r="B57" s="8" t="n"/>
      <x:c r="C57" s="8" t="n"/>
      <x:c r="D57" s="8" t="n"/>
      <x:c r="E57" s="8" t="n"/>
      <x:c r="F57" s="8" t="n"/>
      <x:c r="G57" s="7">
        <x:f>IF(A57="","",IF(01_Parametres!$B$11="Oui",IF((01_Parametres!$B$4*(D57&gt;0)+01_Parametres!$B$5*(E57&gt;0)+01_Parametres!$B$6*(F57&gt;0))=0,"",(01_Parametres!$B$4*IF(D57&gt;0,D57,0)+01_Parametres!$B$5*IF(E57&gt;0,E57,0)+01_Parametres!$B$6*IF(F57&gt;0,F57,0))/(01_Parametres!$B$4*(D57&gt;0)+01_Parametres!$B$5*(E57&gt;0)+01_Parametres!$B$6*(F57&gt;0))),IF(01_Parametres!$B$8=0,"",(01_Parametres!$B$4*D57+01_Parametres!$B$5*E57+01_Parametres!$B$6*F57)/01_Parametres!$B$8)))</x:f>
      </x:c>
      <x:c r="H57">
        <x:f>IFERROR(VLOOKUP(C57,02_Referentiels!$A$20:$D$99,3,FALSE),"")</x:f>
      </x:c>
      <x:c r="I57">
        <x:f>IFERROR(VLOOKUP(B57,02_Referentiels!$A$5:$C$16,2,FALSE),"")</x:f>
      </x:c>
      <x:c r="J57">
        <x:f>IF(A57="","",IF(OR(D57="",E57="",F57=""),1,IF(OR(D57&lt;0,D57&gt;3,E57&lt;0,E57&gt;3,F57&lt;0,F57&gt;3),1,0)))</x:f>
      </x:c>
      <x:c r="K57">
        <x:f>IF(A57="","",IF(G57="",1,0))</x:f>
      </x:c>
      <x:c r="L57">
        <x:f>IF(A57="","",IF(COUNTIFS($A$5:$A$2004,A57,$C$5:$C$2004,C57)&gt;1,1,0))</x:f>
      </x:c>
    </x:row>
    <x:row r="58">
      <x:c r="A58" s="8" t="n"/>
      <x:c r="B58" s="8" t="n"/>
      <x:c r="C58" s="8" t="n"/>
      <x:c r="D58" s="8" t="n"/>
      <x:c r="E58" s="8" t="n"/>
      <x:c r="F58" s="8" t="n"/>
      <x:c r="G58" s="7">
        <x:f>IF(A58="","",IF(01_Parametres!$B$11="Oui",IF((01_Parametres!$B$4*(D58&gt;0)+01_Parametres!$B$5*(E58&gt;0)+01_Parametres!$B$6*(F58&gt;0))=0,"",(01_Parametres!$B$4*IF(D58&gt;0,D58,0)+01_Parametres!$B$5*IF(E58&gt;0,E58,0)+01_Parametres!$B$6*IF(F58&gt;0,F58,0))/(01_Parametres!$B$4*(D58&gt;0)+01_Parametres!$B$5*(E58&gt;0)+01_Parametres!$B$6*(F58&gt;0))),IF(01_Parametres!$B$8=0,"",(01_Parametres!$B$4*D58+01_Parametres!$B$5*E58+01_Parametres!$B$6*F58)/01_Parametres!$B$8)))</x:f>
      </x:c>
      <x:c r="H58">
        <x:f>IFERROR(VLOOKUP(C58,02_Referentiels!$A$20:$D$99,3,FALSE),"")</x:f>
      </x:c>
      <x:c r="I58">
        <x:f>IFERROR(VLOOKUP(B58,02_Referentiels!$A$5:$C$16,2,FALSE),"")</x:f>
      </x:c>
      <x:c r="J58">
        <x:f>IF(A58="","",IF(OR(D58="",E58="",F58=""),1,IF(OR(D58&lt;0,D58&gt;3,E58&lt;0,E58&gt;3,F58&lt;0,F58&gt;3),1,0)))</x:f>
      </x:c>
      <x:c r="K58">
        <x:f>IF(A58="","",IF(G58="",1,0))</x:f>
      </x:c>
      <x:c r="L58">
        <x:f>IF(A58="","",IF(COUNTIFS($A$5:$A$2004,A58,$C$5:$C$2004,C58)&gt;1,1,0))</x:f>
      </x:c>
    </x:row>
    <x:row r="59">
      <x:c r="A59" s="8" t="n"/>
      <x:c r="B59" s="8" t="n"/>
      <x:c r="C59" s="8" t="n"/>
      <x:c r="D59" s="8" t="n"/>
      <x:c r="E59" s="8" t="n"/>
      <x:c r="F59" s="8" t="n"/>
      <x:c r="G59" s="7">
        <x:f>IF(A59="","",IF(01_Parametres!$B$11="Oui",IF((01_Parametres!$B$4*(D59&gt;0)+01_Parametres!$B$5*(E59&gt;0)+01_Parametres!$B$6*(F59&gt;0))=0,"",(01_Parametres!$B$4*IF(D59&gt;0,D59,0)+01_Parametres!$B$5*IF(E59&gt;0,E59,0)+01_Parametres!$B$6*IF(F59&gt;0,F59,0))/(01_Parametres!$B$4*(D59&gt;0)+01_Parametres!$B$5*(E59&gt;0)+01_Parametres!$B$6*(F59&gt;0))),IF(01_Parametres!$B$8=0,"",(01_Parametres!$B$4*D59+01_Parametres!$B$5*E59+01_Parametres!$B$6*F59)/01_Parametres!$B$8)))</x:f>
      </x:c>
      <x:c r="H59">
        <x:f>IFERROR(VLOOKUP(C59,02_Referentiels!$A$20:$D$99,3,FALSE),"")</x:f>
      </x:c>
      <x:c r="I59">
        <x:f>IFERROR(VLOOKUP(B59,02_Referentiels!$A$5:$C$16,2,FALSE),"")</x:f>
      </x:c>
      <x:c r="J59">
        <x:f>IF(A59="","",IF(OR(D59="",E59="",F59=""),1,IF(OR(D59&lt;0,D59&gt;3,E59&lt;0,E59&gt;3,F59&lt;0,F59&gt;3),1,0)))</x:f>
      </x:c>
      <x:c r="K59">
        <x:f>IF(A59="","",IF(G59="",1,0))</x:f>
      </x:c>
      <x:c r="L59">
        <x:f>IF(A59="","",IF(COUNTIFS($A$5:$A$2004,A59,$C$5:$C$2004,C59)&gt;1,1,0))</x:f>
      </x:c>
    </x:row>
    <x:row r="60">
      <x:c r="A60" s="8" t="n"/>
      <x:c r="B60" s="8" t="n"/>
      <x:c r="C60" s="8" t="n"/>
      <x:c r="D60" s="8" t="n"/>
      <x:c r="E60" s="8" t="n"/>
      <x:c r="F60" s="8" t="n"/>
      <x:c r="G60" s="7">
        <x:f>IF(A60="","",IF(01_Parametres!$B$11="Oui",IF((01_Parametres!$B$4*(D60&gt;0)+01_Parametres!$B$5*(E60&gt;0)+01_Parametres!$B$6*(F60&gt;0))=0,"",(01_Parametres!$B$4*IF(D60&gt;0,D60,0)+01_Parametres!$B$5*IF(E60&gt;0,E60,0)+01_Parametres!$B$6*IF(F60&gt;0,F60,0))/(01_Parametres!$B$4*(D60&gt;0)+01_Parametres!$B$5*(E60&gt;0)+01_Parametres!$B$6*(F60&gt;0))),IF(01_Parametres!$B$8=0,"",(01_Parametres!$B$4*D60+01_Parametres!$B$5*E60+01_Parametres!$B$6*F60)/01_Parametres!$B$8)))</x:f>
      </x:c>
      <x:c r="H60">
        <x:f>IFERROR(VLOOKUP(C60,02_Referentiels!$A$20:$D$99,3,FALSE),"")</x:f>
      </x:c>
      <x:c r="I60">
        <x:f>IFERROR(VLOOKUP(B60,02_Referentiels!$A$5:$C$16,2,FALSE),"")</x:f>
      </x:c>
      <x:c r="J60">
        <x:f>IF(A60="","",IF(OR(D60="",E60="",F60=""),1,IF(OR(D60&lt;0,D60&gt;3,E60&lt;0,E60&gt;3,F60&lt;0,F60&gt;3),1,0)))</x:f>
      </x:c>
      <x:c r="K60">
        <x:f>IF(A60="","",IF(G60="",1,0))</x:f>
      </x:c>
      <x:c r="L60">
        <x:f>IF(A60="","",IF(COUNTIFS($A$5:$A$2004,A60,$C$5:$C$2004,C60)&gt;1,1,0))</x:f>
      </x:c>
    </x:row>
    <x:row r="61">
      <x:c r="A61" s="8" t="n"/>
      <x:c r="B61" s="8" t="n"/>
      <x:c r="C61" s="8" t="n"/>
      <x:c r="D61" s="8" t="n"/>
      <x:c r="E61" s="8" t="n"/>
      <x:c r="F61" s="8" t="n"/>
      <x:c r="G61" s="7">
        <x:f>IF(A61="","",IF(01_Parametres!$B$11="Oui",IF((01_Parametres!$B$4*(D61&gt;0)+01_Parametres!$B$5*(E61&gt;0)+01_Parametres!$B$6*(F61&gt;0))=0,"",(01_Parametres!$B$4*IF(D61&gt;0,D61,0)+01_Parametres!$B$5*IF(E61&gt;0,E61,0)+01_Parametres!$B$6*IF(F61&gt;0,F61,0))/(01_Parametres!$B$4*(D61&gt;0)+01_Parametres!$B$5*(E61&gt;0)+01_Parametres!$B$6*(F61&gt;0))),IF(01_Parametres!$B$8=0,"",(01_Parametres!$B$4*D61+01_Parametres!$B$5*E61+01_Parametres!$B$6*F61)/01_Parametres!$B$8)))</x:f>
      </x:c>
      <x:c r="H61">
        <x:f>IFERROR(VLOOKUP(C61,02_Referentiels!$A$20:$D$99,3,FALSE),"")</x:f>
      </x:c>
      <x:c r="I61">
        <x:f>IFERROR(VLOOKUP(B61,02_Referentiels!$A$5:$C$16,2,FALSE),"")</x:f>
      </x:c>
      <x:c r="J61">
        <x:f>IF(A61="","",IF(OR(D61="",E61="",F61=""),1,IF(OR(D61&lt;0,D61&gt;3,E61&lt;0,E61&gt;3,F61&lt;0,F61&gt;3),1,0)))</x:f>
      </x:c>
      <x:c r="K61">
        <x:f>IF(A61="","",IF(G61="",1,0))</x:f>
      </x:c>
      <x:c r="L61">
        <x:f>IF(A61="","",IF(COUNTIFS($A$5:$A$2004,A61,$C$5:$C$2004,C61)&gt;1,1,0))</x:f>
      </x:c>
    </x:row>
    <x:row r="62">
      <x:c r="A62" s="8" t="n"/>
      <x:c r="B62" s="8" t="n"/>
      <x:c r="C62" s="8" t="n"/>
      <x:c r="D62" s="8" t="n"/>
      <x:c r="E62" s="8" t="n"/>
      <x:c r="F62" s="8" t="n"/>
      <x:c r="G62" s="7">
        <x:f>IF(A62="","",IF(01_Parametres!$B$11="Oui",IF((01_Parametres!$B$4*(D62&gt;0)+01_Parametres!$B$5*(E62&gt;0)+01_Parametres!$B$6*(F62&gt;0))=0,"",(01_Parametres!$B$4*IF(D62&gt;0,D62,0)+01_Parametres!$B$5*IF(E62&gt;0,E62,0)+01_Parametres!$B$6*IF(F62&gt;0,F62,0))/(01_Parametres!$B$4*(D62&gt;0)+01_Parametres!$B$5*(E62&gt;0)+01_Parametres!$B$6*(F62&gt;0))),IF(01_Parametres!$B$8=0,"",(01_Parametres!$B$4*D62+01_Parametres!$B$5*E62+01_Parametres!$B$6*F62)/01_Parametres!$B$8)))</x:f>
      </x:c>
      <x:c r="H62">
        <x:f>IFERROR(VLOOKUP(C62,02_Referentiels!$A$20:$D$99,3,FALSE),"")</x:f>
      </x:c>
      <x:c r="I62">
        <x:f>IFERROR(VLOOKUP(B62,02_Referentiels!$A$5:$C$16,2,FALSE),"")</x:f>
      </x:c>
      <x:c r="J62">
        <x:f>IF(A62="","",IF(OR(D62="",E62="",F62=""),1,IF(OR(D62&lt;0,D62&gt;3,E62&lt;0,E62&gt;3,F62&lt;0,F62&gt;3),1,0)))</x:f>
      </x:c>
      <x:c r="K62">
        <x:f>IF(A62="","",IF(G62="",1,0))</x:f>
      </x:c>
      <x:c r="L62">
        <x:f>IF(A62="","",IF(COUNTIFS($A$5:$A$2004,A62,$C$5:$C$2004,C62)&gt;1,1,0))</x:f>
      </x:c>
    </x:row>
    <x:row r="63">
      <x:c r="A63" s="8" t="n"/>
      <x:c r="B63" s="8" t="n"/>
      <x:c r="C63" s="8" t="n"/>
      <x:c r="D63" s="8" t="n"/>
      <x:c r="E63" s="8" t="n"/>
      <x:c r="F63" s="8" t="n"/>
      <x:c r="G63" s="7">
        <x:f>IF(A63="","",IF(01_Parametres!$B$11="Oui",IF((01_Parametres!$B$4*(D63&gt;0)+01_Parametres!$B$5*(E63&gt;0)+01_Parametres!$B$6*(F63&gt;0))=0,"",(01_Parametres!$B$4*IF(D63&gt;0,D63,0)+01_Parametres!$B$5*IF(E63&gt;0,E63,0)+01_Parametres!$B$6*IF(F63&gt;0,F63,0))/(01_Parametres!$B$4*(D63&gt;0)+01_Parametres!$B$5*(E63&gt;0)+01_Parametres!$B$6*(F63&gt;0))),IF(01_Parametres!$B$8=0,"",(01_Parametres!$B$4*D63+01_Parametres!$B$5*E63+01_Parametres!$B$6*F63)/01_Parametres!$B$8)))</x:f>
      </x:c>
      <x:c r="H63">
        <x:f>IFERROR(VLOOKUP(C63,02_Referentiels!$A$20:$D$99,3,FALSE),"")</x:f>
      </x:c>
      <x:c r="I63">
        <x:f>IFERROR(VLOOKUP(B63,02_Referentiels!$A$5:$C$16,2,FALSE),"")</x:f>
      </x:c>
      <x:c r="J63">
        <x:f>IF(A63="","",IF(OR(D63="",E63="",F63=""),1,IF(OR(D63&lt;0,D63&gt;3,E63&lt;0,E63&gt;3,F63&lt;0,F63&gt;3),1,0)))</x:f>
      </x:c>
      <x:c r="K63">
        <x:f>IF(A63="","",IF(G63="",1,0))</x:f>
      </x:c>
      <x:c r="L63">
        <x:f>IF(A63="","",IF(COUNTIFS($A$5:$A$2004,A63,$C$5:$C$2004,C63)&gt;1,1,0))</x:f>
      </x:c>
    </x:row>
    <x:row r="64">
      <x:c r="A64" s="8" t="n"/>
      <x:c r="B64" s="8" t="n"/>
      <x:c r="C64" s="8" t="n"/>
      <x:c r="D64" s="8" t="n"/>
      <x:c r="E64" s="8" t="n"/>
      <x:c r="F64" s="8" t="n"/>
      <x:c r="G64" s="7">
        <x:f>IF(A64="","",IF(01_Parametres!$B$11="Oui",IF((01_Parametres!$B$4*(D64&gt;0)+01_Parametres!$B$5*(E64&gt;0)+01_Parametres!$B$6*(F64&gt;0))=0,"",(01_Parametres!$B$4*IF(D64&gt;0,D64,0)+01_Parametres!$B$5*IF(E64&gt;0,E64,0)+01_Parametres!$B$6*IF(F64&gt;0,F64,0))/(01_Parametres!$B$4*(D64&gt;0)+01_Parametres!$B$5*(E64&gt;0)+01_Parametres!$B$6*(F64&gt;0))),IF(01_Parametres!$B$8=0,"",(01_Parametres!$B$4*D64+01_Parametres!$B$5*E64+01_Parametres!$B$6*F64)/01_Parametres!$B$8)))</x:f>
      </x:c>
      <x:c r="H64">
        <x:f>IFERROR(VLOOKUP(C64,02_Referentiels!$A$20:$D$99,3,FALSE),"")</x:f>
      </x:c>
      <x:c r="I64">
        <x:f>IFERROR(VLOOKUP(B64,02_Referentiels!$A$5:$C$16,2,FALSE),"")</x:f>
      </x:c>
      <x:c r="J64">
        <x:f>IF(A64="","",IF(OR(D64="",E64="",F64=""),1,IF(OR(D64&lt;0,D64&gt;3,E64&lt;0,E64&gt;3,F64&lt;0,F64&gt;3),1,0)))</x:f>
      </x:c>
      <x:c r="K64">
        <x:f>IF(A64="","",IF(G64="",1,0))</x:f>
      </x:c>
      <x:c r="L64">
        <x:f>IF(A64="","",IF(COUNTIFS($A$5:$A$2004,A64,$C$5:$C$2004,C64)&gt;1,1,0))</x:f>
      </x:c>
    </x:row>
    <x:row r="65">
      <x:c r="A65" s="8" t="n"/>
      <x:c r="B65" s="8" t="n"/>
      <x:c r="C65" s="8" t="n"/>
      <x:c r="D65" s="8" t="n"/>
      <x:c r="E65" s="8" t="n"/>
      <x:c r="F65" s="8" t="n"/>
      <x:c r="G65" s="7">
        <x:f>IF(A65="","",IF(01_Parametres!$B$11="Oui",IF((01_Parametres!$B$4*(D65&gt;0)+01_Parametres!$B$5*(E65&gt;0)+01_Parametres!$B$6*(F65&gt;0))=0,"",(01_Parametres!$B$4*IF(D65&gt;0,D65,0)+01_Parametres!$B$5*IF(E65&gt;0,E65,0)+01_Parametres!$B$6*IF(F65&gt;0,F65,0))/(01_Parametres!$B$4*(D65&gt;0)+01_Parametres!$B$5*(E65&gt;0)+01_Parametres!$B$6*(F65&gt;0))),IF(01_Parametres!$B$8=0,"",(01_Parametres!$B$4*D65+01_Parametres!$B$5*E65+01_Parametres!$B$6*F65)/01_Parametres!$B$8)))</x:f>
      </x:c>
      <x:c r="H65">
        <x:f>IFERROR(VLOOKUP(C65,02_Referentiels!$A$20:$D$99,3,FALSE),"")</x:f>
      </x:c>
      <x:c r="I65">
        <x:f>IFERROR(VLOOKUP(B65,02_Referentiels!$A$5:$C$16,2,FALSE),"")</x:f>
      </x:c>
      <x:c r="J65">
        <x:f>IF(A65="","",IF(OR(D65="",E65="",F65=""),1,IF(OR(D65&lt;0,D65&gt;3,E65&lt;0,E65&gt;3,F65&lt;0,F65&gt;3),1,0)))</x:f>
      </x:c>
      <x:c r="K65">
        <x:f>IF(A65="","",IF(G65="",1,0))</x:f>
      </x:c>
      <x:c r="L65">
        <x:f>IF(A65="","",IF(COUNTIFS($A$5:$A$2004,A65,$C$5:$C$2004,C65)&gt;1,1,0))</x:f>
      </x:c>
    </x:row>
    <x:row r="66">
      <x:c r="A66" s="8" t="n"/>
      <x:c r="B66" s="8" t="n"/>
      <x:c r="C66" s="8" t="n"/>
      <x:c r="D66" s="8" t="n"/>
      <x:c r="E66" s="8" t="n"/>
      <x:c r="F66" s="8" t="n"/>
      <x:c r="G66" s="7">
        <x:f>IF(A66="","",IF(01_Parametres!$B$11="Oui",IF((01_Parametres!$B$4*(D66&gt;0)+01_Parametres!$B$5*(E66&gt;0)+01_Parametres!$B$6*(F66&gt;0))=0,"",(01_Parametres!$B$4*IF(D66&gt;0,D66,0)+01_Parametres!$B$5*IF(E66&gt;0,E66,0)+01_Parametres!$B$6*IF(F66&gt;0,F66,0))/(01_Parametres!$B$4*(D66&gt;0)+01_Parametres!$B$5*(E66&gt;0)+01_Parametres!$B$6*(F66&gt;0))),IF(01_Parametres!$B$8=0,"",(01_Parametres!$B$4*D66+01_Parametres!$B$5*E66+01_Parametres!$B$6*F66)/01_Parametres!$B$8)))</x:f>
      </x:c>
      <x:c r="H66">
        <x:f>IFERROR(VLOOKUP(C66,02_Referentiels!$A$20:$D$99,3,FALSE),"")</x:f>
      </x:c>
      <x:c r="I66">
        <x:f>IFERROR(VLOOKUP(B66,02_Referentiels!$A$5:$C$16,2,FALSE),"")</x:f>
      </x:c>
      <x:c r="J66">
        <x:f>IF(A66="","",IF(OR(D66="",E66="",F66=""),1,IF(OR(D66&lt;0,D66&gt;3,E66&lt;0,E66&gt;3,F66&lt;0,F66&gt;3),1,0)))</x:f>
      </x:c>
      <x:c r="K66">
        <x:f>IF(A66="","",IF(G66="",1,0))</x:f>
      </x:c>
      <x:c r="L66">
        <x:f>IF(A66="","",IF(COUNTIFS($A$5:$A$2004,A66,$C$5:$C$2004,C66)&gt;1,1,0))</x:f>
      </x:c>
    </x:row>
    <x:row r="67">
      <x:c r="A67" s="8" t="n"/>
      <x:c r="B67" s="8" t="n"/>
      <x:c r="C67" s="8" t="n"/>
      <x:c r="D67" s="8" t="n"/>
      <x:c r="E67" s="8" t="n"/>
      <x:c r="F67" s="8" t="n"/>
      <x:c r="G67" s="7">
        <x:f>IF(A67="","",IF(01_Parametres!$B$11="Oui",IF((01_Parametres!$B$4*(D67&gt;0)+01_Parametres!$B$5*(E67&gt;0)+01_Parametres!$B$6*(F67&gt;0))=0,"",(01_Parametres!$B$4*IF(D67&gt;0,D67,0)+01_Parametres!$B$5*IF(E67&gt;0,E67,0)+01_Parametres!$B$6*IF(F67&gt;0,F67,0))/(01_Parametres!$B$4*(D67&gt;0)+01_Parametres!$B$5*(E67&gt;0)+01_Parametres!$B$6*(F67&gt;0))),IF(01_Parametres!$B$8=0,"",(01_Parametres!$B$4*D67+01_Parametres!$B$5*E67+01_Parametres!$B$6*F67)/01_Parametres!$B$8)))</x:f>
      </x:c>
      <x:c r="H67">
        <x:f>IFERROR(VLOOKUP(C67,02_Referentiels!$A$20:$D$99,3,FALSE),"")</x:f>
      </x:c>
      <x:c r="I67">
        <x:f>IFERROR(VLOOKUP(B67,02_Referentiels!$A$5:$C$16,2,FALSE),"")</x:f>
      </x:c>
      <x:c r="J67">
        <x:f>IF(A67="","",IF(OR(D67="",E67="",F67=""),1,IF(OR(D67&lt;0,D67&gt;3,E67&lt;0,E67&gt;3,F67&lt;0,F67&gt;3),1,0)))</x:f>
      </x:c>
      <x:c r="K67">
        <x:f>IF(A67="","",IF(G67="",1,0))</x:f>
      </x:c>
      <x:c r="L67">
        <x:f>IF(A67="","",IF(COUNTIFS($A$5:$A$2004,A67,$C$5:$C$2004,C67)&gt;1,1,0))</x:f>
      </x:c>
    </x:row>
    <x:row r="68">
      <x:c r="A68" s="8" t="n"/>
      <x:c r="B68" s="8" t="n"/>
      <x:c r="C68" s="8" t="n"/>
      <x:c r="D68" s="8" t="n"/>
      <x:c r="E68" s="8" t="n"/>
      <x:c r="F68" s="8" t="n"/>
      <x:c r="G68" s="7">
        <x:f>IF(A68="","",IF(01_Parametres!$B$11="Oui",IF((01_Parametres!$B$4*(D68&gt;0)+01_Parametres!$B$5*(E68&gt;0)+01_Parametres!$B$6*(F68&gt;0))=0,"",(01_Parametres!$B$4*IF(D68&gt;0,D68,0)+01_Parametres!$B$5*IF(E68&gt;0,E68,0)+01_Parametres!$B$6*IF(F68&gt;0,F68,0))/(01_Parametres!$B$4*(D68&gt;0)+01_Parametres!$B$5*(E68&gt;0)+01_Parametres!$B$6*(F68&gt;0))),IF(01_Parametres!$B$8=0,"",(01_Parametres!$B$4*D68+01_Parametres!$B$5*E68+01_Parametres!$B$6*F68)/01_Parametres!$B$8)))</x:f>
      </x:c>
      <x:c r="H68">
        <x:f>IFERROR(VLOOKUP(C68,02_Referentiels!$A$20:$D$99,3,FALSE),"")</x:f>
      </x:c>
      <x:c r="I68">
        <x:f>IFERROR(VLOOKUP(B68,02_Referentiels!$A$5:$C$16,2,FALSE),"")</x:f>
      </x:c>
      <x:c r="J68">
        <x:f>IF(A68="","",IF(OR(D68="",E68="",F68=""),1,IF(OR(D68&lt;0,D68&gt;3,E68&lt;0,E68&gt;3,F68&lt;0,F68&gt;3),1,0)))</x:f>
      </x:c>
      <x:c r="K68">
        <x:f>IF(A68="","",IF(G68="",1,0))</x:f>
      </x:c>
      <x:c r="L68">
        <x:f>IF(A68="","",IF(COUNTIFS($A$5:$A$2004,A68,$C$5:$C$2004,C68)&gt;1,1,0))</x:f>
      </x:c>
    </x:row>
    <x:row r="69">
      <x:c r="A69" s="8" t="n"/>
      <x:c r="B69" s="8" t="n"/>
      <x:c r="C69" s="8" t="n"/>
      <x:c r="D69" s="8" t="n"/>
      <x:c r="E69" s="8" t="n"/>
      <x:c r="F69" s="8" t="n"/>
      <x:c r="G69" s="7">
        <x:f>IF(A69="","",IF(01_Parametres!$B$11="Oui",IF((01_Parametres!$B$4*(D69&gt;0)+01_Parametres!$B$5*(E69&gt;0)+01_Parametres!$B$6*(F69&gt;0))=0,"",(01_Parametres!$B$4*IF(D69&gt;0,D69,0)+01_Parametres!$B$5*IF(E69&gt;0,E69,0)+01_Parametres!$B$6*IF(F69&gt;0,F69,0))/(01_Parametres!$B$4*(D69&gt;0)+01_Parametres!$B$5*(E69&gt;0)+01_Parametres!$B$6*(F69&gt;0))),IF(01_Parametres!$B$8=0,"",(01_Parametres!$B$4*D69+01_Parametres!$B$5*E69+01_Parametres!$B$6*F69)/01_Parametres!$B$8)))</x:f>
      </x:c>
      <x:c r="H69">
        <x:f>IFERROR(VLOOKUP(C69,02_Referentiels!$A$20:$D$99,3,FALSE),"")</x:f>
      </x:c>
      <x:c r="I69">
        <x:f>IFERROR(VLOOKUP(B69,02_Referentiels!$A$5:$C$16,2,FALSE),"")</x:f>
      </x:c>
      <x:c r="J69">
        <x:f>IF(A69="","",IF(OR(D69="",E69="",F69=""),1,IF(OR(D69&lt;0,D69&gt;3,E69&lt;0,E69&gt;3,F69&lt;0,F69&gt;3),1,0)))</x:f>
      </x:c>
      <x:c r="K69">
        <x:f>IF(A69="","",IF(G69="",1,0))</x:f>
      </x:c>
      <x:c r="L69">
        <x:f>IF(A69="","",IF(COUNTIFS($A$5:$A$2004,A69,$C$5:$C$2004,C69)&gt;1,1,0))</x:f>
      </x:c>
    </x:row>
    <x:row r="70">
      <x:c r="A70" s="8" t="n"/>
      <x:c r="B70" s="8" t="n"/>
      <x:c r="C70" s="8" t="n"/>
      <x:c r="D70" s="8" t="n"/>
      <x:c r="E70" s="8" t="n"/>
      <x:c r="F70" s="8" t="n"/>
      <x:c r="G70" s="7">
        <x:f>IF(A70="","",IF(01_Parametres!$B$11="Oui",IF((01_Parametres!$B$4*(D70&gt;0)+01_Parametres!$B$5*(E70&gt;0)+01_Parametres!$B$6*(F70&gt;0))=0,"",(01_Parametres!$B$4*IF(D70&gt;0,D70,0)+01_Parametres!$B$5*IF(E70&gt;0,E70,0)+01_Parametres!$B$6*IF(F70&gt;0,F70,0))/(01_Parametres!$B$4*(D70&gt;0)+01_Parametres!$B$5*(E70&gt;0)+01_Parametres!$B$6*(F70&gt;0))),IF(01_Parametres!$B$8=0,"",(01_Parametres!$B$4*D70+01_Parametres!$B$5*E70+01_Parametres!$B$6*F70)/01_Parametres!$B$8)))</x:f>
      </x:c>
      <x:c r="H70">
        <x:f>IFERROR(VLOOKUP(C70,02_Referentiels!$A$20:$D$99,3,FALSE),"")</x:f>
      </x:c>
      <x:c r="I70">
        <x:f>IFERROR(VLOOKUP(B70,02_Referentiels!$A$5:$C$16,2,FALSE),"")</x:f>
      </x:c>
      <x:c r="J70">
        <x:f>IF(A70="","",IF(OR(D70="",E70="",F70=""),1,IF(OR(D70&lt;0,D70&gt;3,E70&lt;0,E70&gt;3,F70&lt;0,F70&gt;3),1,0)))</x:f>
      </x:c>
      <x:c r="K70">
        <x:f>IF(A70="","",IF(G70="",1,0))</x:f>
      </x:c>
      <x:c r="L70">
        <x:f>IF(A70="","",IF(COUNTIFS($A$5:$A$2004,A70,$C$5:$C$2004,C70)&gt;1,1,0))</x:f>
      </x:c>
    </x:row>
    <x:row r="71">
      <x:c r="A71" s="8" t="n"/>
      <x:c r="B71" s="8" t="n"/>
      <x:c r="C71" s="8" t="n"/>
      <x:c r="D71" s="8" t="n"/>
      <x:c r="E71" s="8" t="n"/>
      <x:c r="F71" s="8" t="n"/>
      <x:c r="G71" s="7">
        <x:f>IF(A71="","",IF(01_Parametres!$B$11="Oui",IF((01_Parametres!$B$4*(D71&gt;0)+01_Parametres!$B$5*(E71&gt;0)+01_Parametres!$B$6*(F71&gt;0))=0,"",(01_Parametres!$B$4*IF(D71&gt;0,D71,0)+01_Parametres!$B$5*IF(E71&gt;0,E71,0)+01_Parametres!$B$6*IF(F71&gt;0,F71,0))/(01_Parametres!$B$4*(D71&gt;0)+01_Parametres!$B$5*(E71&gt;0)+01_Parametres!$B$6*(F71&gt;0))),IF(01_Parametres!$B$8=0,"",(01_Parametres!$B$4*D71+01_Parametres!$B$5*E71+01_Parametres!$B$6*F71)/01_Parametres!$B$8)))</x:f>
      </x:c>
      <x:c r="H71">
        <x:f>IFERROR(VLOOKUP(C71,02_Referentiels!$A$20:$D$99,3,FALSE),"")</x:f>
      </x:c>
      <x:c r="I71">
        <x:f>IFERROR(VLOOKUP(B71,02_Referentiels!$A$5:$C$16,2,FALSE),"")</x:f>
      </x:c>
      <x:c r="J71">
        <x:f>IF(A71="","",IF(OR(D71="",E71="",F71=""),1,IF(OR(D71&lt;0,D71&gt;3,E71&lt;0,E71&gt;3,F71&lt;0,F71&gt;3),1,0)))</x:f>
      </x:c>
      <x:c r="K71">
        <x:f>IF(A71="","",IF(G71="",1,0))</x:f>
      </x:c>
      <x:c r="L71">
        <x:f>IF(A71="","",IF(COUNTIFS($A$5:$A$2004,A71,$C$5:$C$2004,C71)&gt;1,1,0))</x:f>
      </x:c>
    </x:row>
    <x:row r="72">
      <x:c r="A72" s="8" t="n"/>
      <x:c r="B72" s="8" t="n"/>
      <x:c r="C72" s="8" t="n"/>
      <x:c r="D72" s="8" t="n"/>
      <x:c r="E72" s="8" t="n"/>
      <x:c r="F72" s="8" t="n"/>
      <x:c r="G72" s="7">
        <x:f>IF(A72="","",IF(01_Parametres!$B$11="Oui",IF((01_Parametres!$B$4*(D72&gt;0)+01_Parametres!$B$5*(E72&gt;0)+01_Parametres!$B$6*(F72&gt;0))=0,"",(01_Parametres!$B$4*IF(D72&gt;0,D72,0)+01_Parametres!$B$5*IF(E72&gt;0,E72,0)+01_Parametres!$B$6*IF(F72&gt;0,F72,0))/(01_Parametres!$B$4*(D72&gt;0)+01_Parametres!$B$5*(E72&gt;0)+01_Parametres!$B$6*(F72&gt;0))),IF(01_Parametres!$B$8=0,"",(01_Parametres!$B$4*D72+01_Parametres!$B$5*E72+01_Parametres!$B$6*F72)/01_Parametres!$B$8)))</x:f>
      </x:c>
      <x:c r="H72">
        <x:f>IFERROR(VLOOKUP(C72,02_Referentiels!$A$20:$D$99,3,FALSE),"")</x:f>
      </x:c>
      <x:c r="I72">
        <x:f>IFERROR(VLOOKUP(B72,02_Referentiels!$A$5:$C$16,2,FALSE),"")</x:f>
      </x:c>
      <x:c r="J72">
        <x:f>IF(A72="","",IF(OR(D72="",E72="",F72=""),1,IF(OR(D72&lt;0,D72&gt;3,E72&lt;0,E72&gt;3,F72&lt;0,F72&gt;3),1,0)))</x:f>
      </x:c>
      <x:c r="K72">
        <x:f>IF(A72="","",IF(G72="",1,0))</x:f>
      </x:c>
      <x:c r="L72">
        <x:f>IF(A72="","",IF(COUNTIFS($A$5:$A$2004,A72,$C$5:$C$2004,C72)&gt;1,1,0))</x:f>
      </x:c>
    </x:row>
    <x:row r="73">
      <x:c r="A73" s="8" t="n"/>
      <x:c r="B73" s="8" t="n"/>
      <x:c r="C73" s="8" t="n"/>
      <x:c r="D73" s="8" t="n"/>
      <x:c r="E73" s="8" t="n"/>
      <x:c r="F73" s="8" t="n"/>
      <x:c r="G73" s="7">
        <x:f>IF(A73="","",IF(01_Parametres!$B$11="Oui",IF((01_Parametres!$B$4*(D73&gt;0)+01_Parametres!$B$5*(E73&gt;0)+01_Parametres!$B$6*(F73&gt;0))=0,"",(01_Parametres!$B$4*IF(D73&gt;0,D73,0)+01_Parametres!$B$5*IF(E73&gt;0,E73,0)+01_Parametres!$B$6*IF(F73&gt;0,F73,0))/(01_Parametres!$B$4*(D73&gt;0)+01_Parametres!$B$5*(E73&gt;0)+01_Parametres!$B$6*(F73&gt;0))),IF(01_Parametres!$B$8=0,"",(01_Parametres!$B$4*D73+01_Parametres!$B$5*E73+01_Parametres!$B$6*F73)/01_Parametres!$B$8)))</x:f>
      </x:c>
      <x:c r="H73">
        <x:f>IFERROR(VLOOKUP(C73,02_Referentiels!$A$20:$D$99,3,FALSE),"")</x:f>
      </x:c>
      <x:c r="I73">
        <x:f>IFERROR(VLOOKUP(B73,02_Referentiels!$A$5:$C$16,2,FALSE),"")</x:f>
      </x:c>
      <x:c r="J73">
        <x:f>IF(A73="","",IF(OR(D73="",E73="",F73=""),1,IF(OR(D73&lt;0,D73&gt;3,E73&lt;0,E73&gt;3,F73&lt;0,F73&gt;3),1,0)))</x:f>
      </x:c>
      <x:c r="K73">
        <x:f>IF(A73="","",IF(G73="",1,0))</x:f>
      </x:c>
      <x:c r="L73">
        <x:f>IF(A73="","",IF(COUNTIFS($A$5:$A$2004,A73,$C$5:$C$2004,C73)&gt;1,1,0))</x:f>
      </x:c>
    </x:row>
    <x:row r="74">
      <x:c r="A74" s="8" t="n"/>
      <x:c r="B74" s="8" t="n"/>
      <x:c r="C74" s="8" t="n"/>
      <x:c r="D74" s="8" t="n"/>
      <x:c r="E74" s="8" t="n"/>
      <x:c r="F74" s="8" t="n"/>
      <x:c r="G74" s="7">
        <x:f>IF(A74="","",IF(01_Parametres!$B$11="Oui",IF((01_Parametres!$B$4*(D74&gt;0)+01_Parametres!$B$5*(E74&gt;0)+01_Parametres!$B$6*(F74&gt;0))=0,"",(01_Parametres!$B$4*IF(D74&gt;0,D74,0)+01_Parametres!$B$5*IF(E74&gt;0,E74,0)+01_Parametres!$B$6*IF(F74&gt;0,F74,0))/(01_Parametres!$B$4*(D74&gt;0)+01_Parametres!$B$5*(E74&gt;0)+01_Parametres!$B$6*(F74&gt;0))),IF(01_Parametres!$B$8=0,"",(01_Parametres!$B$4*D74+01_Parametres!$B$5*E74+01_Parametres!$B$6*F74)/01_Parametres!$B$8)))</x:f>
      </x:c>
      <x:c r="H74">
        <x:f>IFERROR(VLOOKUP(C74,02_Referentiels!$A$20:$D$99,3,FALSE),"")</x:f>
      </x:c>
      <x:c r="I74">
        <x:f>IFERROR(VLOOKUP(B74,02_Referentiels!$A$5:$C$16,2,FALSE),"")</x:f>
      </x:c>
      <x:c r="J74">
        <x:f>IF(A74="","",IF(OR(D74="",E74="",F74=""),1,IF(OR(D74&lt;0,D74&gt;3,E74&lt;0,E74&gt;3,F74&lt;0,F74&gt;3),1,0)))</x:f>
      </x:c>
      <x:c r="K74">
        <x:f>IF(A74="","",IF(G74="",1,0))</x:f>
      </x:c>
      <x:c r="L74">
        <x:f>IF(A74="","",IF(COUNTIFS($A$5:$A$2004,A74,$C$5:$C$2004,C74)&gt;1,1,0))</x:f>
      </x:c>
    </x:row>
    <x:row r="75">
      <x:c r="A75" s="8" t="n"/>
      <x:c r="B75" s="8" t="n"/>
      <x:c r="C75" s="8" t="n"/>
      <x:c r="D75" s="8" t="n"/>
      <x:c r="E75" s="8" t="n"/>
      <x:c r="F75" s="8" t="n"/>
      <x:c r="G75" s="7">
        <x:f>IF(A75="","",IF(01_Parametres!$B$11="Oui",IF((01_Parametres!$B$4*(D75&gt;0)+01_Parametres!$B$5*(E75&gt;0)+01_Parametres!$B$6*(F75&gt;0))=0,"",(01_Parametres!$B$4*IF(D75&gt;0,D75,0)+01_Parametres!$B$5*IF(E75&gt;0,E75,0)+01_Parametres!$B$6*IF(F75&gt;0,F75,0))/(01_Parametres!$B$4*(D75&gt;0)+01_Parametres!$B$5*(E75&gt;0)+01_Parametres!$B$6*(F75&gt;0))),IF(01_Parametres!$B$8=0,"",(01_Parametres!$B$4*D75+01_Parametres!$B$5*E75+01_Parametres!$B$6*F75)/01_Parametres!$B$8)))</x:f>
      </x:c>
      <x:c r="H75">
        <x:f>IFERROR(VLOOKUP(C75,02_Referentiels!$A$20:$D$99,3,FALSE),"")</x:f>
      </x:c>
      <x:c r="I75">
        <x:f>IFERROR(VLOOKUP(B75,02_Referentiels!$A$5:$C$16,2,FALSE),"")</x:f>
      </x:c>
      <x:c r="J75">
        <x:f>IF(A75="","",IF(OR(D75="",E75="",F75=""),1,IF(OR(D75&lt;0,D75&gt;3,E75&lt;0,E75&gt;3,F75&lt;0,F75&gt;3),1,0)))</x:f>
      </x:c>
      <x:c r="K75">
        <x:f>IF(A75="","",IF(G75="",1,0))</x:f>
      </x:c>
      <x:c r="L75">
        <x:f>IF(A75="","",IF(COUNTIFS($A$5:$A$2004,A75,$C$5:$C$2004,C75)&gt;1,1,0))</x:f>
      </x:c>
    </x:row>
    <x:row r="76">
      <x:c r="A76" s="8" t="n"/>
      <x:c r="B76" s="8" t="n"/>
      <x:c r="C76" s="8" t="n"/>
      <x:c r="D76" s="8" t="n"/>
      <x:c r="E76" s="8" t="n"/>
      <x:c r="F76" s="8" t="n"/>
      <x:c r="G76" s="7">
        <x:f>IF(A76="","",IF(01_Parametres!$B$11="Oui",IF((01_Parametres!$B$4*(D76&gt;0)+01_Parametres!$B$5*(E76&gt;0)+01_Parametres!$B$6*(F76&gt;0))=0,"",(01_Parametres!$B$4*IF(D76&gt;0,D76,0)+01_Parametres!$B$5*IF(E76&gt;0,E76,0)+01_Parametres!$B$6*IF(F76&gt;0,F76,0))/(01_Parametres!$B$4*(D76&gt;0)+01_Parametres!$B$5*(E76&gt;0)+01_Parametres!$B$6*(F76&gt;0))),IF(01_Parametres!$B$8=0,"",(01_Parametres!$B$4*D76+01_Parametres!$B$5*E76+01_Parametres!$B$6*F76)/01_Parametres!$B$8)))</x:f>
      </x:c>
      <x:c r="H76">
        <x:f>IFERROR(VLOOKUP(C76,02_Referentiels!$A$20:$D$99,3,FALSE),"")</x:f>
      </x:c>
      <x:c r="I76">
        <x:f>IFERROR(VLOOKUP(B76,02_Referentiels!$A$5:$C$16,2,FALSE),"")</x:f>
      </x:c>
      <x:c r="J76">
        <x:f>IF(A76="","",IF(OR(D76="",E76="",F76=""),1,IF(OR(D76&lt;0,D76&gt;3,E76&lt;0,E76&gt;3,F76&lt;0,F76&gt;3),1,0)))</x:f>
      </x:c>
      <x:c r="K76">
        <x:f>IF(A76="","",IF(G76="",1,0))</x:f>
      </x:c>
      <x:c r="L76">
        <x:f>IF(A76="","",IF(COUNTIFS($A$5:$A$2004,A76,$C$5:$C$2004,C76)&gt;1,1,0))</x:f>
      </x:c>
    </x:row>
    <x:row r="77">
      <x:c r="A77" s="8" t="n"/>
      <x:c r="B77" s="8" t="n"/>
      <x:c r="C77" s="8" t="n"/>
      <x:c r="D77" s="8" t="n"/>
      <x:c r="E77" s="8" t="n"/>
      <x:c r="F77" s="8" t="n"/>
      <x:c r="G77" s="7">
        <x:f>IF(A77="","",IF(01_Parametres!$B$11="Oui",IF((01_Parametres!$B$4*(D77&gt;0)+01_Parametres!$B$5*(E77&gt;0)+01_Parametres!$B$6*(F77&gt;0))=0,"",(01_Parametres!$B$4*IF(D77&gt;0,D77,0)+01_Parametres!$B$5*IF(E77&gt;0,E77,0)+01_Parametres!$B$6*IF(F77&gt;0,F77,0))/(01_Parametres!$B$4*(D77&gt;0)+01_Parametres!$B$5*(E77&gt;0)+01_Parametres!$B$6*(F77&gt;0))),IF(01_Parametres!$B$8=0,"",(01_Parametres!$B$4*D77+01_Parametres!$B$5*E77+01_Parametres!$B$6*F77)/01_Parametres!$B$8)))</x:f>
      </x:c>
      <x:c r="H77">
        <x:f>IFERROR(VLOOKUP(C77,02_Referentiels!$A$20:$D$99,3,FALSE),"")</x:f>
      </x:c>
      <x:c r="I77">
        <x:f>IFERROR(VLOOKUP(B77,02_Referentiels!$A$5:$C$16,2,FALSE),"")</x:f>
      </x:c>
      <x:c r="J77">
        <x:f>IF(A77="","",IF(OR(D77="",E77="",F77=""),1,IF(OR(D77&lt;0,D77&gt;3,E77&lt;0,E77&gt;3,F77&lt;0,F77&gt;3),1,0)))</x:f>
      </x:c>
      <x:c r="K77">
        <x:f>IF(A77="","",IF(G77="",1,0))</x:f>
      </x:c>
      <x:c r="L77">
        <x:f>IF(A77="","",IF(COUNTIFS($A$5:$A$2004,A77,$C$5:$C$2004,C77)&gt;1,1,0))</x:f>
      </x:c>
    </x:row>
    <x:row r="78">
      <x:c r="A78" s="8" t="n"/>
      <x:c r="B78" s="8" t="n"/>
      <x:c r="C78" s="8" t="n"/>
      <x:c r="D78" s="8" t="n"/>
      <x:c r="E78" s="8" t="n"/>
      <x:c r="F78" s="8" t="n"/>
      <x:c r="G78" s="7">
        <x:f>IF(A78="","",IF(01_Parametres!$B$11="Oui",IF((01_Parametres!$B$4*(D78&gt;0)+01_Parametres!$B$5*(E78&gt;0)+01_Parametres!$B$6*(F78&gt;0))=0,"",(01_Parametres!$B$4*IF(D78&gt;0,D78,0)+01_Parametres!$B$5*IF(E78&gt;0,E78,0)+01_Parametres!$B$6*IF(F78&gt;0,F78,0))/(01_Parametres!$B$4*(D78&gt;0)+01_Parametres!$B$5*(E78&gt;0)+01_Parametres!$B$6*(F78&gt;0))),IF(01_Parametres!$B$8=0,"",(01_Parametres!$B$4*D78+01_Parametres!$B$5*E78+01_Parametres!$B$6*F78)/01_Parametres!$B$8)))</x:f>
      </x:c>
      <x:c r="H78">
        <x:f>IFERROR(VLOOKUP(C78,02_Referentiels!$A$20:$D$99,3,FALSE),"")</x:f>
      </x:c>
      <x:c r="I78">
        <x:f>IFERROR(VLOOKUP(B78,02_Referentiels!$A$5:$C$16,2,FALSE),"")</x:f>
      </x:c>
      <x:c r="J78">
        <x:f>IF(A78="","",IF(OR(D78="",E78="",F78=""),1,IF(OR(D78&lt;0,D78&gt;3,E78&lt;0,E78&gt;3,F78&lt;0,F78&gt;3),1,0)))</x:f>
      </x:c>
      <x:c r="K78">
        <x:f>IF(A78="","",IF(G78="",1,0))</x:f>
      </x:c>
      <x:c r="L78">
        <x:f>IF(A78="","",IF(COUNTIFS($A$5:$A$2004,A78,$C$5:$C$2004,C78)&gt;1,1,0))</x:f>
      </x:c>
    </x:row>
    <x:row r="79">
      <x:c r="A79" s="8" t="n"/>
      <x:c r="B79" s="8" t="n"/>
      <x:c r="C79" s="8" t="n"/>
      <x:c r="D79" s="8" t="n"/>
      <x:c r="E79" s="8" t="n"/>
      <x:c r="F79" s="8" t="n"/>
      <x:c r="G79" s="7">
        <x:f>IF(A79="","",IF(01_Parametres!$B$11="Oui",IF((01_Parametres!$B$4*(D79&gt;0)+01_Parametres!$B$5*(E79&gt;0)+01_Parametres!$B$6*(F79&gt;0))=0,"",(01_Parametres!$B$4*IF(D79&gt;0,D79,0)+01_Parametres!$B$5*IF(E79&gt;0,E79,0)+01_Parametres!$B$6*IF(F79&gt;0,F79,0))/(01_Parametres!$B$4*(D79&gt;0)+01_Parametres!$B$5*(E79&gt;0)+01_Parametres!$B$6*(F79&gt;0))),IF(01_Parametres!$B$8=0,"",(01_Parametres!$B$4*D79+01_Parametres!$B$5*E79+01_Parametres!$B$6*F79)/01_Parametres!$B$8)))</x:f>
      </x:c>
      <x:c r="H79">
        <x:f>IFERROR(VLOOKUP(C79,02_Referentiels!$A$20:$D$99,3,FALSE),"")</x:f>
      </x:c>
      <x:c r="I79">
        <x:f>IFERROR(VLOOKUP(B79,02_Referentiels!$A$5:$C$16,2,FALSE),"")</x:f>
      </x:c>
      <x:c r="J79">
        <x:f>IF(A79="","",IF(OR(D79="",E79="",F79=""),1,IF(OR(D79&lt;0,D79&gt;3,E79&lt;0,E79&gt;3,F79&lt;0,F79&gt;3),1,0)))</x:f>
      </x:c>
      <x:c r="K79">
        <x:f>IF(A79="","",IF(G79="",1,0))</x:f>
      </x:c>
      <x:c r="L79">
        <x:f>IF(A79="","",IF(COUNTIFS($A$5:$A$2004,A79,$C$5:$C$2004,C79)&gt;1,1,0))</x:f>
      </x:c>
    </x:row>
    <x:row r="80">
      <x:c r="A80" s="8" t="n"/>
      <x:c r="B80" s="8" t="n"/>
      <x:c r="C80" s="8" t="n"/>
      <x:c r="D80" s="8" t="n"/>
      <x:c r="E80" s="8" t="n"/>
      <x:c r="F80" s="8" t="n"/>
      <x:c r="G80" s="7">
        <x:f>IF(A80="","",IF(01_Parametres!$B$11="Oui",IF((01_Parametres!$B$4*(D80&gt;0)+01_Parametres!$B$5*(E80&gt;0)+01_Parametres!$B$6*(F80&gt;0))=0,"",(01_Parametres!$B$4*IF(D80&gt;0,D80,0)+01_Parametres!$B$5*IF(E80&gt;0,E80,0)+01_Parametres!$B$6*IF(F80&gt;0,F80,0))/(01_Parametres!$B$4*(D80&gt;0)+01_Parametres!$B$5*(E80&gt;0)+01_Parametres!$B$6*(F80&gt;0))),IF(01_Parametres!$B$8=0,"",(01_Parametres!$B$4*D80+01_Parametres!$B$5*E80+01_Parametres!$B$6*F80)/01_Parametres!$B$8)))</x:f>
      </x:c>
      <x:c r="H80">
        <x:f>IFERROR(VLOOKUP(C80,02_Referentiels!$A$20:$D$99,3,FALSE),"")</x:f>
      </x:c>
      <x:c r="I80">
        <x:f>IFERROR(VLOOKUP(B80,02_Referentiels!$A$5:$C$16,2,FALSE),"")</x:f>
      </x:c>
      <x:c r="J80">
        <x:f>IF(A80="","",IF(OR(D80="",E80="",F80=""),1,IF(OR(D80&lt;0,D80&gt;3,E80&lt;0,E80&gt;3,F80&lt;0,F80&gt;3),1,0)))</x:f>
      </x:c>
      <x:c r="K80">
        <x:f>IF(A80="","",IF(G80="",1,0))</x:f>
      </x:c>
      <x:c r="L80">
        <x:f>IF(A80="","",IF(COUNTIFS($A$5:$A$2004,A80,$C$5:$C$2004,C80)&gt;1,1,0))</x:f>
      </x:c>
    </x:row>
    <x:row r="81">
      <x:c r="A81" s="8" t="n"/>
      <x:c r="B81" s="8" t="n"/>
      <x:c r="C81" s="8" t="n"/>
      <x:c r="D81" s="8" t="n"/>
      <x:c r="E81" s="8" t="n"/>
      <x:c r="F81" s="8" t="n"/>
      <x:c r="G81" s="7">
        <x:f>IF(A81="","",IF(01_Parametres!$B$11="Oui",IF((01_Parametres!$B$4*(D81&gt;0)+01_Parametres!$B$5*(E81&gt;0)+01_Parametres!$B$6*(F81&gt;0))=0,"",(01_Parametres!$B$4*IF(D81&gt;0,D81,0)+01_Parametres!$B$5*IF(E81&gt;0,E81,0)+01_Parametres!$B$6*IF(F81&gt;0,F81,0))/(01_Parametres!$B$4*(D81&gt;0)+01_Parametres!$B$5*(E81&gt;0)+01_Parametres!$B$6*(F81&gt;0))),IF(01_Parametres!$B$8=0,"",(01_Parametres!$B$4*D81+01_Parametres!$B$5*E81+01_Parametres!$B$6*F81)/01_Parametres!$B$8)))</x:f>
      </x:c>
      <x:c r="H81">
        <x:f>IFERROR(VLOOKUP(C81,02_Referentiels!$A$20:$D$99,3,FALSE),"")</x:f>
      </x:c>
      <x:c r="I81">
        <x:f>IFERROR(VLOOKUP(B81,02_Referentiels!$A$5:$C$16,2,FALSE),"")</x:f>
      </x:c>
      <x:c r="J81">
        <x:f>IF(A81="","",IF(OR(D81="",E81="",F81=""),1,IF(OR(D81&lt;0,D81&gt;3,E81&lt;0,E81&gt;3,F81&lt;0,F81&gt;3),1,0)))</x:f>
      </x:c>
      <x:c r="K81">
        <x:f>IF(A81="","",IF(G81="",1,0))</x:f>
      </x:c>
      <x:c r="L81">
        <x:f>IF(A81="","",IF(COUNTIFS($A$5:$A$2004,A81,$C$5:$C$2004,C81)&gt;1,1,0))</x:f>
      </x:c>
    </x:row>
    <x:row r="82">
      <x:c r="A82" s="8" t="n"/>
      <x:c r="B82" s="8" t="n"/>
      <x:c r="C82" s="8" t="n"/>
      <x:c r="D82" s="8" t="n"/>
      <x:c r="E82" s="8" t="n"/>
      <x:c r="F82" s="8" t="n"/>
      <x:c r="G82" s="7">
        <x:f>IF(A82="","",IF(01_Parametres!$B$11="Oui",IF((01_Parametres!$B$4*(D82&gt;0)+01_Parametres!$B$5*(E82&gt;0)+01_Parametres!$B$6*(F82&gt;0))=0,"",(01_Parametres!$B$4*IF(D82&gt;0,D82,0)+01_Parametres!$B$5*IF(E82&gt;0,E82,0)+01_Parametres!$B$6*IF(F82&gt;0,F82,0))/(01_Parametres!$B$4*(D82&gt;0)+01_Parametres!$B$5*(E82&gt;0)+01_Parametres!$B$6*(F82&gt;0))),IF(01_Parametres!$B$8=0,"",(01_Parametres!$B$4*D82+01_Parametres!$B$5*E82+01_Parametres!$B$6*F82)/01_Parametres!$B$8)))</x:f>
      </x:c>
      <x:c r="H82">
        <x:f>IFERROR(VLOOKUP(C82,02_Referentiels!$A$20:$D$99,3,FALSE),"")</x:f>
      </x:c>
      <x:c r="I82">
        <x:f>IFERROR(VLOOKUP(B82,02_Referentiels!$A$5:$C$16,2,FALSE),"")</x:f>
      </x:c>
      <x:c r="J82">
        <x:f>IF(A82="","",IF(OR(D82="",E82="",F82=""),1,IF(OR(D82&lt;0,D82&gt;3,E82&lt;0,E82&gt;3,F82&lt;0,F82&gt;3),1,0)))</x:f>
      </x:c>
      <x:c r="K82">
        <x:f>IF(A82="","",IF(G82="",1,0))</x:f>
      </x:c>
      <x:c r="L82">
        <x:f>IF(A82="","",IF(COUNTIFS($A$5:$A$2004,A82,$C$5:$C$2004,C82)&gt;1,1,0))</x:f>
      </x:c>
    </x:row>
    <x:row r="83">
      <x:c r="A83" s="8" t="n"/>
      <x:c r="B83" s="8" t="n"/>
      <x:c r="C83" s="8" t="n"/>
      <x:c r="D83" s="8" t="n"/>
      <x:c r="E83" s="8" t="n"/>
      <x:c r="F83" s="8" t="n"/>
      <x:c r="G83" s="7">
        <x:f>IF(A83="","",IF(01_Parametres!$B$11="Oui",IF((01_Parametres!$B$4*(D83&gt;0)+01_Parametres!$B$5*(E83&gt;0)+01_Parametres!$B$6*(F83&gt;0))=0,"",(01_Parametres!$B$4*IF(D83&gt;0,D83,0)+01_Parametres!$B$5*IF(E83&gt;0,E83,0)+01_Parametres!$B$6*IF(F83&gt;0,F83,0))/(01_Parametres!$B$4*(D83&gt;0)+01_Parametres!$B$5*(E83&gt;0)+01_Parametres!$B$6*(F83&gt;0))),IF(01_Parametres!$B$8=0,"",(01_Parametres!$B$4*D83+01_Parametres!$B$5*E83+01_Parametres!$B$6*F83)/01_Parametres!$B$8)))</x:f>
      </x:c>
      <x:c r="H83">
        <x:f>IFERROR(VLOOKUP(C83,02_Referentiels!$A$20:$D$99,3,FALSE),"")</x:f>
      </x:c>
      <x:c r="I83">
        <x:f>IFERROR(VLOOKUP(B83,02_Referentiels!$A$5:$C$16,2,FALSE),"")</x:f>
      </x:c>
      <x:c r="J83">
        <x:f>IF(A83="","",IF(OR(D83="",E83="",F83=""),1,IF(OR(D83&lt;0,D83&gt;3,E83&lt;0,E83&gt;3,F83&lt;0,F83&gt;3),1,0)))</x:f>
      </x:c>
      <x:c r="K83">
        <x:f>IF(A83="","",IF(G83="",1,0))</x:f>
      </x:c>
      <x:c r="L83">
        <x:f>IF(A83="","",IF(COUNTIFS($A$5:$A$2004,A83,$C$5:$C$2004,C83)&gt;1,1,0))</x:f>
      </x:c>
    </x:row>
    <x:row r="84">
      <x:c r="A84" s="8" t="n"/>
      <x:c r="B84" s="8" t="n"/>
      <x:c r="C84" s="8" t="n"/>
      <x:c r="D84" s="8" t="n"/>
      <x:c r="E84" s="8" t="n"/>
      <x:c r="F84" s="8" t="n"/>
      <x:c r="G84" s="7">
        <x:f>IF(A84="","",IF(01_Parametres!$B$11="Oui",IF((01_Parametres!$B$4*(D84&gt;0)+01_Parametres!$B$5*(E84&gt;0)+01_Parametres!$B$6*(F84&gt;0))=0,"",(01_Parametres!$B$4*IF(D84&gt;0,D84,0)+01_Parametres!$B$5*IF(E84&gt;0,E84,0)+01_Parametres!$B$6*IF(F84&gt;0,F84,0))/(01_Parametres!$B$4*(D84&gt;0)+01_Parametres!$B$5*(E84&gt;0)+01_Parametres!$B$6*(F84&gt;0))),IF(01_Parametres!$B$8=0,"",(01_Parametres!$B$4*D84+01_Parametres!$B$5*E84+01_Parametres!$B$6*F84)/01_Parametres!$B$8)))</x:f>
      </x:c>
      <x:c r="H84">
        <x:f>IFERROR(VLOOKUP(C84,02_Referentiels!$A$20:$D$99,3,FALSE),"")</x:f>
      </x:c>
      <x:c r="I84">
        <x:f>IFERROR(VLOOKUP(B84,02_Referentiels!$A$5:$C$16,2,FALSE),"")</x:f>
      </x:c>
      <x:c r="J84">
        <x:f>IF(A84="","",IF(OR(D84="",E84="",F84=""),1,IF(OR(D84&lt;0,D84&gt;3,E84&lt;0,E84&gt;3,F84&lt;0,F84&gt;3),1,0)))</x:f>
      </x:c>
      <x:c r="K84">
        <x:f>IF(A84="","",IF(G84="",1,0))</x:f>
      </x:c>
      <x:c r="L84">
        <x:f>IF(A84="","",IF(COUNTIFS($A$5:$A$2004,A84,$C$5:$C$2004,C84)&gt;1,1,0))</x:f>
      </x:c>
    </x:row>
    <x:row r="85">
      <x:c r="A85" s="8" t="n"/>
      <x:c r="B85" s="8" t="n"/>
      <x:c r="C85" s="8" t="n"/>
      <x:c r="D85" s="8" t="n"/>
      <x:c r="E85" s="8" t="n"/>
      <x:c r="F85" s="8" t="n"/>
      <x:c r="G85" s="7">
        <x:f>IF(A85="","",IF(01_Parametres!$B$11="Oui",IF((01_Parametres!$B$4*(D85&gt;0)+01_Parametres!$B$5*(E85&gt;0)+01_Parametres!$B$6*(F85&gt;0))=0,"",(01_Parametres!$B$4*IF(D85&gt;0,D85,0)+01_Parametres!$B$5*IF(E85&gt;0,E85,0)+01_Parametres!$B$6*IF(F85&gt;0,F85,0))/(01_Parametres!$B$4*(D85&gt;0)+01_Parametres!$B$5*(E85&gt;0)+01_Parametres!$B$6*(F85&gt;0))),IF(01_Parametres!$B$8=0,"",(01_Parametres!$B$4*D85+01_Parametres!$B$5*E85+01_Parametres!$B$6*F85)/01_Parametres!$B$8)))</x:f>
      </x:c>
      <x:c r="H85">
        <x:f>IFERROR(VLOOKUP(C85,02_Referentiels!$A$20:$D$99,3,FALSE),"")</x:f>
      </x:c>
      <x:c r="I85">
        <x:f>IFERROR(VLOOKUP(B85,02_Referentiels!$A$5:$C$16,2,FALSE),"")</x:f>
      </x:c>
      <x:c r="J85">
        <x:f>IF(A85="","",IF(OR(D85="",E85="",F85=""),1,IF(OR(D85&lt;0,D85&gt;3,E85&lt;0,E85&gt;3,F85&lt;0,F85&gt;3),1,0)))</x:f>
      </x:c>
      <x:c r="K85">
        <x:f>IF(A85="","",IF(G85="",1,0))</x:f>
      </x:c>
      <x:c r="L85">
        <x:f>IF(A85="","",IF(COUNTIFS($A$5:$A$2004,A85,$C$5:$C$2004,C85)&gt;1,1,0))</x:f>
      </x:c>
    </x:row>
    <x:row r="86">
      <x:c r="A86" s="8" t="n"/>
      <x:c r="B86" s="8" t="n"/>
      <x:c r="C86" s="8" t="n"/>
      <x:c r="D86" s="8" t="n"/>
      <x:c r="E86" s="8" t="n"/>
      <x:c r="F86" s="8" t="n"/>
      <x:c r="G86" s="7">
        <x:f>IF(A86="","",IF(01_Parametres!$B$11="Oui",IF((01_Parametres!$B$4*(D86&gt;0)+01_Parametres!$B$5*(E86&gt;0)+01_Parametres!$B$6*(F86&gt;0))=0,"",(01_Parametres!$B$4*IF(D86&gt;0,D86,0)+01_Parametres!$B$5*IF(E86&gt;0,E86,0)+01_Parametres!$B$6*IF(F86&gt;0,F86,0))/(01_Parametres!$B$4*(D86&gt;0)+01_Parametres!$B$5*(E86&gt;0)+01_Parametres!$B$6*(F86&gt;0))),IF(01_Parametres!$B$8=0,"",(01_Parametres!$B$4*D86+01_Parametres!$B$5*E86+01_Parametres!$B$6*F86)/01_Parametres!$B$8)))</x:f>
      </x:c>
      <x:c r="H86">
        <x:f>IFERROR(VLOOKUP(C86,02_Referentiels!$A$20:$D$99,3,FALSE),"")</x:f>
      </x:c>
      <x:c r="I86">
        <x:f>IFERROR(VLOOKUP(B86,02_Referentiels!$A$5:$C$16,2,FALSE),"")</x:f>
      </x:c>
      <x:c r="J86">
        <x:f>IF(A86="","",IF(OR(D86="",E86="",F86=""),1,IF(OR(D86&lt;0,D86&gt;3,E86&lt;0,E86&gt;3,F86&lt;0,F86&gt;3),1,0)))</x:f>
      </x:c>
      <x:c r="K86">
        <x:f>IF(A86="","",IF(G86="",1,0))</x:f>
      </x:c>
      <x:c r="L86">
        <x:f>IF(A86="","",IF(COUNTIFS($A$5:$A$2004,A86,$C$5:$C$2004,C86)&gt;1,1,0))</x:f>
      </x:c>
    </x:row>
    <x:row r="87">
      <x:c r="A87" s="8" t="n"/>
      <x:c r="B87" s="8" t="n"/>
      <x:c r="C87" s="8" t="n"/>
      <x:c r="D87" s="8" t="n"/>
      <x:c r="E87" s="8" t="n"/>
      <x:c r="F87" s="8" t="n"/>
      <x:c r="G87" s="7">
        <x:f>IF(A87="","",IF(01_Parametres!$B$11="Oui",IF((01_Parametres!$B$4*(D87&gt;0)+01_Parametres!$B$5*(E87&gt;0)+01_Parametres!$B$6*(F87&gt;0))=0,"",(01_Parametres!$B$4*IF(D87&gt;0,D87,0)+01_Parametres!$B$5*IF(E87&gt;0,E87,0)+01_Parametres!$B$6*IF(F87&gt;0,F87,0))/(01_Parametres!$B$4*(D87&gt;0)+01_Parametres!$B$5*(E87&gt;0)+01_Parametres!$B$6*(F87&gt;0))),IF(01_Parametres!$B$8=0,"",(01_Parametres!$B$4*D87+01_Parametres!$B$5*E87+01_Parametres!$B$6*F87)/01_Parametres!$B$8)))</x:f>
      </x:c>
      <x:c r="H87">
        <x:f>IFERROR(VLOOKUP(C87,02_Referentiels!$A$20:$D$99,3,FALSE),"")</x:f>
      </x:c>
      <x:c r="I87">
        <x:f>IFERROR(VLOOKUP(B87,02_Referentiels!$A$5:$C$16,2,FALSE),"")</x:f>
      </x:c>
      <x:c r="J87">
        <x:f>IF(A87="","",IF(OR(D87="",E87="",F87=""),1,IF(OR(D87&lt;0,D87&gt;3,E87&lt;0,E87&gt;3,F87&lt;0,F87&gt;3),1,0)))</x:f>
      </x:c>
      <x:c r="K87">
        <x:f>IF(A87="","",IF(G87="",1,0))</x:f>
      </x:c>
      <x:c r="L87">
        <x:f>IF(A87="","",IF(COUNTIFS($A$5:$A$2004,A87,$C$5:$C$2004,C87)&gt;1,1,0))</x:f>
      </x:c>
    </x:row>
    <x:row r="88">
      <x:c r="A88" s="8" t="n"/>
      <x:c r="B88" s="8" t="n"/>
      <x:c r="C88" s="8" t="n"/>
      <x:c r="D88" s="8" t="n"/>
      <x:c r="E88" s="8" t="n"/>
      <x:c r="F88" s="8" t="n"/>
      <x:c r="G88" s="7">
        <x:f>IF(A88="","",IF(01_Parametres!$B$11="Oui",IF((01_Parametres!$B$4*(D88&gt;0)+01_Parametres!$B$5*(E88&gt;0)+01_Parametres!$B$6*(F88&gt;0))=0,"",(01_Parametres!$B$4*IF(D88&gt;0,D88,0)+01_Parametres!$B$5*IF(E88&gt;0,E88,0)+01_Parametres!$B$6*IF(F88&gt;0,F88,0))/(01_Parametres!$B$4*(D88&gt;0)+01_Parametres!$B$5*(E88&gt;0)+01_Parametres!$B$6*(F88&gt;0))),IF(01_Parametres!$B$8=0,"",(01_Parametres!$B$4*D88+01_Parametres!$B$5*E88+01_Parametres!$B$6*F88)/01_Parametres!$B$8)))</x:f>
      </x:c>
      <x:c r="H88">
        <x:f>IFERROR(VLOOKUP(C88,02_Referentiels!$A$20:$D$99,3,FALSE),"")</x:f>
      </x:c>
      <x:c r="I88">
        <x:f>IFERROR(VLOOKUP(B88,02_Referentiels!$A$5:$C$16,2,FALSE),"")</x:f>
      </x:c>
      <x:c r="J88">
        <x:f>IF(A88="","",IF(OR(D88="",E88="",F88=""),1,IF(OR(D88&lt;0,D88&gt;3,E88&lt;0,E88&gt;3,F88&lt;0,F88&gt;3),1,0)))</x:f>
      </x:c>
      <x:c r="K88">
        <x:f>IF(A88="","",IF(G88="",1,0))</x:f>
      </x:c>
      <x:c r="L88">
        <x:f>IF(A88="","",IF(COUNTIFS($A$5:$A$2004,A88,$C$5:$C$2004,C88)&gt;1,1,0))</x:f>
      </x:c>
    </x:row>
    <x:row r="89">
      <x:c r="A89" s="8" t="n"/>
      <x:c r="B89" s="8" t="n"/>
      <x:c r="C89" s="8" t="n"/>
      <x:c r="D89" s="8" t="n"/>
      <x:c r="E89" s="8" t="n"/>
      <x:c r="F89" s="8" t="n"/>
      <x:c r="G89" s="7">
        <x:f>IF(A89="","",IF(01_Parametres!$B$11="Oui",IF((01_Parametres!$B$4*(D89&gt;0)+01_Parametres!$B$5*(E89&gt;0)+01_Parametres!$B$6*(F89&gt;0))=0,"",(01_Parametres!$B$4*IF(D89&gt;0,D89,0)+01_Parametres!$B$5*IF(E89&gt;0,E89,0)+01_Parametres!$B$6*IF(F89&gt;0,F89,0))/(01_Parametres!$B$4*(D89&gt;0)+01_Parametres!$B$5*(E89&gt;0)+01_Parametres!$B$6*(F89&gt;0))),IF(01_Parametres!$B$8=0,"",(01_Parametres!$B$4*D89+01_Parametres!$B$5*E89+01_Parametres!$B$6*F89)/01_Parametres!$B$8)))</x:f>
      </x:c>
      <x:c r="H89">
        <x:f>IFERROR(VLOOKUP(C89,02_Referentiels!$A$20:$D$99,3,FALSE),"")</x:f>
      </x:c>
      <x:c r="I89">
        <x:f>IFERROR(VLOOKUP(B89,02_Referentiels!$A$5:$C$16,2,FALSE),"")</x:f>
      </x:c>
      <x:c r="J89">
        <x:f>IF(A89="","",IF(OR(D89="",E89="",F89=""),1,IF(OR(D89&lt;0,D89&gt;3,E89&lt;0,E89&gt;3,F89&lt;0,F89&gt;3),1,0)))</x:f>
      </x:c>
      <x:c r="K89">
        <x:f>IF(A89="","",IF(G89="",1,0))</x:f>
      </x:c>
      <x:c r="L89">
        <x:f>IF(A89="","",IF(COUNTIFS($A$5:$A$2004,A89,$C$5:$C$2004,C89)&gt;1,1,0))</x:f>
      </x:c>
    </x:row>
    <x:row r="90">
      <x:c r="A90" s="8" t="n"/>
      <x:c r="B90" s="8" t="n"/>
      <x:c r="C90" s="8" t="n"/>
      <x:c r="D90" s="8" t="n"/>
      <x:c r="E90" s="8" t="n"/>
      <x:c r="F90" s="8" t="n"/>
      <x:c r="G90" s="7">
        <x:f>IF(A90="","",IF(01_Parametres!$B$11="Oui",IF((01_Parametres!$B$4*(D90&gt;0)+01_Parametres!$B$5*(E90&gt;0)+01_Parametres!$B$6*(F90&gt;0))=0,"",(01_Parametres!$B$4*IF(D90&gt;0,D90,0)+01_Parametres!$B$5*IF(E90&gt;0,E90,0)+01_Parametres!$B$6*IF(F90&gt;0,F90,0))/(01_Parametres!$B$4*(D90&gt;0)+01_Parametres!$B$5*(E90&gt;0)+01_Parametres!$B$6*(F90&gt;0))),IF(01_Parametres!$B$8=0,"",(01_Parametres!$B$4*D90+01_Parametres!$B$5*E90+01_Parametres!$B$6*F90)/01_Parametres!$B$8)))</x:f>
      </x:c>
      <x:c r="H90">
        <x:f>IFERROR(VLOOKUP(C90,02_Referentiels!$A$20:$D$99,3,FALSE),"")</x:f>
      </x:c>
      <x:c r="I90">
        <x:f>IFERROR(VLOOKUP(B90,02_Referentiels!$A$5:$C$16,2,FALSE),"")</x:f>
      </x:c>
      <x:c r="J90">
        <x:f>IF(A90="","",IF(OR(D90="",E90="",F90=""),1,IF(OR(D90&lt;0,D90&gt;3,E90&lt;0,E90&gt;3,F90&lt;0,F90&gt;3),1,0)))</x:f>
      </x:c>
      <x:c r="K90">
        <x:f>IF(A90="","",IF(G90="",1,0))</x:f>
      </x:c>
      <x:c r="L90">
        <x:f>IF(A90="","",IF(COUNTIFS($A$5:$A$2004,A90,$C$5:$C$2004,C90)&gt;1,1,0))</x:f>
      </x:c>
    </x:row>
    <x:row r="91">
      <x:c r="A91" s="8" t="n"/>
      <x:c r="B91" s="8" t="n"/>
      <x:c r="C91" s="8" t="n"/>
      <x:c r="D91" s="8" t="n"/>
      <x:c r="E91" s="8" t="n"/>
      <x:c r="F91" s="8" t="n"/>
      <x:c r="G91" s="7">
        <x:f>IF(A91="","",IF(01_Parametres!$B$11="Oui",IF((01_Parametres!$B$4*(D91&gt;0)+01_Parametres!$B$5*(E91&gt;0)+01_Parametres!$B$6*(F91&gt;0))=0,"",(01_Parametres!$B$4*IF(D91&gt;0,D91,0)+01_Parametres!$B$5*IF(E91&gt;0,E91,0)+01_Parametres!$B$6*IF(F91&gt;0,F91,0))/(01_Parametres!$B$4*(D91&gt;0)+01_Parametres!$B$5*(E91&gt;0)+01_Parametres!$B$6*(F91&gt;0))),IF(01_Parametres!$B$8=0,"",(01_Parametres!$B$4*D91+01_Parametres!$B$5*E91+01_Parametres!$B$6*F91)/01_Parametres!$B$8)))</x:f>
      </x:c>
      <x:c r="H91">
        <x:f>IFERROR(VLOOKUP(C91,02_Referentiels!$A$20:$D$99,3,FALSE),"")</x:f>
      </x:c>
      <x:c r="I91">
        <x:f>IFERROR(VLOOKUP(B91,02_Referentiels!$A$5:$C$16,2,FALSE),"")</x:f>
      </x:c>
      <x:c r="J91">
        <x:f>IF(A91="","",IF(OR(D91="",E91="",F91=""),1,IF(OR(D91&lt;0,D91&gt;3,E91&lt;0,E91&gt;3,F91&lt;0,F91&gt;3),1,0)))</x:f>
      </x:c>
      <x:c r="K91">
        <x:f>IF(A91="","",IF(G91="",1,0))</x:f>
      </x:c>
      <x:c r="L91">
        <x:f>IF(A91="","",IF(COUNTIFS($A$5:$A$2004,A91,$C$5:$C$2004,C91)&gt;1,1,0))</x:f>
      </x:c>
    </x:row>
    <x:row r="92">
      <x:c r="A92" s="8" t="n"/>
      <x:c r="B92" s="8" t="n"/>
      <x:c r="C92" s="8" t="n"/>
      <x:c r="D92" s="8" t="n"/>
      <x:c r="E92" s="8" t="n"/>
      <x:c r="F92" s="8" t="n"/>
      <x:c r="G92" s="7">
        <x:f>IF(A92="","",IF(01_Parametres!$B$11="Oui",IF((01_Parametres!$B$4*(D92&gt;0)+01_Parametres!$B$5*(E92&gt;0)+01_Parametres!$B$6*(F92&gt;0))=0,"",(01_Parametres!$B$4*IF(D92&gt;0,D92,0)+01_Parametres!$B$5*IF(E92&gt;0,E92,0)+01_Parametres!$B$6*IF(F92&gt;0,F92,0))/(01_Parametres!$B$4*(D92&gt;0)+01_Parametres!$B$5*(E92&gt;0)+01_Parametres!$B$6*(F92&gt;0))),IF(01_Parametres!$B$8=0,"",(01_Parametres!$B$4*D92+01_Parametres!$B$5*E92+01_Parametres!$B$6*F92)/01_Parametres!$B$8)))</x:f>
      </x:c>
      <x:c r="H92">
        <x:f>IFERROR(VLOOKUP(C92,02_Referentiels!$A$20:$D$99,3,FALSE),"")</x:f>
      </x:c>
      <x:c r="I92">
        <x:f>IFERROR(VLOOKUP(B92,02_Referentiels!$A$5:$C$16,2,FALSE),"")</x:f>
      </x:c>
      <x:c r="J92">
        <x:f>IF(A92="","",IF(OR(D92="",E92="",F92=""),1,IF(OR(D92&lt;0,D92&gt;3,E92&lt;0,E92&gt;3,F92&lt;0,F92&gt;3),1,0)))</x:f>
      </x:c>
      <x:c r="K92">
        <x:f>IF(A92="","",IF(G92="",1,0))</x:f>
      </x:c>
      <x:c r="L92">
        <x:f>IF(A92="","",IF(COUNTIFS($A$5:$A$2004,A92,$C$5:$C$2004,C92)&gt;1,1,0))</x:f>
      </x:c>
    </x:row>
    <x:row r="93">
      <x:c r="A93" s="8" t="n"/>
      <x:c r="B93" s="8" t="n"/>
      <x:c r="C93" s="8" t="n"/>
      <x:c r="D93" s="8" t="n"/>
      <x:c r="E93" s="8" t="n"/>
      <x:c r="F93" s="8" t="n"/>
      <x:c r="G93" s="7">
        <x:f>IF(A93="","",IF(01_Parametres!$B$11="Oui",IF((01_Parametres!$B$4*(D93&gt;0)+01_Parametres!$B$5*(E93&gt;0)+01_Parametres!$B$6*(F93&gt;0))=0,"",(01_Parametres!$B$4*IF(D93&gt;0,D93,0)+01_Parametres!$B$5*IF(E93&gt;0,E93,0)+01_Parametres!$B$6*IF(F93&gt;0,F93,0))/(01_Parametres!$B$4*(D93&gt;0)+01_Parametres!$B$5*(E93&gt;0)+01_Parametres!$B$6*(F93&gt;0))),IF(01_Parametres!$B$8=0,"",(01_Parametres!$B$4*D93+01_Parametres!$B$5*E93+01_Parametres!$B$6*F93)/01_Parametres!$B$8)))</x:f>
      </x:c>
      <x:c r="H93">
        <x:f>IFERROR(VLOOKUP(C93,02_Referentiels!$A$20:$D$99,3,FALSE),"")</x:f>
      </x:c>
      <x:c r="I93">
        <x:f>IFERROR(VLOOKUP(B93,02_Referentiels!$A$5:$C$16,2,FALSE),"")</x:f>
      </x:c>
      <x:c r="J93">
        <x:f>IF(A93="","",IF(OR(D93="",E93="",F93=""),1,IF(OR(D93&lt;0,D93&gt;3,E93&lt;0,E93&gt;3,F93&lt;0,F93&gt;3),1,0)))</x:f>
      </x:c>
      <x:c r="K93">
        <x:f>IF(A93="","",IF(G93="",1,0))</x:f>
      </x:c>
      <x:c r="L93">
        <x:f>IF(A93="","",IF(COUNTIFS($A$5:$A$2004,A93,$C$5:$C$2004,C93)&gt;1,1,0))</x:f>
      </x:c>
    </x:row>
    <x:row r="94">
      <x:c r="A94" s="8" t="n"/>
      <x:c r="B94" s="8" t="n"/>
      <x:c r="C94" s="8" t="n"/>
      <x:c r="D94" s="8" t="n"/>
      <x:c r="E94" s="8" t="n"/>
      <x:c r="F94" s="8" t="n"/>
      <x:c r="G94" s="7">
        <x:f>IF(A94="","",IF(01_Parametres!$B$11="Oui",IF((01_Parametres!$B$4*(D94&gt;0)+01_Parametres!$B$5*(E94&gt;0)+01_Parametres!$B$6*(F94&gt;0))=0,"",(01_Parametres!$B$4*IF(D94&gt;0,D94,0)+01_Parametres!$B$5*IF(E94&gt;0,E94,0)+01_Parametres!$B$6*IF(F94&gt;0,F94,0))/(01_Parametres!$B$4*(D94&gt;0)+01_Parametres!$B$5*(E94&gt;0)+01_Parametres!$B$6*(F94&gt;0))),IF(01_Parametres!$B$8=0,"",(01_Parametres!$B$4*D94+01_Parametres!$B$5*E94+01_Parametres!$B$6*F94)/01_Parametres!$B$8)))</x:f>
      </x:c>
      <x:c r="H94">
        <x:f>IFERROR(VLOOKUP(C94,02_Referentiels!$A$20:$D$99,3,FALSE),"")</x:f>
      </x:c>
      <x:c r="I94">
        <x:f>IFERROR(VLOOKUP(B94,02_Referentiels!$A$5:$C$16,2,FALSE),"")</x:f>
      </x:c>
      <x:c r="J94">
        <x:f>IF(A94="","",IF(OR(D94="",E94="",F94=""),1,IF(OR(D94&lt;0,D94&gt;3,E94&lt;0,E94&gt;3,F94&lt;0,F94&gt;3),1,0)))</x:f>
      </x:c>
      <x:c r="K94">
        <x:f>IF(A94="","",IF(G94="",1,0))</x:f>
      </x:c>
      <x:c r="L94">
        <x:f>IF(A94="","",IF(COUNTIFS($A$5:$A$2004,A94,$C$5:$C$2004,C94)&gt;1,1,0))</x:f>
      </x:c>
    </x:row>
    <x:row r="95">
      <x:c r="A95" s="8" t="n"/>
      <x:c r="B95" s="8" t="n"/>
      <x:c r="C95" s="8" t="n"/>
      <x:c r="D95" s="8" t="n"/>
      <x:c r="E95" s="8" t="n"/>
      <x:c r="F95" s="8" t="n"/>
      <x:c r="G95" s="7">
        <x:f>IF(A95="","",IF(01_Parametres!$B$11="Oui",IF((01_Parametres!$B$4*(D95&gt;0)+01_Parametres!$B$5*(E95&gt;0)+01_Parametres!$B$6*(F95&gt;0))=0,"",(01_Parametres!$B$4*IF(D95&gt;0,D95,0)+01_Parametres!$B$5*IF(E95&gt;0,E95,0)+01_Parametres!$B$6*IF(F95&gt;0,F95,0))/(01_Parametres!$B$4*(D95&gt;0)+01_Parametres!$B$5*(E95&gt;0)+01_Parametres!$B$6*(F95&gt;0))),IF(01_Parametres!$B$8=0,"",(01_Parametres!$B$4*D95+01_Parametres!$B$5*E95+01_Parametres!$B$6*F95)/01_Parametres!$B$8)))</x:f>
      </x:c>
      <x:c r="H95">
        <x:f>IFERROR(VLOOKUP(C95,02_Referentiels!$A$20:$D$99,3,FALSE),"")</x:f>
      </x:c>
      <x:c r="I95">
        <x:f>IFERROR(VLOOKUP(B95,02_Referentiels!$A$5:$C$16,2,FALSE),"")</x:f>
      </x:c>
      <x:c r="J95">
        <x:f>IF(A95="","",IF(OR(D95="",E95="",F95=""),1,IF(OR(D95&lt;0,D95&gt;3,E95&lt;0,E95&gt;3,F95&lt;0,F95&gt;3),1,0)))</x:f>
      </x:c>
      <x:c r="K95">
        <x:f>IF(A95="","",IF(G95="",1,0))</x:f>
      </x:c>
      <x:c r="L95">
        <x:f>IF(A95="","",IF(COUNTIFS($A$5:$A$2004,A95,$C$5:$C$2004,C95)&gt;1,1,0))</x:f>
      </x:c>
    </x:row>
    <x:row r="96">
      <x:c r="A96" s="8" t="n"/>
      <x:c r="B96" s="8" t="n"/>
      <x:c r="C96" s="8" t="n"/>
      <x:c r="D96" s="8" t="n"/>
      <x:c r="E96" s="8" t="n"/>
      <x:c r="F96" s="8" t="n"/>
      <x:c r="G96" s="7">
        <x:f>IF(A96="","",IF(01_Parametres!$B$11="Oui",IF((01_Parametres!$B$4*(D96&gt;0)+01_Parametres!$B$5*(E96&gt;0)+01_Parametres!$B$6*(F96&gt;0))=0,"",(01_Parametres!$B$4*IF(D96&gt;0,D96,0)+01_Parametres!$B$5*IF(E96&gt;0,E96,0)+01_Parametres!$B$6*IF(F96&gt;0,F96,0))/(01_Parametres!$B$4*(D96&gt;0)+01_Parametres!$B$5*(E96&gt;0)+01_Parametres!$B$6*(F96&gt;0))),IF(01_Parametres!$B$8=0,"",(01_Parametres!$B$4*D96+01_Parametres!$B$5*E96+01_Parametres!$B$6*F96)/01_Parametres!$B$8)))</x:f>
      </x:c>
      <x:c r="H96">
        <x:f>IFERROR(VLOOKUP(C96,02_Referentiels!$A$20:$D$99,3,FALSE),"")</x:f>
      </x:c>
      <x:c r="I96">
        <x:f>IFERROR(VLOOKUP(B96,02_Referentiels!$A$5:$C$16,2,FALSE),"")</x:f>
      </x:c>
      <x:c r="J96">
        <x:f>IF(A96="","",IF(OR(D96="",E96="",F96=""),1,IF(OR(D96&lt;0,D96&gt;3,E96&lt;0,E96&gt;3,F96&lt;0,F96&gt;3),1,0)))</x:f>
      </x:c>
      <x:c r="K96">
        <x:f>IF(A96="","",IF(G96="",1,0))</x:f>
      </x:c>
      <x:c r="L96">
        <x:f>IF(A96="","",IF(COUNTIFS($A$5:$A$2004,A96,$C$5:$C$2004,C96)&gt;1,1,0))</x:f>
      </x:c>
    </x:row>
    <x:row r="97">
      <x:c r="A97" s="8" t="n"/>
      <x:c r="B97" s="8" t="n"/>
      <x:c r="C97" s="8" t="n"/>
      <x:c r="D97" s="8" t="n"/>
      <x:c r="E97" s="8" t="n"/>
      <x:c r="F97" s="8" t="n"/>
      <x:c r="G97" s="7">
        <x:f>IF(A97="","",IF(01_Parametres!$B$11="Oui",IF((01_Parametres!$B$4*(D97&gt;0)+01_Parametres!$B$5*(E97&gt;0)+01_Parametres!$B$6*(F97&gt;0))=0,"",(01_Parametres!$B$4*IF(D97&gt;0,D97,0)+01_Parametres!$B$5*IF(E97&gt;0,E97,0)+01_Parametres!$B$6*IF(F97&gt;0,F97,0))/(01_Parametres!$B$4*(D97&gt;0)+01_Parametres!$B$5*(E97&gt;0)+01_Parametres!$B$6*(F97&gt;0))),IF(01_Parametres!$B$8=0,"",(01_Parametres!$B$4*D97+01_Parametres!$B$5*E97+01_Parametres!$B$6*F97)/01_Parametres!$B$8)))</x:f>
      </x:c>
      <x:c r="H97">
        <x:f>IFERROR(VLOOKUP(C97,02_Referentiels!$A$20:$D$99,3,FALSE),"")</x:f>
      </x:c>
      <x:c r="I97">
        <x:f>IFERROR(VLOOKUP(B97,02_Referentiels!$A$5:$C$16,2,FALSE),"")</x:f>
      </x:c>
      <x:c r="J97">
        <x:f>IF(A97="","",IF(OR(D97="",E97="",F97=""),1,IF(OR(D97&lt;0,D97&gt;3,E97&lt;0,E97&gt;3,F97&lt;0,F97&gt;3),1,0)))</x:f>
      </x:c>
      <x:c r="K97">
        <x:f>IF(A97="","",IF(G97="",1,0))</x:f>
      </x:c>
      <x:c r="L97">
        <x:f>IF(A97="","",IF(COUNTIFS($A$5:$A$2004,A97,$C$5:$C$2004,C97)&gt;1,1,0))</x:f>
      </x:c>
    </x:row>
    <x:row r="98">
      <x:c r="A98" s="8" t="n"/>
      <x:c r="B98" s="8" t="n"/>
      <x:c r="C98" s="8" t="n"/>
      <x:c r="D98" s="8" t="n"/>
      <x:c r="E98" s="8" t="n"/>
      <x:c r="F98" s="8" t="n"/>
      <x:c r="G98" s="7">
        <x:f>IF(A98="","",IF(01_Parametres!$B$11="Oui",IF((01_Parametres!$B$4*(D98&gt;0)+01_Parametres!$B$5*(E98&gt;0)+01_Parametres!$B$6*(F98&gt;0))=0,"",(01_Parametres!$B$4*IF(D98&gt;0,D98,0)+01_Parametres!$B$5*IF(E98&gt;0,E98,0)+01_Parametres!$B$6*IF(F98&gt;0,F98,0))/(01_Parametres!$B$4*(D98&gt;0)+01_Parametres!$B$5*(E98&gt;0)+01_Parametres!$B$6*(F98&gt;0))),IF(01_Parametres!$B$8=0,"",(01_Parametres!$B$4*D98+01_Parametres!$B$5*E98+01_Parametres!$B$6*F98)/01_Parametres!$B$8)))</x:f>
      </x:c>
      <x:c r="H98">
        <x:f>IFERROR(VLOOKUP(C98,02_Referentiels!$A$20:$D$99,3,FALSE),"")</x:f>
      </x:c>
      <x:c r="I98">
        <x:f>IFERROR(VLOOKUP(B98,02_Referentiels!$A$5:$C$16,2,FALSE),"")</x:f>
      </x:c>
      <x:c r="J98">
        <x:f>IF(A98="","",IF(OR(D98="",E98="",F98=""),1,IF(OR(D98&lt;0,D98&gt;3,E98&lt;0,E98&gt;3,F98&lt;0,F98&gt;3),1,0)))</x:f>
      </x:c>
      <x:c r="K98">
        <x:f>IF(A98="","",IF(G98="",1,0))</x:f>
      </x:c>
      <x:c r="L98">
        <x:f>IF(A98="","",IF(COUNTIFS($A$5:$A$2004,A98,$C$5:$C$2004,C98)&gt;1,1,0))</x:f>
      </x:c>
    </x:row>
    <x:row r="99">
      <x:c r="A99" s="8" t="n"/>
      <x:c r="B99" s="8" t="n"/>
      <x:c r="C99" s="8" t="n"/>
      <x:c r="D99" s="8" t="n"/>
      <x:c r="E99" s="8" t="n"/>
      <x:c r="F99" s="8" t="n"/>
      <x:c r="G99" s="7">
        <x:f>IF(A99="","",IF(01_Parametres!$B$11="Oui",IF((01_Parametres!$B$4*(D99&gt;0)+01_Parametres!$B$5*(E99&gt;0)+01_Parametres!$B$6*(F99&gt;0))=0,"",(01_Parametres!$B$4*IF(D99&gt;0,D99,0)+01_Parametres!$B$5*IF(E99&gt;0,E99,0)+01_Parametres!$B$6*IF(F99&gt;0,F99,0))/(01_Parametres!$B$4*(D99&gt;0)+01_Parametres!$B$5*(E99&gt;0)+01_Parametres!$B$6*(F99&gt;0))),IF(01_Parametres!$B$8=0,"",(01_Parametres!$B$4*D99+01_Parametres!$B$5*E99+01_Parametres!$B$6*F99)/01_Parametres!$B$8)))</x:f>
      </x:c>
      <x:c r="H99">
        <x:f>IFERROR(VLOOKUP(C99,02_Referentiels!$A$20:$D$99,3,FALSE),"")</x:f>
      </x:c>
      <x:c r="I99">
        <x:f>IFERROR(VLOOKUP(B99,02_Referentiels!$A$5:$C$16,2,FALSE),"")</x:f>
      </x:c>
      <x:c r="J99">
        <x:f>IF(A99="","",IF(OR(D99="",E99="",F99=""),1,IF(OR(D99&lt;0,D99&gt;3,E99&lt;0,E99&gt;3,F99&lt;0,F99&gt;3),1,0)))</x:f>
      </x:c>
      <x:c r="K99">
        <x:f>IF(A99="","",IF(G99="",1,0))</x:f>
      </x:c>
      <x:c r="L99">
        <x:f>IF(A99="","",IF(COUNTIFS($A$5:$A$2004,A99,$C$5:$C$2004,C99)&gt;1,1,0))</x:f>
      </x:c>
    </x:row>
    <x:row r="100">
      <x:c r="A100" s="8" t="n"/>
      <x:c r="B100" s="8" t="n"/>
      <x:c r="C100" s="8" t="n"/>
      <x:c r="D100" s="8" t="n"/>
      <x:c r="E100" s="8" t="n"/>
      <x:c r="F100" s="8" t="n"/>
      <x:c r="G100" s="7">
        <x:f>IF(A100="","",IF(01_Parametres!$B$11="Oui",IF((01_Parametres!$B$4*(D100&gt;0)+01_Parametres!$B$5*(E100&gt;0)+01_Parametres!$B$6*(F100&gt;0))=0,"",(01_Parametres!$B$4*IF(D100&gt;0,D100,0)+01_Parametres!$B$5*IF(E100&gt;0,E100,0)+01_Parametres!$B$6*IF(F100&gt;0,F100,0))/(01_Parametres!$B$4*(D100&gt;0)+01_Parametres!$B$5*(E100&gt;0)+01_Parametres!$B$6*(F100&gt;0))),IF(01_Parametres!$B$8=0,"",(01_Parametres!$B$4*D100+01_Parametres!$B$5*E100+01_Parametres!$B$6*F100)/01_Parametres!$B$8)))</x:f>
      </x:c>
      <x:c r="H100">
        <x:f>IFERROR(VLOOKUP(C100,02_Referentiels!$A$20:$D$99,3,FALSE),"")</x:f>
      </x:c>
      <x:c r="I100">
        <x:f>IFERROR(VLOOKUP(B100,02_Referentiels!$A$5:$C$16,2,FALSE),"")</x:f>
      </x:c>
      <x:c r="J100">
        <x:f>IF(A100="","",IF(OR(D100="",E100="",F100=""),1,IF(OR(D100&lt;0,D100&gt;3,E100&lt;0,E100&gt;3,F100&lt;0,F100&gt;3),1,0)))</x:f>
      </x:c>
      <x:c r="K100">
        <x:f>IF(A100="","",IF(G100="",1,0))</x:f>
      </x:c>
      <x:c r="L100">
        <x:f>IF(A100="","",IF(COUNTIFS($A$5:$A$2004,A100,$C$5:$C$2004,C100)&gt;1,1,0))</x:f>
      </x:c>
    </x:row>
    <x:row r="101">
      <x:c r="A101" s="8" t="n"/>
      <x:c r="B101" s="8" t="n"/>
      <x:c r="C101" s="8" t="n"/>
      <x:c r="D101" s="8" t="n"/>
      <x:c r="E101" s="8" t="n"/>
      <x:c r="F101" s="8" t="n"/>
      <x:c r="G101" s="7">
        <x:f>IF(A101="","",IF(01_Parametres!$B$11="Oui",IF((01_Parametres!$B$4*(D101&gt;0)+01_Parametres!$B$5*(E101&gt;0)+01_Parametres!$B$6*(F101&gt;0))=0,"",(01_Parametres!$B$4*IF(D101&gt;0,D101,0)+01_Parametres!$B$5*IF(E101&gt;0,E101,0)+01_Parametres!$B$6*IF(F101&gt;0,F101,0))/(01_Parametres!$B$4*(D101&gt;0)+01_Parametres!$B$5*(E101&gt;0)+01_Parametres!$B$6*(F101&gt;0))),IF(01_Parametres!$B$8=0,"",(01_Parametres!$B$4*D101+01_Parametres!$B$5*E101+01_Parametres!$B$6*F101)/01_Parametres!$B$8)))</x:f>
      </x:c>
      <x:c r="H101">
        <x:f>IFERROR(VLOOKUP(C101,02_Referentiels!$A$20:$D$99,3,FALSE),"")</x:f>
      </x:c>
      <x:c r="I101">
        <x:f>IFERROR(VLOOKUP(B101,02_Referentiels!$A$5:$C$16,2,FALSE),"")</x:f>
      </x:c>
      <x:c r="J101">
        <x:f>IF(A101="","",IF(OR(D101="",E101="",F101=""),1,IF(OR(D101&lt;0,D101&gt;3,E101&lt;0,E101&gt;3,F101&lt;0,F101&gt;3),1,0)))</x:f>
      </x:c>
      <x:c r="K101">
        <x:f>IF(A101="","",IF(G101="",1,0))</x:f>
      </x:c>
      <x:c r="L101">
        <x:f>IF(A101="","",IF(COUNTIFS($A$5:$A$2004,A101,$C$5:$C$2004,C101)&gt;1,1,0))</x:f>
      </x:c>
    </x:row>
    <x:row r="102">
      <x:c r="A102" s="8" t="n"/>
      <x:c r="B102" s="8" t="n"/>
      <x:c r="C102" s="8" t="n"/>
      <x:c r="D102" s="8" t="n"/>
      <x:c r="E102" s="8" t="n"/>
      <x:c r="F102" s="8" t="n"/>
      <x:c r="G102" s="7">
        <x:f>IF(A102="","",IF(01_Parametres!$B$11="Oui",IF((01_Parametres!$B$4*(D102&gt;0)+01_Parametres!$B$5*(E102&gt;0)+01_Parametres!$B$6*(F102&gt;0))=0,"",(01_Parametres!$B$4*IF(D102&gt;0,D102,0)+01_Parametres!$B$5*IF(E102&gt;0,E102,0)+01_Parametres!$B$6*IF(F102&gt;0,F102,0))/(01_Parametres!$B$4*(D102&gt;0)+01_Parametres!$B$5*(E102&gt;0)+01_Parametres!$B$6*(F102&gt;0))),IF(01_Parametres!$B$8=0,"",(01_Parametres!$B$4*D102+01_Parametres!$B$5*E102+01_Parametres!$B$6*F102)/01_Parametres!$B$8)))</x:f>
      </x:c>
      <x:c r="H102">
        <x:f>IFERROR(VLOOKUP(C102,02_Referentiels!$A$20:$D$99,3,FALSE),"")</x:f>
      </x:c>
      <x:c r="I102">
        <x:f>IFERROR(VLOOKUP(B102,02_Referentiels!$A$5:$C$16,2,FALSE),"")</x:f>
      </x:c>
      <x:c r="J102">
        <x:f>IF(A102="","",IF(OR(D102="",E102="",F102=""),1,IF(OR(D102&lt;0,D102&gt;3,E102&lt;0,E102&gt;3,F102&lt;0,F102&gt;3),1,0)))</x:f>
      </x:c>
      <x:c r="K102">
        <x:f>IF(A102="","",IF(G102="",1,0))</x:f>
      </x:c>
      <x:c r="L102">
        <x:f>IF(A102="","",IF(COUNTIFS($A$5:$A$2004,A102,$C$5:$C$2004,C102)&gt;1,1,0))</x:f>
      </x:c>
    </x:row>
    <x:row r="103">
      <x:c r="A103" s="8" t="n"/>
      <x:c r="B103" s="8" t="n"/>
      <x:c r="C103" s="8" t="n"/>
      <x:c r="D103" s="8" t="n"/>
      <x:c r="E103" s="8" t="n"/>
      <x:c r="F103" s="8" t="n"/>
      <x:c r="G103" s="7">
        <x:f>IF(A103="","",IF(01_Parametres!$B$11="Oui",IF((01_Parametres!$B$4*(D103&gt;0)+01_Parametres!$B$5*(E103&gt;0)+01_Parametres!$B$6*(F103&gt;0))=0,"",(01_Parametres!$B$4*IF(D103&gt;0,D103,0)+01_Parametres!$B$5*IF(E103&gt;0,E103,0)+01_Parametres!$B$6*IF(F103&gt;0,F103,0))/(01_Parametres!$B$4*(D103&gt;0)+01_Parametres!$B$5*(E103&gt;0)+01_Parametres!$B$6*(F103&gt;0))),IF(01_Parametres!$B$8=0,"",(01_Parametres!$B$4*D103+01_Parametres!$B$5*E103+01_Parametres!$B$6*F103)/01_Parametres!$B$8)))</x:f>
      </x:c>
      <x:c r="H103">
        <x:f>IFERROR(VLOOKUP(C103,02_Referentiels!$A$20:$D$99,3,FALSE),"")</x:f>
      </x:c>
      <x:c r="I103">
        <x:f>IFERROR(VLOOKUP(B103,02_Referentiels!$A$5:$C$16,2,FALSE),"")</x:f>
      </x:c>
      <x:c r="J103">
        <x:f>IF(A103="","",IF(OR(D103="",E103="",F103=""),1,IF(OR(D103&lt;0,D103&gt;3,E103&lt;0,E103&gt;3,F103&lt;0,F103&gt;3),1,0)))</x:f>
      </x:c>
      <x:c r="K103">
        <x:f>IF(A103="","",IF(G103="",1,0))</x:f>
      </x:c>
      <x:c r="L103">
        <x:f>IF(A103="","",IF(COUNTIFS($A$5:$A$2004,A103,$C$5:$C$2004,C103)&gt;1,1,0))</x:f>
      </x:c>
    </x:row>
    <x:row r="104">
      <x:c r="A104" s="8" t="n"/>
      <x:c r="B104" s="8" t="n"/>
      <x:c r="C104" s="8" t="n"/>
      <x:c r="D104" s="8" t="n"/>
      <x:c r="E104" s="8" t="n"/>
      <x:c r="F104" s="8" t="n"/>
      <x:c r="G104" s="7">
        <x:f>IF(A104="","",IF(01_Parametres!$B$11="Oui",IF((01_Parametres!$B$4*(D104&gt;0)+01_Parametres!$B$5*(E104&gt;0)+01_Parametres!$B$6*(F104&gt;0))=0,"",(01_Parametres!$B$4*IF(D104&gt;0,D104,0)+01_Parametres!$B$5*IF(E104&gt;0,E104,0)+01_Parametres!$B$6*IF(F104&gt;0,F104,0))/(01_Parametres!$B$4*(D104&gt;0)+01_Parametres!$B$5*(E104&gt;0)+01_Parametres!$B$6*(F104&gt;0))),IF(01_Parametres!$B$8=0,"",(01_Parametres!$B$4*D104+01_Parametres!$B$5*E104+01_Parametres!$B$6*F104)/01_Parametres!$B$8)))</x:f>
      </x:c>
      <x:c r="H104">
        <x:f>IFERROR(VLOOKUP(C104,02_Referentiels!$A$20:$D$99,3,FALSE),"")</x:f>
      </x:c>
      <x:c r="I104">
        <x:f>IFERROR(VLOOKUP(B104,02_Referentiels!$A$5:$C$16,2,FALSE),"")</x:f>
      </x:c>
      <x:c r="J104">
        <x:f>IF(A104="","",IF(OR(D104="",E104="",F104=""),1,IF(OR(D104&lt;0,D104&gt;3,E104&lt;0,E104&gt;3,F104&lt;0,F104&gt;3),1,0)))</x:f>
      </x:c>
      <x:c r="K104">
        <x:f>IF(A104="","",IF(G104="",1,0))</x:f>
      </x:c>
      <x:c r="L104">
        <x:f>IF(A104="","",IF(COUNTIFS($A$5:$A$2004,A104,$C$5:$C$2004,C104)&gt;1,1,0))</x:f>
      </x:c>
    </x:row>
    <x:row r="105">
      <x:c r="A105" s="8" t="n"/>
      <x:c r="B105" s="8" t="n"/>
      <x:c r="C105" s="8" t="n"/>
      <x:c r="D105" s="8" t="n"/>
      <x:c r="E105" s="8" t="n"/>
      <x:c r="F105" s="8" t="n"/>
      <x:c r="G105" s="7">
        <x:f>IF(A105="","",IF(01_Parametres!$B$11="Oui",IF((01_Parametres!$B$4*(D105&gt;0)+01_Parametres!$B$5*(E105&gt;0)+01_Parametres!$B$6*(F105&gt;0))=0,"",(01_Parametres!$B$4*IF(D105&gt;0,D105,0)+01_Parametres!$B$5*IF(E105&gt;0,E105,0)+01_Parametres!$B$6*IF(F105&gt;0,F105,0))/(01_Parametres!$B$4*(D105&gt;0)+01_Parametres!$B$5*(E105&gt;0)+01_Parametres!$B$6*(F105&gt;0))),IF(01_Parametres!$B$8=0,"",(01_Parametres!$B$4*D105+01_Parametres!$B$5*E105+01_Parametres!$B$6*F105)/01_Parametres!$B$8)))</x:f>
      </x:c>
      <x:c r="H105">
        <x:f>IFERROR(VLOOKUP(C105,02_Referentiels!$A$20:$D$99,3,FALSE),"")</x:f>
      </x:c>
      <x:c r="I105">
        <x:f>IFERROR(VLOOKUP(B105,02_Referentiels!$A$5:$C$16,2,FALSE),"")</x:f>
      </x:c>
      <x:c r="J105">
        <x:f>IF(A105="","",IF(OR(D105="",E105="",F105=""),1,IF(OR(D105&lt;0,D105&gt;3,E105&lt;0,E105&gt;3,F105&lt;0,F105&gt;3),1,0)))</x:f>
      </x:c>
      <x:c r="K105">
        <x:f>IF(A105="","",IF(G105="",1,0))</x:f>
      </x:c>
      <x:c r="L105">
        <x:f>IF(A105="","",IF(COUNTIFS($A$5:$A$2004,A105,$C$5:$C$2004,C105)&gt;1,1,0))</x:f>
      </x:c>
    </x:row>
    <x:row r="106">
      <x:c r="A106" s="8" t="n"/>
      <x:c r="B106" s="8" t="n"/>
      <x:c r="C106" s="8" t="n"/>
      <x:c r="D106" s="8" t="n"/>
      <x:c r="E106" s="8" t="n"/>
      <x:c r="F106" s="8" t="n"/>
      <x:c r="G106" s="7">
        <x:f>IF(A106="","",IF(01_Parametres!$B$11="Oui",IF((01_Parametres!$B$4*(D106&gt;0)+01_Parametres!$B$5*(E106&gt;0)+01_Parametres!$B$6*(F106&gt;0))=0,"",(01_Parametres!$B$4*IF(D106&gt;0,D106,0)+01_Parametres!$B$5*IF(E106&gt;0,E106,0)+01_Parametres!$B$6*IF(F106&gt;0,F106,0))/(01_Parametres!$B$4*(D106&gt;0)+01_Parametres!$B$5*(E106&gt;0)+01_Parametres!$B$6*(F106&gt;0))),IF(01_Parametres!$B$8=0,"",(01_Parametres!$B$4*D106+01_Parametres!$B$5*E106+01_Parametres!$B$6*F106)/01_Parametres!$B$8)))</x:f>
      </x:c>
      <x:c r="H106">
        <x:f>IFERROR(VLOOKUP(C106,02_Referentiels!$A$20:$D$99,3,FALSE),"")</x:f>
      </x:c>
      <x:c r="I106">
        <x:f>IFERROR(VLOOKUP(B106,02_Referentiels!$A$5:$C$16,2,FALSE),"")</x:f>
      </x:c>
      <x:c r="J106">
        <x:f>IF(A106="","",IF(OR(D106="",E106="",F106=""),1,IF(OR(D106&lt;0,D106&gt;3,E106&lt;0,E106&gt;3,F106&lt;0,F106&gt;3),1,0)))</x:f>
      </x:c>
      <x:c r="K106">
        <x:f>IF(A106="","",IF(G106="",1,0))</x:f>
      </x:c>
      <x:c r="L106">
        <x:f>IF(A106="","",IF(COUNTIFS($A$5:$A$2004,A106,$C$5:$C$2004,C106)&gt;1,1,0))</x:f>
      </x:c>
    </x:row>
    <x:row r="107">
      <x:c r="A107" s="8" t="n"/>
      <x:c r="B107" s="8" t="n"/>
      <x:c r="C107" s="8" t="n"/>
      <x:c r="D107" s="8" t="n"/>
      <x:c r="E107" s="8" t="n"/>
      <x:c r="F107" s="8" t="n"/>
      <x:c r="G107" s="7">
        <x:f>IF(A107="","",IF(01_Parametres!$B$11="Oui",IF((01_Parametres!$B$4*(D107&gt;0)+01_Parametres!$B$5*(E107&gt;0)+01_Parametres!$B$6*(F107&gt;0))=0,"",(01_Parametres!$B$4*IF(D107&gt;0,D107,0)+01_Parametres!$B$5*IF(E107&gt;0,E107,0)+01_Parametres!$B$6*IF(F107&gt;0,F107,0))/(01_Parametres!$B$4*(D107&gt;0)+01_Parametres!$B$5*(E107&gt;0)+01_Parametres!$B$6*(F107&gt;0))),IF(01_Parametres!$B$8=0,"",(01_Parametres!$B$4*D107+01_Parametres!$B$5*E107+01_Parametres!$B$6*F107)/01_Parametres!$B$8)))</x:f>
      </x:c>
      <x:c r="H107">
        <x:f>IFERROR(VLOOKUP(C107,02_Referentiels!$A$20:$D$99,3,FALSE),"")</x:f>
      </x:c>
      <x:c r="I107">
        <x:f>IFERROR(VLOOKUP(B107,02_Referentiels!$A$5:$C$16,2,FALSE),"")</x:f>
      </x:c>
      <x:c r="J107">
        <x:f>IF(A107="","",IF(OR(D107="",E107="",F107=""),1,IF(OR(D107&lt;0,D107&gt;3,E107&lt;0,E107&gt;3,F107&lt;0,F107&gt;3),1,0)))</x:f>
      </x:c>
      <x:c r="K107">
        <x:f>IF(A107="","",IF(G107="",1,0))</x:f>
      </x:c>
      <x:c r="L107">
        <x:f>IF(A107="","",IF(COUNTIFS($A$5:$A$2004,A107,$C$5:$C$2004,C107)&gt;1,1,0))</x:f>
      </x:c>
    </x:row>
    <x:row r="108">
      <x:c r="A108" s="8" t="n"/>
      <x:c r="B108" s="8" t="n"/>
      <x:c r="C108" s="8" t="n"/>
      <x:c r="D108" s="8" t="n"/>
      <x:c r="E108" s="8" t="n"/>
      <x:c r="F108" s="8" t="n"/>
      <x:c r="G108" s="7">
        <x:f>IF(A108="","",IF(01_Parametres!$B$11="Oui",IF((01_Parametres!$B$4*(D108&gt;0)+01_Parametres!$B$5*(E108&gt;0)+01_Parametres!$B$6*(F108&gt;0))=0,"",(01_Parametres!$B$4*IF(D108&gt;0,D108,0)+01_Parametres!$B$5*IF(E108&gt;0,E108,0)+01_Parametres!$B$6*IF(F108&gt;0,F108,0))/(01_Parametres!$B$4*(D108&gt;0)+01_Parametres!$B$5*(E108&gt;0)+01_Parametres!$B$6*(F108&gt;0))),IF(01_Parametres!$B$8=0,"",(01_Parametres!$B$4*D108+01_Parametres!$B$5*E108+01_Parametres!$B$6*F108)/01_Parametres!$B$8)))</x:f>
      </x:c>
      <x:c r="H108">
        <x:f>IFERROR(VLOOKUP(C108,02_Referentiels!$A$20:$D$99,3,FALSE),"")</x:f>
      </x:c>
      <x:c r="I108">
        <x:f>IFERROR(VLOOKUP(B108,02_Referentiels!$A$5:$C$16,2,FALSE),"")</x:f>
      </x:c>
      <x:c r="J108">
        <x:f>IF(A108="","",IF(OR(D108="",E108="",F108=""),1,IF(OR(D108&lt;0,D108&gt;3,E108&lt;0,E108&gt;3,F108&lt;0,F108&gt;3),1,0)))</x:f>
      </x:c>
      <x:c r="K108">
        <x:f>IF(A108="","",IF(G108="",1,0))</x:f>
      </x:c>
      <x:c r="L108">
        <x:f>IF(A108="","",IF(COUNTIFS($A$5:$A$2004,A108,$C$5:$C$2004,C108)&gt;1,1,0))</x:f>
      </x:c>
    </x:row>
    <x:row r="109">
      <x:c r="A109" s="8" t="n"/>
      <x:c r="B109" s="8" t="n"/>
      <x:c r="C109" s="8" t="n"/>
      <x:c r="D109" s="8" t="n"/>
      <x:c r="E109" s="8" t="n"/>
      <x:c r="F109" s="8" t="n"/>
      <x:c r="G109" s="7">
        <x:f>IF(A109="","",IF(01_Parametres!$B$11="Oui",IF((01_Parametres!$B$4*(D109&gt;0)+01_Parametres!$B$5*(E109&gt;0)+01_Parametres!$B$6*(F109&gt;0))=0,"",(01_Parametres!$B$4*IF(D109&gt;0,D109,0)+01_Parametres!$B$5*IF(E109&gt;0,E109,0)+01_Parametres!$B$6*IF(F109&gt;0,F109,0))/(01_Parametres!$B$4*(D109&gt;0)+01_Parametres!$B$5*(E109&gt;0)+01_Parametres!$B$6*(F109&gt;0))),IF(01_Parametres!$B$8=0,"",(01_Parametres!$B$4*D109+01_Parametres!$B$5*E109+01_Parametres!$B$6*F109)/01_Parametres!$B$8)))</x:f>
      </x:c>
      <x:c r="H109">
        <x:f>IFERROR(VLOOKUP(C109,02_Referentiels!$A$20:$D$99,3,FALSE),"")</x:f>
      </x:c>
      <x:c r="I109">
        <x:f>IFERROR(VLOOKUP(B109,02_Referentiels!$A$5:$C$16,2,FALSE),"")</x:f>
      </x:c>
      <x:c r="J109">
        <x:f>IF(A109="","",IF(OR(D109="",E109="",F109=""),1,IF(OR(D109&lt;0,D109&gt;3,E109&lt;0,E109&gt;3,F109&lt;0,F109&gt;3),1,0)))</x:f>
      </x:c>
      <x:c r="K109">
        <x:f>IF(A109="","",IF(G109="",1,0))</x:f>
      </x:c>
      <x:c r="L109">
        <x:f>IF(A109="","",IF(COUNTIFS($A$5:$A$2004,A109,$C$5:$C$2004,C109)&gt;1,1,0))</x:f>
      </x:c>
    </x:row>
    <x:row r="110">
      <x:c r="A110" s="8" t="n"/>
      <x:c r="B110" s="8" t="n"/>
      <x:c r="C110" s="8" t="n"/>
      <x:c r="D110" s="8" t="n"/>
      <x:c r="E110" s="8" t="n"/>
      <x:c r="F110" s="8" t="n"/>
      <x:c r="G110" s="7">
        <x:f>IF(A110="","",IF(01_Parametres!$B$11="Oui",IF((01_Parametres!$B$4*(D110&gt;0)+01_Parametres!$B$5*(E110&gt;0)+01_Parametres!$B$6*(F110&gt;0))=0,"",(01_Parametres!$B$4*IF(D110&gt;0,D110,0)+01_Parametres!$B$5*IF(E110&gt;0,E110,0)+01_Parametres!$B$6*IF(F110&gt;0,F110,0))/(01_Parametres!$B$4*(D110&gt;0)+01_Parametres!$B$5*(E110&gt;0)+01_Parametres!$B$6*(F110&gt;0))),IF(01_Parametres!$B$8=0,"",(01_Parametres!$B$4*D110+01_Parametres!$B$5*E110+01_Parametres!$B$6*F110)/01_Parametres!$B$8)))</x:f>
      </x:c>
      <x:c r="H110">
        <x:f>IFERROR(VLOOKUP(C110,02_Referentiels!$A$20:$D$99,3,FALSE),"")</x:f>
      </x:c>
      <x:c r="I110">
        <x:f>IFERROR(VLOOKUP(B110,02_Referentiels!$A$5:$C$16,2,FALSE),"")</x:f>
      </x:c>
      <x:c r="J110">
        <x:f>IF(A110="","",IF(OR(D110="",E110="",F110=""),1,IF(OR(D110&lt;0,D110&gt;3,E110&lt;0,E110&gt;3,F110&lt;0,F110&gt;3),1,0)))</x:f>
      </x:c>
      <x:c r="K110">
        <x:f>IF(A110="","",IF(G110="",1,0))</x:f>
      </x:c>
      <x:c r="L110">
        <x:f>IF(A110="","",IF(COUNTIFS($A$5:$A$2004,A110,$C$5:$C$2004,C110)&gt;1,1,0))</x:f>
      </x:c>
    </x:row>
    <x:row r="111">
      <x:c r="A111" s="8" t="n"/>
      <x:c r="B111" s="8" t="n"/>
      <x:c r="C111" s="8" t="n"/>
      <x:c r="D111" s="8" t="n"/>
      <x:c r="E111" s="8" t="n"/>
      <x:c r="F111" s="8" t="n"/>
      <x:c r="G111" s="7">
        <x:f>IF(A111="","",IF(01_Parametres!$B$11="Oui",IF((01_Parametres!$B$4*(D111&gt;0)+01_Parametres!$B$5*(E111&gt;0)+01_Parametres!$B$6*(F111&gt;0))=0,"",(01_Parametres!$B$4*IF(D111&gt;0,D111,0)+01_Parametres!$B$5*IF(E111&gt;0,E111,0)+01_Parametres!$B$6*IF(F111&gt;0,F111,0))/(01_Parametres!$B$4*(D111&gt;0)+01_Parametres!$B$5*(E111&gt;0)+01_Parametres!$B$6*(F111&gt;0))),IF(01_Parametres!$B$8=0,"",(01_Parametres!$B$4*D111+01_Parametres!$B$5*E111+01_Parametres!$B$6*F111)/01_Parametres!$B$8)))</x:f>
      </x:c>
      <x:c r="H111">
        <x:f>IFERROR(VLOOKUP(C111,02_Referentiels!$A$20:$D$99,3,FALSE),"")</x:f>
      </x:c>
      <x:c r="I111">
        <x:f>IFERROR(VLOOKUP(B111,02_Referentiels!$A$5:$C$16,2,FALSE),"")</x:f>
      </x:c>
      <x:c r="J111">
        <x:f>IF(A111="","",IF(OR(D111="",E111="",F111=""),1,IF(OR(D111&lt;0,D111&gt;3,E111&lt;0,E111&gt;3,F111&lt;0,F111&gt;3),1,0)))</x:f>
      </x:c>
      <x:c r="K111">
        <x:f>IF(A111="","",IF(G111="",1,0))</x:f>
      </x:c>
      <x:c r="L111">
        <x:f>IF(A111="","",IF(COUNTIFS($A$5:$A$2004,A111,$C$5:$C$2004,C111)&gt;1,1,0))</x:f>
      </x:c>
    </x:row>
    <x:row r="112">
      <x:c r="A112" s="8" t="n"/>
      <x:c r="B112" s="8" t="n"/>
      <x:c r="C112" s="8" t="n"/>
      <x:c r="D112" s="8" t="n"/>
      <x:c r="E112" s="8" t="n"/>
      <x:c r="F112" s="8" t="n"/>
      <x:c r="G112" s="7">
        <x:f>IF(A112="","",IF(01_Parametres!$B$11="Oui",IF((01_Parametres!$B$4*(D112&gt;0)+01_Parametres!$B$5*(E112&gt;0)+01_Parametres!$B$6*(F112&gt;0))=0,"",(01_Parametres!$B$4*IF(D112&gt;0,D112,0)+01_Parametres!$B$5*IF(E112&gt;0,E112,0)+01_Parametres!$B$6*IF(F112&gt;0,F112,0))/(01_Parametres!$B$4*(D112&gt;0)+01_Parametres!$B$5*(E112&gt;0)+01_Parametres!$B$6*(F112&gt;0))),IF(01_Parametres!$B$8=0,"",(01_Parametres!$B$4*D112+01_Parametres!$B$5*E112+01_Parametres!$B$6*F112)/01_Parametres!$B$8)))</x:f>
      </x:c>
      <x:c r="H112">
        <x:f>IFERROR(VLOOKUP(C112,02_Referentiels!$A$20:$D$99,3,FALSE),"")</x:f>
      </x:c>
      <x:c r="I112">
        <x:f>IFERROR(VLOOKUP(B112,02_Referentiels!$A$5:$C$16,2,FALSE),"")</x:f>
      </x:c>
      <x:c r="J112">
        <x:f>IF(A112="","",IF(OR(D112="",E112="",F112=""),1,IF(OR(D112&lt;0,D112&gt;3,E112&lt;0,E112&gt;3,F112&lt;0,F112&gt;3),1,0)))</x:f>
      </x:c>
      <x:c r="K112">
        <x:f>IF(A112="","",IF(G112="",1,0))</x:f>
      </x:c>
      <x:c r="L112">
        <x:f>IF(A112="","",IF(COUNTIFS($A$5:$A$2004,A112,$C$5:$C$2004,C112)&gt;1,1,0))</x:f>
      </x:c>
    </x:row>
    <x:row r="113">
      <x:c r="A113" s="8" t="n"/>
      <x:c r="B113" s="8" t="n"/>
      <x:c r="C113" s="8" t="n"/>
      <x:c r="D113" s="8" t="n"/>
      <x:c r="E113" s="8" t="n"/>
      <x:c r="F113" s="8" t="n"/>
      <x:c r="G113" s="7">
        <x:f>IF(A113="","",IF(01_Parametres!$B$11="Oui",IF((01_Parametres!$B$4*(D113&gt;0)+01_Parametres!$B$5*(E113&gt;0)+01_Parametres!$B$6*(F113&gt;0))=0,"",(01_Parametres!$B$4*IF(D113&gt;0,D113,0)+01_Parametres!$B$5*IF(E113&gt;0,E113,0)+01_Parametres!$B$6*IF(F113&gt;0,F113,0))/(01_Parametres!$B$4*(D113&gt;0)+01_Parametres!$B$5*(E113&gt;0)+01_Parametres!$B$6*(F113&gt;0))),IF(01_Parametres!$B$8=0,"",(01_Parametres!$B$4*D113+01_Parametres!$B$5*E113+01_Parametres!$B$6*F113)/01_Parametres!$B$8)))</x:f>
      </x:c>
      <x:c r="H113">
        <x:f>IFERROR(VLOOKUP(C113,02_Referentiels!$A$20:$D$99,3,FALSE),"")</x:f>
      </x:c>
      <x:c r="I113">
        <x:f>IFERROR(VLOOKUP(B113,02_Referentiels!$A$5:$C$16,2,FALSE),"")</x:f>
      </x:c>
      <x:c r="J113">
        <x:f>IF(A113="","",IF(OR(D113="",E113="",F113=""),1,IF(OR(D113&lt;0,D113&gt;3,E113&lt;0,E113&gt;3,F113&lt;0,F113&gt;3),1,0)))</x:f>
      </x:c>
      <x:c r="K113">
        <x:f>IF(A113="","",IF(G113="",1,0))</x:f>
      </x:c>
      <x:c r="L113">
        <x:f>IF(A113="","",IF(COUNTIFS($A$5:$A$2004,A113,$C$5:$C$2004,C113)&gt;1,1,0))</x:f>
      </x:c>
    </x:row>
    <x:row r="114">
      <x:c r="A114" s="8" t="n"/>
      <x:c r="B114" s="8" t="n"/>
      <x:c r="C114" s="8" t="n"/>
      <x:c r="D114" s="8" t="n"/>
      <x:c r="E114" s="8" t="n"/>
      <x:c r="F114" s="8" t="n"/>
      <x:c r="G114" s="7">
        <x:f>IF(A114="","",IF(01_Parametres!$B$11="Oui",IF((01_Parametres!$B$4*(D114&gt;0)+01_Parametres!$B$5*(E114&gt;0)+01_Parametres!$B$6*(F114&gt;0))=0,"",(01_Parametres!$B$4*IF(D114&gt;0,D114,0)+01_Parametres!$B$5*IF(E114&gt;0,E114,0)+01_Parametres!$B$6*IF(F114&gt;0,F114,0))/(01_Parametres!$B$4*(D114&gt;0)+01_Parametres!$B$5*(E114&gt;0)+01_Parametres!$B$6*(F114&gt;0))),IF(01_Parametres!$B$8=0,"",(01_Parametres!$B$4*D114+01_Parametres!$B$5*E114+01_Parametres!$B$6*F114)/01_Parametres!$B$8)))</x:f>
      </x:c>
      <x:c r="H114">
        <x:f>IFERROR(VLOOKUP(C114,02_Referentiels!$A$20:$D$99,3,FALSE),"")</x:f>
      </x:c>
      <x:c r="I114">
        <x:f>IFERROR(VLOOKUP(B114,02_Referentiels!$A$5:$C$16,2,FALSE),"")</x:f>
      </x:c>
      <x:c r="J114">
        <x:f>IF(A114="","",IF(OR(D114="",E114="",F114=""),1,IF(OR(D114&lt;0,D114&gt;3,E114&lt;0,E114&gt;3,F114&lt;0,F114&gt;3),1,0)))</x:f>
      </x:c>
      <x:c r="K114">
        <x:f>IF(A114="","",IF(G114="",1,0))</x:f>
      </x:c>
      <x:c r="L114">
        <x:f>IF(A114="","",IF(COUNTIFS($A$5:$A$2004,A114,$C$5:$C$2004,C114)&gt;1,1,0))</x:f>
      </x:c>
    </x:row>
    <x:row r="115">
      <x:c r="A115" s="8" t="n"/>
      <x:c r="B115" s="8" t="n"/>
      <x:c r="C115" s="8" t="n"/>
      <x:c r="D115" s="8" t="n"/>
      <x:c r="E115" s="8" t="n"/>
      <x:c r="F115" s="8" t="n"/>
      <x:c r="G115" s="7">
        <x:f>IF(A115="","",IF(01_Parametres!$B$11="Oui",IF((01_Parametres!$B$4*(D115&gt;0)+01_Parametres!$B$5*(E115&gt;0)+01_Parametres!$B$6*(F115&gt;0))=0,"",(01_Parametres!$B$4*IF(D115&gt;0,D115,0)+01_Parametres!$B$5*IF(E115&gt;0,E115,0)+01_Parametres!$B$6*IF(F115&gt;0,F115,0))/(01_Parametres!$B$4*(D115&gt;0)+01_Parametres!$B$5*(E115&gt;0)+01_Parametres!$B$6*(F115&gt;0))),IF(01_Parametres!$B$8=0,"",(01_Parametres!$B$4*D115+01_Parametres!$B$5*E115+01_Parametres!$B$6*F115)/01_Parametres!$B$8)))</x:f>
      </x:c>
      <x:c r="H115">
        <x:f>IFERROR(VLOOKUP(C115,02_Referentiels!$A$20:$D$99,3,FALSE),"")</x:f>
      </x:c>
      <x:c r="I115">
        <x:f>IFERROR(VLOOKUP(B115,02_Referentiels!$A$5:$C$16,2,FALSE),"")</x:f>
      </x:c>
      <x:c r="J115">
        <x:f>IF(A115="","",IF(OR(D115="",E115="",F115=""),1,IF(OR(D115&lt;0,D115&gt;3,E115&lt;0,E115&gt;3,F115&lt;0,F115&gt;3),1,0)))</x:f>
      </x:c>
      <x:c r="K115">
        <x:f>IF(A115="","",IF(G115="",1,0))</x:f>
      </x:c>
      <x:c r="L115">
        <x:f>IF(A115="","",IF(COUNTIFS($A$5:$A$2004,A115,$C$5:$C$2004,C115)&gt;1,1,0))</x:f>
      </x:c>
    </x:row>
    <x:row r="116">
      <x:c r="A116" s="8" t="n"/>
      <x:c r="B116" s="8" t="n"/>
      <x:c r="C116" s="8" t="n"/>
      <x:c r="D116" s="8" t="n"/>
      <x:c r="E116" s="8" t="n"/>
      <x:c r="F116" s="8" t="n"/>
      <x:c r="G116" s="7">
        <x:f>IF(A116="","",IF(01_Parametres!$B$11="Oui",IF((01_Parametres!$B$4*(D116&gt;0)+01_Parametres!$B$5*(E116&gt;0)+01_Parametres!$B$6*(F116&gt;0))=0,"",(01_Parametres!$B$4*IF(D116&gt;0,D116,0)+01_Parametres!$B$5*IF(E116&gt;0,E116,0)+01_Parametres!$B$6*IF(F116&gt;0,F116,0))/(01_Parametres!$B$4*(D116&gt;0)+01_Parametres!$B$5*(E116&gt;0)+01_Parametres!$B$6*(F116&gt;0))),IF(01_Parametres!$B$8=0,"",(01_Parametres!$B$4*D116+01_Parametres!$B$5*E116+01_Parametres!$B$6*F116)/01_Parametres!$B$8)))</x:f>
      </x:c>
      <x:c r="H116">
        <x:f>IFERROR(VLOOKUP(C116,02_Referentiels!$A$20:$D$99,3,FALSE),"")</x:f>
      </x:c>
      <x:c r="I116">
        <x:f>IFERROR(VLOOKUP(B116,02_Referentiels!$A$5:$C$16,2,FALSE),"")</x:f>
      </x:c>
      <x:c r="J116">
        <x:f>IF(A116="","",IF(OR(D116="",E116="",F116=""),1,IF(OR(D116&lt;0,D116&gt;3,E116&lt;0,E116&gt;3,F116&lt;0,F116&gt;3),1,0)))</x:f>
      </x:c>
      <x:c r="K116">
        <x:f>IF(A116="","",IF(G116="",1,0))</x:f>
      </x:c>
      <x:c r="L116">
        <x:f>IF(A116="","",IF(COUNTIFS($A$5:$A$2004,A116,$C$5:$C$2004,C116)&gt;1,1,0))</x:f>
      </x:c>
    </x:row>
    <x:row r="117">
      <x:c r="A117" s="8" t="n"/>
      <x:c r="B117" s="8" t="n"/>
      <x:c r="C117" s="8" t="n"/>
      <x:c r="D117" s="8" t="n"/>
      <x:c r="E117" s="8" t="n"/>
      <x:c r="F117" s="8" t="n"/>
      <x:c r="G117" s="7">
        <x:f>IF(A117="","",IF(01_Parametres!$B$11="Oui",IF((01_Parametres!$B$4*(D117&gt;0)+01_Parametres!$B$5*(E117&gt;0)+01_Parametres!$B$6*(F117&gt;0))=0,"",(01_Parametres!$B$4*IF(D117&gt;0,D117,0)+01_Parametres!$B$5*IF(E117&gt;0,E117,0)+01_Parametres!$B$6*IF(F117&gt;0,F117,0))/(01_Parametres!$B$4*(D117&gt;0)+01_Parametres!$B$5*(E117&gt;0)+01_Parametres!$B$6*(F117&gt;0))),IF(01_Parametres!$B$8=0,"",(01_Parametres!$B$4*D117+01_Parametres!$B$5*E117+01_Parametres!$B$6*F117)/01_Parametres!$B$8)))</x:f>
      </x:c>
      <x:c r="H117">
        <x:f>IFERROR(VLOOKUP(C117,02_Referentiels!$A$20:$D$99,3,FALSE),"")</x:f>
      </x:c>
      <x:c r="I117">
        <x:f>IFERROR(VLOOKUP(B117,02_Referentiels!$A$5:$C$16,2,FALSE),"")</x:f>
      </x:c>
      <x:c r="J117">
        <x:f>IF(A117="","",IF(OR(D117="",E117="",F117=""),1,IF(OR(D117&lt;0,D117&gt;3,E117&lt;0,E117&gt;3,F117&lt;0,F117&gt;3),1,0)))</x:f>
      </x:c>
      <x:c r="K117">
        <x:f>IF(A117="","",IF(G117="",1,0))</x:f>
      </x:c>
      <x:c r="L117">
        <x:f>IF(A117="","",IF(COUNTIFS($A$5:$A$2004,A117,$C$5:$C$2004,C117)&gt;1,1,0))</x:f>
      </x:c>
    </x:row>
    <x:row r="118">
      <x:c r="A118" s="8" t="n"/>
      <x:c r="B118" s="8" t="n"/>
      <x:c r="C118" s="8" t="n"/>
      <x:c r="D118" s="8" t="n"/>
      <x:c r="E118" s="8" t="n"/>
      <x:c r="F118" s="8" t="n"/>
      <x:c r="G118" s="7">
        <x:f>IF(A118="","",IF(01_Parametres!$B$11="Oui",IF((01_Parametres!$B$4*(D118&gt;0)+01_Parametres!$B$5*(E118&gt;0)+01_Parametres!$B$6*(F118&gt;0))=0,"",(01_Parametres!$B$4*IF(D118&gt;0,D118,0)+01_Parametres!$B$5*IF(E118&gt;0,E118,0)+01_Parametres!$B$6*IF(F118&gt;0,F118,0))/(01_Parametres!$B$4*(D118&gt;0)+01_Parametres!$B$5*(E118&gt;0)+01_Parametres!$B$6*(F118&gt;0))),IF(01_Parametres!$B$8=0,"",(01_Parametres!$B$4*D118+01_Parametres!$B$5*E118+01_Parametres!$B$6*F118)/01_Parametres!$B$8)))</x:f>
      </x:c>
      <x:c r="H118">
        <x:f>IFERROR(VLOOKUP(C118,02_Referentiels!$A$20:$D$99,3,FALSE),"")</x:f>
      </x:c>
      <x:c r="I118">
        <x:f>IFERROR(VLOOKUP(B118,02_Referentiels!$A$5:$C$16,2,FALSE),"")</x:f>
      </x:c>
      <x:c r="J118">
        <x:f>IF(A118="","",IF(OR(D118="",E118="",F118=""),1,IF(OR(D118&lt;0,D118&gt;3,E118&lt;0,E118&gt;3,F118&lt;0,F118&gt;3),1,0)))</x:f>
      </x:c>
      <x:c r="K118">
        <x:f>IF(A118="","",IF(G118="",1,0))</x:f>
      </x:c>
      <x:c r="L118">
        <x:f>IF(A118="","",IF(COUNTIFS($A$5:$A$2004,A118,$C$5:$C$2004,C118)&gt;1,1,0))</x:f>
      </x:c>
    </x:row>
    <x:row r="119">
      <x:c r="A119" s="8" t="n"/>
      <x:c r="B119" s="8" t="n"/>
      <x:c r="C119" s="8" t="n"/>
      <x:c r="D119" s="8" t="n"/>
      <x:c r="E119" s="8" t="n"/>
      <x:c r="F119" s="8" t="n"/>
      <x:c r="G119" s="7">
        <x:f>IF(A119="","",IF(01_Parametres!$B$11="Oui",IF((01_Parametres!$B$4*(D119&gt;0)+01_Parametres!$B$5*(E119&gt;0)+01_Parametres!$B$6*(F119&gt;0))=0,"",(01_Parametres!$B$4*IF(D119&gt;0,D119,0)+01_Parametres!$B$5*IF(E119&gt;0,E119,0)+01_Parametres!$B$6*IF(F119&gt;0,F119,0))/(01_Parametres!$B$4*(D119&gt;0)+01_Parametres!$B$5*(E119&gt;0)+01_Parametres!$B$6*(F119&gt;0))),IF(01_Parametres!$B$8=0,"",(01_Parametres!$B$4*D119+01_Parametres!$B$5*E119+01_Parametres!$B$6*F119)/01_Parametres!$B$8)))</x:f>
      </x:c>
      <x:c r="H119">
        <x:f>IFERROR(VLOOKUP(C119,02_Referentiels!$A$20:$D$99,3,FALSE),"")</x:f>
      </x:c>
      <x:c r="I119">
        <x:f>IFERROR(VLOOKUP(B119,02_Referentiels!$A$5:$C$16,2,FALSE),"")</x:f>
      </x:c>
      <x:c r="J119">
        <x:f>IF(A119="","",IF(OR(D119="",E119="",F119=""),1,IF(OR(D119&lt;0,D119&gt;3,E119&lt;0,E119&gt;3,F119&lt;0,F119&gt;3),1,0)))</x:f>
      </x:c>
      <x:c r="K119">
        <x:f>IF(A119="","",IF(G119="",1,0))</x:f>
      </x:c>
      <x:c r="L119">
        <x:f>IF(A119="","",IF(COUNTIFS($A$5:$A$2004,A119,$C$5:$C$2004,C119)&gt;1,1,0))</x:f>
      </x:c>
    </x:row>
    <x:row r="120">
      <x:c r="A120" s="8" t="n"/>
      <x:c r="B120" s="8" t="n"/>
      <x:c r="C120" s="8" t="n"/>
      <x:c r="D120" s="8" t="n"/>
      <x:c r="E120" s="8" t="n"/>
      <x:c r="F120" s="8" t="n"/>
      <x:c r="G120" s="7">
        <x:f>IF(A120="","",IF(01_Parametres!$B$11="Oui",IF((01_Parametres!$B$4*(D120&gt;0)+01_Parametres!$B$5*(E120&gt;0)+01_Parametres!$B$6*(F120&gt;0))=0,"",(01_Parametres!$B$4*IF(D120&gt;0,D120,0)+01_Parametres!$B$5*IF(E120&gt;0,E120,0)+01_Parametres!$B$6*IF(F120&gt;0,F120,0))/(01_Parametres!$B$4*(D120&gt;0)+01_Parametres!$B$5*(E120&gt;0)+01_Parametres!$B$6*(F120&gt;0))),IF(01_Parametres!$B$8=0,"",(01_Parametres!$B$4*D120+01_Parametres!$B$5*E120+01_Parametres!$B$6*F120)/01_Parametres!$B$8)))</x:f>
      </x:c>
      <x:c r="H120">
        <x:f>IFERROR(VLOOKUP(C120,02_Referentiels!$A$20:$D$99,3,FALSE),"")</x:f>
      </x:c>
      <x:c r="I120">
        <x:f>IFERROR(VLOOKUP(B120,02_Referentiels!$A$5:$C$16,2,FALSE),"")</x:f>
      </x:c>
      <x:c r="J120">
        <x:f>IF(A120="","",IF(OR(D120="",E120="",F120=""),1,IF(OR(D120&lt;0,D120&gt;3,E120&lt;0,E120&gt;3,F120&lt;0,F120&gt;3),1,0)))</x:f>
      </x:c>
      <x:c r="K120">
        <x:f>IF(A120="","",IF(G120="",1,0))</x:f>
      </x:c>
      <x:c r="L120">
        <x:f>IF(A120="","",IF(COUNTIFS($A$5:$A$2004,A120,$C$5:$C$2004,C120)&gt;1,1,0))</x:f>
      </x:c>
    </x:row>
    <x:row r="121">
      <x:c r="A121" s="8" t="n"/>
      <x:c r="B121" s="8" t="n"/>
      <x:c r="C121" s="8" t="n"/>
      <x:c r="D121" s="8" t="n"/>
      <x:c r="E121" s="8" t="n"/>
      <x:c r="F121" s="8" t="n"/>
      <x:c r="G121" s="7">
        <x:f>IF(A121="","",IF(01_Parametres!$B$11="Oui",IF((01_Parametres!$B$4*(D121&gt;0)+01_Parametres!$B$5*(E121&gt;0)+01_Parametres!$B$6*(F121&gt;0))=0,"",(01_Parametres!$B$4*IF(D121&gt;0,D121,0)+01_Parametres!$B$5*IF(E121&gt;0,E121,0)+01_Parametres!$B$6*IF(F121&gt;0,F121,0))/(01_Parametres!$B$4*(D121&gt;0)+01_Parametres!$B$5*(E121&gt;0)+01_Parametres!$B$6*(F121&gt;0))),IF(01_Parametres!$B$8=0,"",(01_Parametres!$B$4*D121+01_Parametres!$B$5*E121+01_Parametres!$B$6*F121)/01_Parametres!$B$8)))</x:f>
      </x:c>
      <x:c r="H121">
        <x:f>IFERROR(VLOOKUP(C121,02_Referentiels!$A$20:$D$99,3,FALSE),"")</x:f>
      </x:c>
      <x:c r="I121">
        <x:f>IFERROR(VLOOKUP(B121,02_Referentiels!$A$5:$C$16,2,FALSE),"")</x:f>
      </x:c>
      <x:c r="J121">
        <x:f>IF(A121="","",IF(OR(D121="",E121="",F121=""),1,IF(OR(D121&lt;0,D121&gt;3,E121&lt;0,E121&gt;3,F121&lt;0,F121&gt;3),1,0)))</x:f>
      </x:c>
      <x:c r="K121">
        <x:f>IF(A121="","",IF(G121="",1,0))</x:f>
      </x:c>
      <x:c r="L121">
        <x:f>IF(A121="","",IF(COUNTIFS($A$5:$A$2004,A121,$C$5:$C$2004,C121)&gt;1,1,0))</x:f>
      </x:c>
    </x:row>
    <x:row r="122">
      <x:c r="A122" s="8" t="n"/>
      <x:c r="B122" s="8" t="n"/>
      <x:c r="C122" s="8" t="n"/>
      <x:c r="D122" s="8" t="n"/>
      <x:c r="E122" s="8" t="n"/>
      <x:c r="F122" s="8" t="n"/>
      <x:c r="G122" s="7">
        <x:f>IF(A122="","",IF(01_Parametres!$B$11="Oui",IF((01_Parametres!$B$4*(D122&gt;0)+01_Parametres!$B$5*(E122&gt;0)+01_Parametres!$B$6*(F122&gt;0))=0,"",(01_Parametres!$B$4*IF(D122&gt;0,D122,0)+01_Parametres!$B$5*IF(E122&gt;0,E122,0)+01_Parametres!$B$6*IF(F122&gt;0,F122,0))/(01_Parametres!$B$4*(D122&gt;0)+01_Parametres!$B$5*(E122&gt;0)+01_Parametres!$B$6*(F122&gt;0))),IF(01_Parametres!$B$8=0,"",(01_Parametres!$B$4*D122+01_Parametres!$B$5*E122+01_Parametres!$B$6*F122)/01_Parametres!$B$8)))</x:f>
      </x:c>
      <x:c r="H122">
        <x:f>IFERROR(VLOOKUP(C122,02_Referentiels!$A$20:$D$99,3,FALSE),"")</x:f>
      </x:c>
      <x:c r="I122">
        <x:f>IFERROR(VLOOKUP(B122,02_Referentiels!$A$5:$C$16,2,FALSE),"")</x:f>
      </x:c>
      <x:c r="J122">
        <x:f>IF(A122="","",IF(OR(D122="",E122="",F122=""),1,IF(OR(D122&lt;0,D122&gt;3,E122&lt;0,E122&gt;3,F122&lt;0,F122&gt;3),1,0)))</x:f>
      </x:c>
      <x:c r="K122">
        <x:f>IF(A122="","",IF(G122="",1,0))</x:f>
      </x:c>
      <x:c r="L122">
        <x:f>IF(A122="","",IF(COUNTIFS($A$5:$A$2004,A122,$C$5:$C$2004,C122)&gt;1,1,0))</x:f>
      </x:c>
    </x:row>
    <x:row r="123">
      <x:c r="A123" s="8" t="n"/>
      <x:c r="B123" s="8" t="n"/>
      <x:c r="C123" s="8" t="n"/>
      <x:c r="D123" s="8" t="n"/>
      <x:c r="E123" s="8" t="n"/>
      <x:c r="F123" s="8" t="n"/>
      <x:c r="G123" s="7">
        <x:f>IF(A123="","",IF(01_Parametres!$B$11="Oui",IF((01_Parametres!$B$4*(D123&gt;0)+01_Parametres!$B$5*(E123&gt;0)+01_Parametres!$B$6*(F123&gt;0))=0,"",(01_Parametres!$B$4*IF(D123&gt;0,D123,0)+01_Parametres!$B$5*IF(E123&gt;0,E123,0)+01_Parametres!$B$6*IF(F123&gt;0,F123,0))/(01_Parametres!$B$4*(D123&gt;0)+01_Parametres!$B$5*(E123&gt;0)+01_Parametres!$B$6*(F123&gt;0))),IF(01_Parametres!$B$8=0,"",(01_Parametres!$B$4*D123+01_Parametres!$B$5*E123+01_Parametres!$B$6*F123)/01_Parametres!$B$8)))</x:f>
      </x:c>
      <x:c r="H123">
        <x:f>IFERROR(VLOOKUP(C123,02_Referentiels!$A$20:$D$99,3,FALSE),"")</x:f>
      </x:c>
      <x:c r="I123">
        <x:f>IFERROR(VLOOKUP(B123,02_Referentiels!$A$5:$C$16,2,FALSE),"")</x:f>
      </x:c>
      <x:c r="J123">
        <x:f>IF(A123="","",IF(OR(D123="",E123="",F123=""),1,IF(OR(D123&lt;0,D123&gt;3,E123&lt;0,E123&gt;3,F123&lt;0,F123&gt;3),1,0)))</x:f>
      </x:c>
      <x:c r="K123">
        <x:f>IF(A123="","",IF(G123="",1,0))</x:f>
      </x:c>
      <x:c r="L123">
        <x:f>IF(A123="","",IF(COUNTIFS($A$5:$A$2004,A123,$C$5:$C$2004,C123)&gt;1,1,0))</x:f>
      </x:c>
    </x:row>
    <x:row r="124">
      <x:c r="A124" s="8" t="n"/>
      <x:c r="B124" s="8" t="n"/>
      <x:c r="C124" s="8" t="n"/>
      <x:c r="D124" s="8" t="n"/>
      <x:c r="E124" s="8" t="n"/>
      <x:c r="F124" s="8" t="n"/>
      <x:c r="G124" s="7">
        <x:f>IF(A124="","",IF(01_Parametres!$B$11="Oui",IF((01_Parametres!$B$4*(D124&gt;0)+01_Parametres!$B$5*(E124&gt;0)+01_Parametres!$B$6*(F124&gt;0))=0,"",(01_Parametres!$B$4*IF(D124&gt;0,D124,0)+01_Parametres!$B$5*IF(E124&gt;0,E124,0)+01_Parametres!$B$6*IF(F124&gt;0,F124,0))/(01_Parametres!$B$4*(D124&gt;0)+01_Parametres!$B$5*(E124&gt;0)+01_Parametres!$B$6*(F124&gt;0))),IF(01_Parametres!$B$8=0,"",(01_Parametres!$B$4*D124+01_Parametres!$B$5*E124+01_Parametres!$B$6*F124)/01_Parametres!$B$8)))</x:f>
      </x:c>
      <x:c r="H124">
        <x:f>IFERROR(VLOOKUP(C124,02_Referentiels!$A$20:$D$99,3,FALSE),"")</x:f>
      </x:c>
      <x:c r="I124">
        <x:f>IFERROR(VLOOKUP(B124,02_Referentiels!$A$5:$C$16,2,FALSE),"")</x:f>
      </x:c>
      <x:c r="J124">
        <x:f>IF(A124="","",IF(OR(D124="",E124="",F124=""),1,IF(OR(D124&lt;0,D124&gt;3,E124&lt;0,E124&gt;3,F124&lt;0,F124&gt;3),1,0)))</x:f>
      </x:c>
      <x:c r="K124">
        <x:f>IF(A124="","",IF(G124="",1,0))</x:f>
      </x:c>
      <x:c r="L124">
        <x:f>IF(A124="","",IF(COUNTIFS($A$5:$A$2004,A124,$C$5:$C$2004,C124)&gt;1,1,0))</x:f>
      </x:c>
    </x:row>
    <x:row r="125">
      <x:c r="A125" s="8" t="n"/>
      <x:c r="B125" s="8" t="n"/>
      <x:c r="C125" s="8" t="n"/>
      <x:c r="D125" s="8" t="n"/>
      <x:c r="E125" s="8" t="n"/>
      <x:c r="F125" s="8" t="n"/>
      <x:c r="G125" s="7">
        <x:f>IF(A125="","",IF(01_Parametres!$B$11="Oui",IF((01_Parametres!$B$4*(D125&gt;0)+01_Parametres!$B$5*(E125&gt;0)+01_Parametres!$B$6*(F125&gt;0))=0,"",(01_Parametres!$B$4*IF(D125&gt;0,D125,0)+01_Parametres!$B$5*IF(E125&gt;0,E125,0)+01_Parametres!$B$6*IF(F125&gt;0,F125,0))/(01_Parametres!$B$4*(D125&gt;0)+01_Parametres!$B$5*(E125&gt;0)+01_Parametres!$B$6*(F125&gt;0))),IF(01_Parametres!$B$8=0,"",(01_Parametres!$B$4*D125+01_Parametres!$B$5*E125+01_Parametres!$B$6*F125)/01_Parametres!$B$8)))</x:f>
      </x:c>
      <x:c r="H125">
        <x:f>IFERROR(VLOOKUP(C125,02_Referentiels!$A$20:$D$99,3,FALSE),"")</x:f>
      </x:c>
      <x:c r="I125">
        <x:f>IFERROR(VLOOKUP(B125,02_Referentiels!$A$5:$C$16,2,FALSE),"")</x:f>
      </x:c>
      <x:c r="J125">
        <x:f>IF(A125="","",IF(OR(D125="",E125="",F125=""),1,IF(OR(D125&lt;0,D125&gt;3,E125&lt;0,E125&gt;3,F125&lt;0,F125&gt;3),1,0)))</x:f>
      </x:c>
      <x:c r="K125">
        <x:f>IF(A125="","",IF(G125="",1,0))</x:f>
      </x:c>
      <x:c r="L125">
        <x:f>IF(A125="","",IF(COUNTIFS($A$5:$A$2004,A125,$C$5:$C$2004,C125)&gt;1,1,0))</x:f>
      </x:c>
    </x:row>
    <x:row r="126">
      <x:c r="A126" s="8" t="n"/>
      <x:c r="B126" s="8" t="n"/>
      <x:c r="C126" s="8" t="n"/>
      <x:c r="D126" s="8" t="n"/>
      <x:c r="E126" s="8" t="n"/>
      <x:c r="F126" s="8" t="n"/>
      <x:c r="G126" s="7">
        <x:f>IF(A126="","",IF(01_Parametres!$B$11="Oui",IF((01_Parametres!$B$4*(D126&gt;0)+01_Parametres!$B$5*(E126&gt;0)+01_Parametres!$B$6*(F126&gt;0))=0,"",(01_Parametres!$B$4*IF(D126&gt;0,D126,0)+01_Parametres!$B$5*IF(E126&gt;0,E126,0)+01_Parametres!$B$6*IF(F126&gt;0,F126,0))/(01_Parametres!$B$4*(D126&gt;0)+01_Parametres!$B$5*(E126&gt;0)+01_Parametres!$B$6*(F126&gt;0))),IF(01_Parametres!$B$8=0,"",(01_Parametres!$B$4*D126+01_Parametres!$B$5*E126+01_Parametres!$B$6*F126)/01_Parametres!$B$8)))</x:f>
      </x:c>
      <x:c r="H126">
        <x:f>IFERROR(VLOOKUP(C126,02_Referentiels!$A$20:$D$99,3,FALSE),"")</x:f>
      </x:c>
      <x:c r="I126">
        <x:f>IFERROR(VLOOKUP(B126,02_Referentiels!$A$5:$C$16,2,FALSE),"")</x:f>
      </x:c>
      <x:c r="J126">
        <x:f>IF(A126="","",IF(OR(D126="",E126="",F126=""),1,IF(OR(D126&lt;0,D126&gt;3,E126&lt;0,E126&gt;3,F126&lt;0,F126&gt;3),1,0)))</x:f>
      </x:c>
      <x:c r="K126">
        <x:f>IF(A126="","",IF(G126="",1,0))</x:f>
      </x:c>
      <x:c r="L126">
        <x:f>IF(A126="","",IF(COUNTIFS($A$5:$A$2004,A126,$C$5:$C$2004,C126)&gt;1,1,0))</x:f>
      </x:c>
    </x:row>
    <x:row r="127">
      <x:c r="A127" s="8" t="n"/>
      <x:c r="B127" s="8" t="n"/>
      <x:c r="C127" s="8" t="n"/>
      <x:c r="D127" s="8" t="n"/>
      <x:c r="E127" s="8" t="n"/>
      <x:c r="F127" s="8" t="n"/>
      <x:c r="G127" s="7">
        <x:f>IF(A127="","",IF(01_Parametres!$B$11="Oui",IF((01_Parametres!$B$4*(D127&gt;0)+01_Parametres!$B$5*(E127&gt;0)+01_Parametres!$B$6*(F127&gt;0))=0,"",(01_Parametres!$B$4*IF(D127&gt;0,D127,0)+01_Parametres!$B$5*IF(E127&gt;0,E127,0)+01_Parametres!$B$6*IF(F127&gt;0,F127,0))/(01_Parametres!$B$4*(D127&gt;0)+01_Parametres!$B$5*(E127&gt;0)+01_Parametres!$B$6*(F127&gt;0))),IF(01_Parametres!$B$8=0,"",(01_Parametres!$B$4*D127+01_Parametres!$B$5*E127+01_Parametres!$B$6*F127)/01_Parametres!$B$8)))</x:f>
      </x:c>
      <x:c r="H127">
        <x:f>IFERROR(VLOOKUP(C127,02_Referentiels!$A$20:$D$99,3,FALSE),"")</x:f>
      </x:c>
      <x:c r="I127">
        <x:f>IFERROR(VLOOKUP(B127,02_Referentiels!$A$5:$C$16,2,FALSE),"")</x:f>
      </x:c>
      <x:c r="J127">
        <x:f>IF(A127="","",IF(OR(D127="",E127="",F127=""),1,IF(OR(D127&lt;0,D127&gt;3,E127&lt;0,E127&gt;3,F127&lt;0,F127&gt;3),1,0)))</x:f>
      </x:c>
      <x:c r="K127">
        <x:f>IF(A127="","",IF(G127="",1,0))</x:f>
      </x:c>
      <x:c r="L127">
        <x:f>IF(A127="","",IF(COUNTIFS($A$5:$A$2004,A127,$C$5:$C$2004,C127)&gt;1,1,0))</x:f>
      </x:c>
    </x:row>
    <x:row r="128">
      <x:c r="A128" s="8" t="n"/>
      <x:c r="B128" s="8" t="n"/>
      <x:c r="C128" s="8" t="n"/>
      <x:c r="D128" s="8" t="n"/>
      <x:c r="E128" s="8" t="n"/>
      <x:c r="F128" s="8" t="n"/>
      <x:c r="G128" s="7">
        <x:f>IF(A128="","",IF(01_Parametres!$B$11="Oui",IF((01_Parametres!$B$4*(D128&gt;0)+01_Parametres!$B$5*(E128&gt;0)+01_Parametres!$B$6*(F128&gt;0))=0,"",(01_Parametres!$B$4*IF(D128&gt;0,D128,0)+01_Parametres!$B$5*IF(E128&gt;0,E128,0)+01_Parametres!$B$6*IF(F128&gt;0,F128,0))/(01_Parametres!$B$4*(D128&gt;0)+01_Parametres!$B$5*(E128&gt;0)+01_Parametres!$B$6*(F128&gt;0))),IF(01_Parametres!$B$8=0,"",(01_Parametres!$B$4*D128+01_Parametres!$B$5*E128+01_Parametres!$B$6*F128)/01_Parametres!$B$8)))</x:f>
      </x:c>
      <x:c r="H128">
        <x:f>IFERROR(VLOOKUP(C128,02_Referentiels!$A$20:$D$99,3,FALSE),"")</x:f>
      </x:c>
      <x:c r="I128">
        <x:f>IFERROR(VLOOKUP(B128,02_Referentiels!$A$5:$C$16,2,FALSE),"")</x:f>
      </x:c>
      <x:c r="J128">
        <x:f>IF(A128="","",IF(OR(D128="",E128="",F128=""),1,IF(OR(D128&lt;0,D128&gt;3,E128&lt;0,E128&gt;3,F128&lt;0,F128&gt;3),1,0)))</x:f>
      </x:c>
      <x:c r="K128">
        <x:f>IF(A128="","",IF(G128="",1,0))</x:f>
      </x:c>
      <x:c r="L128">
        <x:f>IF(A128="","",IF(COUNTIFS($A$5:$A$2004,A128,$C$5:$C$2004,C128)&gt;1,1,0))</x:f>
      </x:c>
    </x:row>
    <x:row r="129">
      <x:c r="A129" s="8" t="n"/>
      <x:c r="B129" s="8" t="n"/>
      <x:c r="C129" s="8" t="n"/>
      <x:c r="D129" s="8" t="n"/>
      <x:c r="E129" s="8" t="n"/>
      <x:c r="F129" s="8" t="n"/>
      <x:c r="G129" s="7">
        <x:f>IF(A129="","",IF(01_Parametres!$B$11="Oui",IF((01_Parametres!$B$4*(D129&gt;0)+01_Parametres!$B$5*(E129&gt;0)+01_Parametres!$B$6*(F129&gt;0))=0,"",(01_Parametres!$B$4*IF(D129&gt;0,D129,0)+01_Parametres!$B$5*IF(E129&gt;0,E129,0)+01_Parametres!$B$6*IF(F129&gt;0,F129,0))/(01_Parametres!$B$4*(D129&gt;0)+01_Parametres!$B$5*(E129&gt;0)+01_Parametres!$B$6*(F129&gt;0))),IF(01_Parametres!$B$8=0,"",(01_Parametres!$B$4*D129+01_Parametres!$B$5*E129+01_Parametres!$B$6*F129)/01_Parametres!$B$8)))</x:f>
      </x:c>
      <x:c r="H129">
        <x:f>IFERROR(VLOOKUP(C129,02_Referentiels!$A$20:$D$99,3,FALSE),"")</x:f>
      </x:c>
      <x:c r="I129">
        <x:f>IFERROR(VLOOKUP(B129,02_Referentiels!$A$5:$C$16,2,FALSE),"")</x:f>
      </x:c>
      <x:c r="J129">
        <x:f>IF(A129="","",IF(OR(D129="",E129="",F129=""),1,IF(OR(D129&lt;0,D129&gt;3,E129&lt;0,E129&gt;3,F129&lt;0,F129&gt;3),1,0)))</x:f>
      </x:c>
      <x:c r="K129">
        <x:f>IF(A129="","",IF(G129="",1,0))</x:f>
      </x:c>
      <x:c r="L129">
        <x:f>IF(A129="","",IF(COUNTIFS($A$5:$A$2004,A129,$C$5:$C$2004,C129)&gt;1,1,0))</x:f>
      </x:c>
    </x:row>
    <x:row r="130">
      <x:c r="A130" s="8" t="n"/>
      <x:c r="B130" s="8" t="n"/>
      <x:c r="C130" s="8" t="n"/>
      <x:c r="D130" s="8" t="n"/>
      <x:c r="E130" s="8" t="n"/>
      <x:c r="F130" s="8" t="n"/>
      <x:c r="G130" s="7">
        <x:f>IF(A130="","",IF(01_Parametres!$B$11="Oui",IF((01_Parametres!$B$4*(D130&gt;0)+01_Parametres!$B$5*(E130&gt;0)+01_Parametres!$B$6*(F130&gt;0))=0,"",(01_Parametres!$B$4*IF(D130&gt;0,D130,0)+01_Parametres!$B$5*IF(E130&gt;0,E130,0)+01_Parametres!$B$6*IF(F130&gt;0,F130,0))/(01_Parametres!$B$4*(D130&gt;0)+01_Parametres!$B$5*(E130&gt;0)+01_Parametres!$B$6*(F130&gt;0))),IF(01_Parametres!$B$8=0,"",(01_Parametres!$B$4*D130+01_Parametres!$B$5*E130+01_Parametres!$B$6*F130)/01_Parametres!$B$8)))</x:f>
      </x:c>
      <x:c r="H130">
        <x:f>IFERROR(VLOOKUP(C130,02_Referentiels!$A$20:$D$99,3,FALSE),"")</x:f>
      </x:c>
      <x:c r="I130">
        <x:f>IFERROR(VLOOKUP(B130,02_Referentiels!$A$5:$C$16,2,FALSE),"")</x:f>
      </x:c>
      <x:c r="J130">
        <x:f>IF(A130="","",IF(OR(D130="",E130="",F130=""),1,IF(OR(D130&lt;0,D130&gt;3,E130&lt;0,E130&gt;3,F130&lt;0,F130&gt;3),1,0)))</x:f>
      </x:c>
      <x:c r="K130">
        <x:f>IF(A130="","",IF(G130="",1,0))</x:f>
      </x:c>
      <x:c r="L130">
        <x:f>IF(A130="","",IF(COUNTIFS($A$5:$A$2004,A130,$C$5:$C$2004,C130)&gt;1,1,0))</x:f>
      </x:c>
    </x:row>
    <x:row r="131">
      <x:c r="A131" s="8" t="n"/>
      <x:c r="B131" s="8" t="n"/>
      <x:c r="C131" s="8" t="n"/>
      <x:c r="D131" s="8" t="n"/>
      <x:c r="E131" s="8" t="n"/>
      <x:c r="F131" s="8" t="n"/>
      <x:c r="G131" s="7">
        <x:f>IF(A131="","",IF(01_Parametres!$B$11="Oui",IF((01_Parametres!$B$4*(D131&gt;0)+01_Parametres!$B$5*(E131&gt;0)+01_Parametres!$B$6*(F131&gt;0))=0,"",(01_Parametres!$B$4*IF(D131&gt;0,D131,0)+01_Parametres!$B$5*IF(E131&gt;0,E131,0)+01_Parametres!$B$6*IF(F131&gt;0,F131,0))/(01_Parametres!$B$4*(D131&gt;0)+01_Parametres!$B$5*(E131&gt;0)+01_Parametres!$B$6*(F131&gt;0))),IF(01_Parametres!$B$8=0,"",(01_Parametres!$B$4*D131+01_Parametres!$B$5*E131+01_Parametres!$B$6*F131)/01_Parametres!$B$8)))</x:f>
      </x:c>
      <x:c r="H131">
        <x:f>IFERROR(VLOOKUP(C131,02_Referentiels!$A$20:$D$99,3,FALSE),"")</x:f>
      </x:c>
      <x:c r="I131">
        <x:f>IFERROR(VLOOKUP(B131,02_Referentiels!$A$5:$C$16,2,FALSE),"")</x:f>
      </x:c>
      <x:c r="J131">
        <x:f>IF(A131="","",IF(OR(D131="",E131="",F131=""),1,IF(OR(D131&lt;0,D131&gt;3,E131&lt;0,E131&gt;3,F131&lt;0,F131&gt;3),1,0)))</x:f>
      </x:c>
      <x:c r="K131">
        <x:f>IF(A131="","",IF(G131="",1,0))</x:f>
      </x:c>
      <x:c r="L131">
        <x:f>IF(A131="","",IF(COUNTIFS($A$5:$A$2004,A131,$C$5:$C$2004,C131)&gt;1,1,0))</x:f>
      </x:c>
    </x:row>
    <x:row r="132">
      <x:c r="A132" s="8" t="n"/>
      <x:c r="B132" s="8" t="n"/>
      <x:c r="C132" s="8" t="n"/>
      <x:c r="D132" s="8" t="n"/>
      <x:c r="E132" s="8" t="n"/>
      <x:c r="F132" s="8" t="n"/>
      <x:c r="G132" s="7">
        <x:f>IF(A132="","",IF(01_Parametres!$B$11="Oui",IF((01_Parametres!$B$4*(D132&gt;0)+01_Parametres!$B$5*(E132&gt;0)+01_Parametres!$B$6*(F132&gt;0))=0,"",(01_Parametres!$B$4*IF(D132&gt;0,D132,0)+01_Parametres!$B$5*IF(E132&gt;0,E132,0)+01_Parametres!$B$6*IF(F132&gt;0,F132,0))/(01_Parametres!$B$4*(D132&gt;0)+01_Parametres!$B$5*(E132&gt;0)+01_Parametres!$B$6*(F132&gt;0))),IF(01_Parametres!$B$8=0,"",(01_Parametres!$B$4*D132+01_Parametres!$B$5*E132+01_Parametres!$B$6*F132)/01_Parametres!$B$8)))</x:f>
      </x:c>
      <x:c r="H132">
        <x:f>IFERROR(VLOOKUP(C132,02_Referentiels!$A$20:$D$99,3,FALSE),"")</x:f>
      </x:c>
      <x:c r="I132">
        <x:f>IFERROR(VLOOKUP(B132,02_Referentiels!$A$5:$C$16,2,FALSE),"")</x:f>
      </x:c>
      <x:c r="J132">
        <x:f>IF(A132="","",IF(OR(D132="",E132="",F132=""),1,IF(OR(D132&lt;0,D132&gt;3,E132&lt;0,E132&gt;3,F132&lt;0,F132&gt;3),1,0)))</x:f>
      </x:c>
      <x:c r="K132">
        <x:f>IF(A132="","",IF(G132="",1,0))</x:f>
      </x:c>
      <x:c r="L132">
        <x:f>IF(A132="","",IF(COUNTIFS($A$5:$A$2004,A132,$C$5:$C$2004,C132)&gt;1,1,0))</x:f>
      </x:c>
    </x:row>
    <x:row r="133">
      <x:c r="A133" s="8" t="n"/>
      <x:c r="B133" s="8" t="n"/>
      <x:c r="C133" s="8" t="n"/>
      <x:c r="D133" s="8" t="n"/>
      <x:c r="E133" s="8" t="n"/>
      <x:c r="F133" s="8" t="n"/>
      <x:c r="G133" s="7">
        <x:f>IF(A133="","",IF(01_Parametres!$B$11="Oui",IF((01_Parametres!$B$4*(D133&gt;0)+01_Parametres!$B$5*(E133&gt;0)+01_Parametres!$B$6*(F133&gt;0))=0,"",(01_Parametres!$B$4*IF(D133&gt;0,D133,0)+01_Parametres!$B$5*IF(E133&gt;0,E133,0)+01_Parametres!$B$6*IF(F133&gt;0,F133,0))/(01_Parametres!$B$4*(D133&gt;0)+01_Parametres!$B$5*(E133&gt;0)+01_Parametres!$B$6*(F133&gt;0))),IF(01_Parametres!$B$8=0,"",(01_Parametres!$B$4*D133+01_Parametres!$B$5*E133+01_Parametres!$B$6*F133)/01_Parametres!$B$8)))</x:f>
      </x:c>
      <x:c r="H133">
        <x:f>IFERROR(VLOOKUP(C133,02_Referentiels!$A$20:$D$99,3,FALSE),"")</x:f>
      </x:c>
      <x:c r="I133">
        <x:f>IFERROR(VLOOKUP(B133,02_Referentiels!$A$5:$C$16,2,FALSE),"")</x:f>
      </x:c>
      <x:c r="J133">
        <x:f>IF(A133="","",IF(OR(D133="",E133="",F133=""),1,IF(OR(D133&lt;0,D133&gt;3,E133&lt;0,E133&gt;3,F133&lt;0,F133&gt;3),1,0)))</x:f>
      </x:c>
      <x:c r="K133">
        <x:f>IF(A133="","",IF(G133="",1,0))</x:f>
      </x:c>
      <x:c r="L133">
        <x:f>IF(A133="","",IF(COUNTIFS($A$5:$A$2004,A133,$C$5:$C$2004,C133)&gt;1,1,0))</x:f>
      </x:c>
    </x:row>
    <x:row r="134">
      <x:c r="A134" s="8" t="n"/>
      <x:c r="B134" s="8" t="n"/>
      <x:c r="C134" s="8" t="n"/>
      <x:c r="D134" s="8" t="n"/>
      <x:c r="E134" s="8" t="n"/>
      <x:c r="F134" s="8" t="n"/>
      <x:c r="G134" s="7">
        <x:f>IF(A134="","",IF(01_Parametres!$B$11="Oui",IF((01_Parametres!$B$4*(D134&gt;0)+01_Parametres!$B$5*(E134&gt;0)+01_Parametres!$B$6*(F134&gt;0))=0,"",(01_Parametres!$B$4*IF(D134&gt;0,D134,0)+01_Parametres!$B$5*IF(E134&gt;0,E134,0)+01_Parametres!$B$6*IF(F134&gt;0,F134,0))/(01_Parametres!$B$4*(D134&gt;0)+01_Parametres!$B$5*(E134&gt;0)+01_Parametres!$B$6*(F134&gt;0))),IF(01_Parametres!$B$8=0,"",(01_Parametres!$B$4*D134+01_Parametres!$B$5*E134+01_Parametres!$B$6*F134)/01_Parametres!$B$8)))</x:f>
      </x:c>
      <x:c r="H134">
        <x:f>IFERROR(VLOOKUP(C134,02_Referentiels!$A$20:$D$99,3,FALSE),"")</x:f>
      </x:c>
      <x:c r="I134">
        <x:f>IFERROR(VLOOKUP(B134,02_Referentiels!$A$5:$C$16,2,FALSE),"")</x:f>
      </x:c>
      <x:c r="J134">
        <x:f>IF(A134="","",IF(OR(D134="",E134="",F134=""),1,IF(OR(D134&lt;0,D134&gt;3,E134&lt;0,E134&gt;3,F134&lt;0,F134&gt;3),1,0)))</x:f>
      </x:c>
      <x:c r="K134">
        <x:f>IF(A134="","",IF(G134="",1,0))</x:f>
      </x:c>
      <x:c r="L134">
        <x:f>IF(A134="","",IF(COUNTIFS($A$5:$A$2004,A134,$C$5:$C$2004,C134)&gt;1,1,0))</x:f>
      </x:c>
    </x:row>
    <x:row r="135">
      <x:c r="A135" s="8" t="n"/>
      <x:c r="B135" s="8" t="n"/>
      <x:c r="C135" s="8" t="n"/>
      <x:c r="D135" s="8" t="n"/>
      <x:c r="E135" s="8" t="n"/>
      <x:c r="F135" s="8" t="n"/>
      <x:c r="G135" s="7">
        <x:f>IF(A135="","",IF(01_Parametres!$B$11="Oui",IF((01_Parametres!$B$4*(D135&gt;0)+01_Parametres!$B$5*(E135&gt;0)+01_Parametres!$B$6*(F135&gt;0))=0,"",(01_Parametres!$B$4*IF(D135&gt;0,D135,0)+01_Parametres!$B$5*IF(E135&gt;0,E135,0)+01_Parametres!$B$6*IF(F135&gt;0,F135,0))/(01_Parametres!$B$4*(D135&gt;0)+01_Parametres!$B$5*(E135&gt;0)+01_Parametres!$B$6*(F135&gt;0))),IF(01_Parametres!$B$8=0,"",(01_Parametres!$B$4*D135+01_Parametres!$B$5*E135+01_Parametres!$B$6*F135)/01_Parametres!$B$8)))</x:f>
      </x:c>
      <x:c r="H135">
        <x:f>IFERROR(VLOOKUP(C135,02_Referentiels!$A$20:$D$99,3,FALSE),"")</x:f>
      </x:c>
      <x:c r="I135">
        <x:f>IFERROR(VLOOKUP(B135,02_Referentiels!$A$5:$C$16,2,FALSE),"")</x:f>
      </x:c>
      <x:c r="J135">
        <x:f>IF(A135="","",IF(OR(D135="",E135="",F135=""),1,IF(OR(D135&lt;0,D135&gt;3,E135&lt;0,E135&gt;3,F135&lt;0,F135&gt;3),1,0)))</x:f>
      </x:c>
      <x:c r="K135">
        <x:f>IF(A135="","",IF(G135="",1,0))</x:f>
      </x:c>
      <x:c r="L135">
        <x:f>IF(A135="","",IF(COUNTIFS($A$5:$A$2004,A135,$C$5:$C$2004,C135)&gt;1,1,0))</x:f>
      </x:c>
    </x:row>
    <x:row r="136">
      <x:c r="A136" s="8" t="n"/>
      <x:c r="B136" s="8" t="n"/>
      <x:c r="C136" s="8" t="n"/>
      <x:c r="D136" s="8" t="n"/>
      <x:c r="E136" s="8" t="n"/>
      <x:c r="F136" s="8" t="n"/>
      <x:c r="G136" s="7">
        <x:f>IF(A136="","",IF(01_Parametres!$B$11="Oui",IF((01_Parametres!$B$4*(D136&gt;0)+01_Parametres!$B$5*(E136&gt;0)+01_Parametres!$B$6*(F136&gt;0))=0,"",(01_Parametres!$B$4*IF(D136&gt;0,D136,0)+01_Parametres!$B$5*IF(E136&gt;0,E136,0)+01_Parametres!$B$6*IF(F136&gt;0,F136,0))/(01_Parametres!$B$4*(D136&gt;0)+01_Parametres!$B$5*(E136&gt;0)+01_Parametres!$B$6*(F136&gt;0))),IF(01_Parametres!$B$8=0,"",(01_Parametres!$B$4*D136+01_Parametres!$B$5*E136+01_Parametres!$B$6*F136)/01_Parametres!$B$8)))</x:f>
      </x:c>
      <x:c r="H136">
        <x:f>IFERROR(VLOOKUP(C136,02_Referentiels!$A$20:$D$99,3,FALSE),"")</x:f>
      </x:c>
      <x:c r="I136">
        <x:f>IFERROR(VLOOKUP(B136,02_Referentiels!$A$5:$C$16,2,FALSE),"")</x:f>
      </x:c>
      <x:c r="J136">
        <x:f>IF(A136="","",IF(OR(D136="",E136="",F136=""),1,IF(OR(D136&lt;0,D136&gt;3,E136&lt;0,E136&gt;3,F136&lt;0,F136&gt;3),1,0)))</x:f>
      </x:c>
      <x:c r="K136">
        <x:f>IF(A136="","",IF(G136="",1,0))</x:f>
      </x:c>
      <x:c r="L136">
        <x:f>IF(A136="","",IF(COUNTIFS($A$5:$A$2004,A136,$C$5:$C$2004,C136)&gt;1,1,0))</x:f>
      </x:c>
    </x:row>
    <x:row r="137">
      <x:c r="A137" s="8" t="n"/>
      <x:c r="B137" s="8" t="n"/>
      <x:c r="C137" s="8" t="n"/>
      <x:c r="D137" s="8" t="n"/>
      <x:c r="E137" s="8" t="n"/>
      <x:c r="F137" s="8" t="n"/>
      <x:c r="G137" s="7">
        <x:f>IF(A137="","",IF(01_Parametres!$B$11="Oui",IF((01_Parametres!$B$4*(D137&gt;0)+01_Parametres!$B$5*(E137&gt;0)+01_Parametres!$B$6*(F137&gt;0))=0,"",(01_Parametres!$B$4*IF(D137&gt;0,D137,0)+01_Parametres!$B$5*IF(E137&gt;0,E137,0)+01_Parametres!$B$6*IF(F137&gt;0,F137,0))/(01_Parametres!$B$4*(D137&gt;0)+01_Parametres!$B$5*(E137&gt;0)+01_Parametres!$B$6*(F137&gt;0))),IF(01_Parametres!$B$8=0,"",(01_Parametres!$B$4*D137+01_Parametres!$B$5*E137+01_Parametres!$B$6*F137)/01_Parametres!$B$8)))</x:f>
      </x:c>
      <x:c r="H137">
        <x:f>IFERROR(VLOOKUP(C137,02_Referentiels!$A$20:$D$99,3,FALSE),"")</x:f>
      </x:c>
      <x:c r="I137">
        <x:f>IFERROR(VLOOKUP(B137,02_Referentiels!$A$5:$C$16,2,FALSE),"")</x:f>
      </x:c>
      <x:c r="J137">
        <x:f>IF(A137="","",IF(OR(D137="",E137="",F137=""),1,IF(OR(D137&lt;0,D137&gt;3,E137&lt;0,E137&gt;3,F137&lt;0,F137&gt;3),1,0)))</x:f>
      </x:c>
      <x:c r="K137">
        <x:f>IF(A137="","",IF(G137="",1,0))</x:f>
      </x:c>
      <x:c r="L137">
        <x:f>IF(A137="","",IF(COUNTIFS($A$5:$A$2004,A137,$C$5:$C$2004,C137)&gt;1,1,0))</x:f>
      </x:c>
    </x:row>
    <x:row r="138">
      <x:c r="A138" s="8" t="n"/>
      <x:c r="B138" s="8" t="n"/>
      <x:c r="C138" s="8" t="n"/>
      <x:c r="D138" s="8" t="n"/>
      <x:c r="E138" s="8" t="n"/>
      <x:c r="F138" s="8" t="n"/>
      <x:c r="G138" s="7">
        <x:f>IF(A138="","",IF(01_Parametres!$B$11="Oui",IF((01_Parametres!$B$4*(D138&gt;0)+01_Parametres!$B$5*(E138&gt;0)+01_Parametres!$B$6*(F138&gt;0))=0,"",(01_Parametres!$B$4*IF(D138&gt;0,D138,0)+01_Parametres!$B$5*IF(E138&gt;0,E138,0)+01_Parametres!$B$6*IF(F138&gt;0,F138,0))/(01_Parametres!$B$4*(D138&gt;0)+01_Parametres!$B$5*(E138&gt;0)+01_Parametres!$B$6*(F138&gt;0))),IF(01_Parametres!$B$8=0,"",(01_Parametres!$B$4*D138+01_Parametres!$B$5*E138+01_Parametres!$B$6*F138)/01_Parametres!$B$8)))</x:f>
      </x:c>
      <x:c r="H138">
        <x:f>IFERROR(VLOOKUP(C138,02_Referentiels!$A$20:$D$99,3,FALSE),"")</x:f>
      </x:c>
      <x:c r="I138">
        <x:f>IFERROR(VLOOKUP(B138,02_Referentiels!$A$5:$C$16,2,FALSE),"")</x:f>
      </x:c>
      <x:c r="J138">
        <x:f>IF(A138="","",IF(OR(D138="",E138="",F138=""),1,IF(OR(D138&lt;0,D138&gt;3,E138&lt;0,E138&gt;3,F138&lt;0,F138&gt;3),1,0)))</x:f>
      </x:c>
      <x:c r="K138">
        <x:f>IF(A138="","",IF(G138="",1,0))</x:f>
      </x:c>
      <x:c r="L138">
        <x:f>IF(A138="","",IF(COUNTIFS($A$5:$A$2004,A138,$C$5:$C$2004,C138)&gt;1,1,0))</x:f>
      </x:c>
    </x:row>
    <x:row r="139">
      <x:c r="A139" s="8" t="n"/>
      <x:c r="B139" s="8" t="n"/>
      <x:c r="C139" s="8" t="n"/>
      <x:c r="D139" s="8" t="n"/>
      <x:c r="E139" s="8" t="n"/>
      <x:c r="F139" s="8" t="n"/>
      <x:c r="G139" s="7">
        <x:f>IF(A139="","",IF(01_Parametres!$B$11="Oui",IF((01_Parametres!$B$4*(D139&gt;0)+01_Parametres!$B$5*(E139&gt;0)+01_Parametres!$B$6*(F139&gt;0))=0,"",(01_Parametres!$B$4*IF(D139&gt;0,D139,0)+01_Parametres!$B$5*IF(E139&gt;0,E139,0)+01_Parametres!$B$6*IF(F139&gt;0,F139,0))/(01_Parametres!$B$4*(D139&gt;0)+01_Parametres!$B$5*(E139&gt;0)+01_Parametres!$B$6*(F139&gt;0))),IF(01_Parametres!$B$8=0,"",(01_Parametres!$B$4*D139+01_Parametres!$B$5*E139+01_Parametres!$B$6*F139)/01_Parametres!$B$8)))</x:f>
      </x:c>
      <x:c r="H139">
        <x:f>IFERROR(VLOOKUP(C139,02_Referentiels!$A$20:$D$99,3,FALSE),"")</x:f>
      </x:c>
      <x:c r="I139">
        <x:f>IFERROR(VLOOKUP(B139,02_Referentiels!$A$5:$C$16,2,FALSE),"")</x:f>
      </x:c>
      <x:c r="J139">
        <x:f>IF(A139="","",IF(OR(D139="",E139="",F139=""),1,IF(OR(D139&lt;0,D139&gt;3,E139&lt;0,E139&gt;3,F139&lt;0,F139&gt;3),1,0)))</x:f>
      </x:c>
      <x:c r="K139">
        <x:f>IF(A139="","",IF(G139="",1,0))</x:f>
      </x:c>
      <x:c r="L139">
        <x:f>IF(A139="","",IF(COUNTIFS($A$5:$A$2004,A139,$C$5:$C$2004,C139)&gt;1,1,0))</x:f>
      </x:c>
    </x:row>
    <x:row r="140">
      <x:c r="A140" s="8" t="n"/>
      <x:c r="B140" s="8" t="n"/>
      <x:c r="C140" s="8" t="n"/>
      <x:c r="D140" s="8" t="n"/>
      <x:c r="E140" s="8" t="n"/>
      <x:c r="F140" s="8" t="n"/>
      <x:c r="G140" s="7">
        <x:f>IF(A140="","",IF(01_Parametres!$B$11="Oui",IF((01_Parametres!$B$4*(D140&gt;0)+01_Parametres!$B$5*(E140&gt;0)+01_Parametres!$B$6*(F140&gt;0))=0,"",(01_Parametres!$B$4*IF(D140&gt;0,D140,0)+01_Parametres!$B$5*IF(E140&gt;0,E140,0)+01_Parametres!$B$6*IF(F140&gt;0,F140,0))/(01_Parametres!$B$4*(D140&gt;0)+01_Parametres!$B$5*(E140&gt;0)+01_Parametres!$B$6*(F140&gt;0))),IF(01_Parametres!$B$8=0,"",(01_Parametres!$B$4*D140+01_Parametres!$B$5*E140+01_Parametres!$B$6*F140)/01_Parametres!$B$8)))</x:f>
      </x:c>
      <x:c r="H140">
        <x:f>IFERROR(VLOOKUP(C140,02_Referentiels!$A$20:$D$99,3,FALSE),"")</x:f>
      </x:c>
      <x:c r="I140">
        <x:f>IFERROR(VLOOKUP(B140,02_Referentiels!$A$5:$C$16,2,FALSE),"")</x:f>
      </x:c>
      <x:c r="J140">
        <x:f>IF(A140="","",IF(OR(D140="",E140="",F140=""),1,IF(OR(D140&lt;0,D140&gt;3,E140&lt;0,E140&gt;3,F140&lt;0,F140&gt;3),1,0)))</x:f>
      </x:c>
      <x:c r="K140">
        <x:f>IF(A140="","",IF(G140="",1,0))</x:f>
      </x:c>
      <x:c r="L140">
        <x:f>IF(A140="","",IF(COUNTIFS($A$5:$A$2004,A140,$C$5:$C$2004,C140)&gt;1,1,0))</x:f>
      </x:c>
    </x:row>
    <x:row r="141">
      <x:c r="A141" s="8" t="n"/>
      <x:c r="B141" s="8" t="n"/>
      <x:c r="C141" s="8" t="n"/>
      <x:c r="D141" s="8" t="n"/>
      <x:c r="E141" s="8" t="n"/>
      <x:c r="F141" s="8" t="n"/>
      <x:c r="G141" s="7">
        <x:f>IF(A141="","",IF(01_Parametres!$B$11="Oui",IF((01_Parametres!$B$4*(D141&gt;0)+01_Parametres!$B$5*(E141&gt;0)+01_Parametres!$B$6*(F141&gt;0))=0,"",(01_Parametres!$B$4*IF(D141&gt;0,D141,0)+01_Parametres!$B$5*IF(E141&gt;0,E141,0)+01_Parametres!$B$6*IF(F141&gt;0,F141,0))/(01_Parametres!$B$4*(D141&gt;0)+01_Parametres!$B$5*(E141&gt;0)+01_Parametres!$B$6*(F141&gt;0))),IF(01_Parametres!$B$8=0,"",(01_Parametres!$B$4*D141+01_Parametres!$B$5*E141+01_Parametres!$B$6*F141)/01_Parametres!$B$8)))</x:f>
      </x:c>
      <x:c r="H141">
        <x:f>IFERROR(VLOOKUP(C141,02_Referentiels!$A$20:$D$99,3,FALSE),"")</x:f>
      </x:c>
      <x:c r="I141">
        <x:f>IFERROR(VLOOKUP(B141,02_Referentiels!$A$5:$C$16,2,FALSE),"")</x:f>
      </x:c>
      <x:c r="J141">
        <x:f>IF(A141="","",IF(OR(D141="",E141="",F141=""),1,IF(OR(D141&lt;0,D141&gt;3,E141&lt;0,E141&gt;3,F141&lt;0,F141&gt;3),1,0)))</x:f>
      </x:c>
      <x:c r="K141">
        <x:f>IF(A141="","",IF(G141="",1,0))</x:f>
      </x:c>
      <x:c r="L141">
        <x:f>IF(A141="","",IF(COUNTIFS($A$5:$A$2004,A141,$C$5:$C$2004,C141)&gt;1,1,0))</x:f>
      </x:c>
    </x:row>
    <x:row r="142">
      <x:c r="A142" s="8" t="n"/>
      <x:c r="B142" s="8" t="n"/>
      <x:c r="C142" s="8" t="n"/>
      <x:c r="D142" s="8" t="n"/>
      <x:c r="E142" s="8" t="n"/>
      <x:c r="F142" s="8" t="n"/>
      <x:c r="G142" s="7">
        <x:f>IF(A142="","",IF(01_Parametres!$B$11="Oui",IF((01_Parametres!$B$4*(D142&gt;0)+01_Parametres!$B$5*(E142&gt;0)+01_Parametres!$B$6*(F142&gt;0))=0,"",(01_Parametres!$B$4*IF(D142&gt;0,D142,0)+01_Parametres!$B$5*IF(E142&gt;0,E142,0)+01_Parametres!$B$6*IF(F142&gt;0,F142,0))/(01_Parametres!$B$4*(D142&gt;0)+01_Parametres!$B$5*(E142&gt;0)+01_Parametres!$B$6*(F142&gt;0))),IF(01_Parametres!$B$8=0,"",(01_Parametres!$B$4*D142+01_Parametres!$B$5*E142+01_Parametres!$B$6*F142)/01_Parametres!$B$8)))</x:f>
      </x:c>
      <x:c r="H142">
        <x:f>IFERROR(VLOOKUP(C142,02_Referentiels!$A$20:$D$99,3,FALSE),"")</x:f>
      </x:c>
      <x:c r="I142">
        <x:f>IFERROR(VLOOKUP(B142,02_Referentiels!$A$5:$C$16,2,FALSE),"")</x:f>
      </x:c>
      <x:c r="J142">
        <x:f>IF(A142="","",IF(OR(D142="",E142="",F142=""),1,IF(OR(D142&lt;0,D142&gt;3,E142&lt;0,E142&gt;3,F142&lt;0,F142&gt;3),1,0)))</x:f>
      </x:c>
      <x:c r="K142">
        <x:f>IF(A142="","",IF(G142="",1,0))</x:f>
      </x:c>
      <x:c r="L142">
        <x:f>IF(A142="","",IF(COUNTIFS($A$5:$A$2004,A142,$C$5:$C$2004,C142)&gt;1,1,0))</x:f>
      </x:c>
    </x:row>
    <x:row r="143">
      <x:c r="A143" s="8" t="n"/>
      <x:c r="B143" s="8" t="n"/>
      <x:c r="C143" s="8" t="n"/>
      <x:c r="D143" s="8" t="n"/>
      <x:c r="E143" s="8" t="n"/>
      <x:c r="F143" s="8" t="n"/>
      <x:c r="G143" s="7">
        <x:f>IF(A143="","",IF(01_Parametres!$B$11="Oui",IF((01_Parametres!$B$4*(D143&gt;0)+01_Parametres!$B$5*(E143&gt;0)+01_Parametres!$B$6*(F143&gt;0))=0,"",(01_Parametres!$B$4*IF(D143&gt;0,D143,0)+01_Parametres!$B$5*IF(E143&gt;0,E143,0)+01_Parametres!$B$6*IF(F143&gt;0,F143,0))/(01_Parametres!$B$4*(D143&gt;0)+01_Parametres!$B$5*(E143&gt;0)+01_Parametres!$B$6*(F143&gt;0))),IF(01_Parametres!$B$8=0,"",(01_Parametres!$B$4*D143+01_Parametres!$B$5*E143+01_Parametres!$B$6*F143)/01_Parametres!$B$8)))</x:f>
      </x:c>
      <x:c r="H143">
        <x:f>IFERROR(VLOOKUP(C143,02_Referentiels!$A$20:$D$99,3,FALSE),"")</x:f>
      </x:c>
      <x:c r="I143">
        <x:f>IFERROR(VLOOKUP(B143,02_Referentiels!$A$5:$C$16,2,FALSE),"")</x:f>
      </x:c>
      <x:c r="J143">
        <x:f>IF(A143="","",IF(OR(D143="",E143="",F143=""),1,IF(OR(D143&lt;0,D143&gt;3,E143&lt;0,E143&gt;3,F143&lt;0,F143&gt;3),1,0)))</x:f>
      </x:c>
      <x:c r="K143">
        <x:f>IF(A143="","",IF(G143="",1,0))</x:f>
      </x:c>
      <x:c r="L143">
        <x:f>IF(A143="","",IF(COUNTIFS($A$5:$A$2004,A143,$C$5:$C$2004,C143)&gt;1,1,0))</x:f>
      </x:c>
    </x:row>
    <x:row r="144">
      <x:c r="A144" s="8" t="n"/>
      <x:c r="B144" s="8" t="n"/>
      <x:c r="C144" s="8" t="n"/>
      <x:c r="D144" s="8" t="n"/>
      <x:c r="E144" s="8" t="n"/>
      <x:c r="F144" s="8" t="n"/>
      <x:c r="G144" s="7">
        <x:f>IF(A144="","",IF(01_Parametres!$B$11="Oui",IF((01_Parametres!$B$4*(D144&gt;0)+01_Parametres!$B$5*(E144&gt;0)+01_Parametres!$B$6*(F144&gt;0))=0,"",(01_Parametres!$B$4*IF(D144&gt;0,D144,0)+01_Parametres!$B$5*IF(E144&gt;0,E144,0)+01_Parametres!$B$6*IF(F144&gt;0,F144,0))/(01_Parametres!$B$4*(D144&gt;0)+01_Parametres!$B$5*(E144&gt;0)+01_Parametres!$B$6*(F144&gt;0))),IF(01_Parametres!$B$8=0,"",(01_Parametres!$B$4*D144+01_Parametres!$B$5*E144+01_Parametres!$B$6*F144)/01_Parametres!$B$8)))</x:f>
      </x:c>
      <x:c r="H144">
        <x:f>IFERROR(VLOOKUP(C144,02_Referentiels!$A$20:$D$99,3,FALSE),"")</x:f>
      </x:c>
      <x:c r="I144">
        <x:f>IFERROR(VLOOKUP(B144,02_Referentiels!$A$5:$C$16,2,FALSE),"")</x:f>
      </x:c>
      <x:c r="J144">
        <x:f>IF(A144="","",IF(OR(D144="",E144="",F144=""),1,IF(OR(D144&lt;0,D144&gt;3,E144&lt;0,E144&gt;3,F144&lt;0,F144&gt;3),1,0)))</x:f>
      </x:c>
      <x:c r="K144">
        <x:f>IF(A144="","",IF(G144="",1,0))</x:f>
      </x:c>
      <x:c r="L144">
        <x:f>IF(A144="","",IF(COUNTIFS($A$5:$A$2004,A144,$C$5:$C$2004,C144)&gt;1,1,0))</x:f>
      </x:c>
    </x:row>
    <x:row r="145">
      <x:c r="A145" s="8" t="n"/>
      <x:c r="B145" s="8" t="n"/>
      <x:c r="C145" s="8" t="n"/>
      <x:c r="D145" s="8" t="n"/>
      <x:c r="E145" s="8" t="n"/>
      <x:c r="F145" s="8" t="n"/>
      <x:c r="G145" s="7">
        <x:f>IF(A145="","",IF(01_Parametres!$B$11="Oui",IF((01_Parametres!$B$4*(D145&gt;0)+01_Parametres!$B$5*(E145&gt;0)+01_Parametres!$B$6*(F145&gt;0))=0,"",(01_Parametres!$B$4*IF(D145&gt;0,D145,0)+01_Parametres!$B$5*IF(E145&gt;0,E145,0)+01_Parametres!$B$6*IF(F145&gt;0,F145,0))/(01_Parametres!$B$4*(D145&gt;0)+01_Parametres!$B$5*(E145&gt;0)+01_Parametres!$B$6*(F145&gt;0))),IF(01_Parametres!$B$8=0,"",(01_Parametres!$B$4*D145+01_Parametres!$B$5*E145+01_Parametres!$B$6*F145)/01_Parametres!$B$8)))</x:f>
      </x:c>
      <x:c r="H145">
        <x:f>IFERROR(VLOOKUP(C145,02_Referentiels!$A$20:$D$99,3,FALSE),"")</x:f>
      </x:c>
      <x:c r="I145">
        <x:f>IFERROR(VLOOKUP(B145,02_Referentiels!$A$5:$C$16,2,FALSE),"")</x:f>
      </x:c>
      <x:c r="J145">
        <x:f>IF(A145="","",IF(OR(D145="",E145="",F145=""),1,IF(OR(D145&lt;0,D145&gt;3,E145&lt;0,E145&gt;3,F145&lt;0,F145&gt;3),1,0)))</x:f>
      </x:c>
      <x:c r="K145">
        <x:f>IF(A145="","",IF(G145="",1,0))</x:f>
      </x:c>
      <x:c r="L145">
        <x:f>IF(A145="","",IF(COUNTIFS($A$5:$A$2004,A145,$C$5:$C$2004,C145)&gt;1,1,0))</x:f>
      </x:c>
    </x:row>
    <x:row r="146">
      <x:c r="A146" s="8" t="n"/>
      <x:c r="B146" s="8" t="n"/>
      <x:c r="C146" s="8" t="n"/>
      <x:c r="D146" s="8" t="n"/>
      <x:c r="E146" s="8" t="n"/>
      <x:c r="F146" s="8" t="n"/>
      <x:c r="G146" s="7">
        <x:f>IF(A146="","",IF(01_Parametres!$B$11="Oui",IF((01_Parametres!$B$4*(D146&gt;0)+01_Parametres!$B$5*(E146&gt;0)+01_Parametres!$B$6*(F146&gt;0))=0,"",(01_Parametres!$B$4*IF(D146&gt;0,D146,0)+01_Parametres!$B$5*IF(E146&gt;0,E146,0)+01_Parametres!$B$6*IF(F146&gt;0,F146,0))/(01_Parametres!$B$4*(D146&gt;0)+01_Parametres!$B$5*(E146&gt;0)+01_Parametres!$B$6*(F146&gt;0))),IF(01_Parametres!$B$8=0,"",(01_Parametres!$B$4*D146+01_Parametres!$B$5*E146+01_Parametres!$B$6*F146)/01_Parametres!$B$8)))</x:f>
      </x:c>
      <x:c r="H146">
        <x:f>IFERROR(VLOOKUP(C146,02_Referentiels!$A$20:$D$99,3,FALSE),"")</x:f>
      </x:c>
      <x:c r="I146">
        <x:f>IFERROR(VLOOKUP(B146,02_Referentiels!$A$5:$C$16,2,FALSE),"")</x:f>
      </x:c>
      <x:c r="J146">
        <x:f>IF(A146="","",IF(OR(D146="",E146="",F146=""),1,IF(OR(D146&lt;0,D146&gt;3,E146&lt;0,E146&gt;3,F146&lt;0,F146&gt;3),1,0)))</x:f>
      </x:c>
      <x:c r="K146">
        <x:f>IF(A146="","",IF(G146="",1,0))</x:f>
      </x:c>
      <x:c r="L146">
        <x:f>IF(A146="","",IF(COUNTIFS($A$5:$A$2004,A146,$C$5:$C$2004,C146)&gt;1,1,0))</x:f>
      </x:c>
    </x:row>
    <x:row r="147">
      <x:c r="A147" s="8" t="n"/>
      <x:c r="B147" s="8" t="n"/>
      <x:c r="C147" s="8" t="n"/>
      <x:c r="D147" s="8" t="n"/>
      <x:c r="E147" s="8" t="n"/>
      <x:c r="F147" s="8" t="n"/>
      <x:c r="G147" s="7">
        <x:f>IF(A147="","",IF(01_Parametres!$B$11="Oui",IF((01_Parametres!$B$4*(D147&gt;0)+01_Parametres!$B$5*(E147&gt;0)+01_Parametres!$B$6*(F147&gt;0))=0,"",(01_Parametres!$B$4*IF(D147&gt;0,D147,0)+01_Parametres!$B$5*IF(E147&gt;0,E147,0)+01_Parametres!$B$6*IF(F147&gt;0,F147,0))/(01_Parametres!$B$4*(D147&gt;0)+01_Parametres!$B$5*(E147&gt;0)+01_Parametres!$B$6*(F147&gt;0))),IF(01_Parametres!$B$8=0,"",(01_Parametres!$B$4*D147+01_Parametres!$B$5*E147+01_Parametres!$B$6*F147)/01_Parametres!$B$8)))</x:f>
      </x:c>
      <x:c r="H147">
        <x:f>IFERROR(VLOOKUP(C147,02_Referentiels!$A$20:$D$99,3,FALSE),"")</x:f>
      </x:c>
      <x:c r="I147">
        <x:f>IFERROR(VLOOKUP(B147,02_Referentiels!$A$5:$C$16,2,FALSE),"")</x:f>
      </x:c>
      <x:c r="J147">
        <x:f>IF(A147="","",IF(OR(D147="",E147="",F147=""),1,IF(OR(D147&lt;0,D147&gt;3,E147&lt;0,E147&gt;3,F147&lt;0,F147&gt;3),1,0)))</x:f>
      </x:c>
      <x:c r="K147">
        <x:f>IF(A147="","",IF(G147="",1,0))</x:f>
      </x:c>
      <x:c r="L147">
        <x:f>IF(A147="","",IF(COUNTIFS($A$5:$A$2004,A147,$C$5:$C$2004,C147)&gt;1,1,0))</x:f>
      </x:c>
    </x:row>
    <x:row r="148">
      <x:c r="A148" s="8" t="n"/>
      <x:c r="B148" s="8" t="n"/>
      <x:c r="C148" s="8" t="n"/>
      <x:c r="D148" s="8" t="n"/>
      <x:c r="E148" s="8" t="n"/>
      <x:c r="F148" s="8" t="n"/>
      <x:c r="G148" s="7">
        <x:f>IF(A148="","",IF(01_Parametres!$B$11="Oui",IF((01_Parametres!$B$4*(D148&gt;0)+01_Parametres!$B$5*(E148&gt;0)+01_Parametres!$B$6*(F148&gt;0))=0,"",(01_Parametres!$B$4*IF(D148&gt;0,D148,0)+01_Parametres!$B$5*IF(E148&gt;0,E148,0)+01_Parametres!$B$6*IF(F148&gt;0,F148,0))/(01_Parametres!$B$4*(D148&gt;0)+01_Parametres!$B$5*(E148&gt;0)+01_Parametres!$B$6*(F148&gt;0))),IF(01_Parametres!$B$8=0,"",(01_Parametres!$B$4*D148+01_Parametres!$B$5*E148+01_Parametres!$B$6*F148)/01_Parametres!$B$8)))</x:f>
      </x:c>
      <x:c r="H148">
        <x:f>IFERROR(VLOOKUP(C148,02_Referentiels!$A$20:$D$99,3,FALSE),"")</x:f>
      </x:c>
      <x:c r="I148">
        <x:f>IFERROR(VLOOKUP(B148,02_Referentiels!$A$5:$C$16,2,FALSE),"")</x:f>
      </x:c>
      <x:c r="J148">
        <x:f>IF(A148="","",IF(OR(D148="",E148="",F148=""),1,IF(OR(D148&lt;0,D148&gt;3,E148&lt;0,E148&gt;3,F148&lt;0,F148&gt;3),1,0)))</x:f>
      </x:c>
      <x:c r="K148">
        <x:f>IF(A148="","",IF(G148="",1,0))</x:f>
      </x:c>
      <x:c r="L148">
        <x:f>IF(A148="","",IF(COUNTIFS($A$5:$A$2004,A148,$C$5:$C$2004,C148)&gt;1,1,0))</x:f>
      </x:c>
    </x:row>
    <x:row r="149">
      <x:c r="A149" s="8" t="n"/>
      <x:c r="B149" s="8" t="n"/>
      <x:c r="C149" s="8" t="n"/>
      <x:c r="D149" s="8" t="n"/>
      <x:c r="E149" s="8" t="n"/>
      <x:c r="F149" s="8" t="n"/>
      <x:c r="G149" s="7">
        <x:f>IF(A149="","",IF(01_Parametres!$B$11="Oui",IF((01_Parametres!$B$4*(D149&gt;0)+01_Parametres!$B$5*(E149&gt;0)+01_Parametres!$B$6*(F149&gt;0))=0,"",(01_Parametres!$B$4*IF(D149&gt;0,D149,0)+01_Parametres!$B$5*IF(E149&gt;0,E149,0)+01_Parametres!$B$6*IF(F149&gt;0,F149,0))/(01_Parametres!$B$4*(D149&gt;0)+01_Parametres!$B$5*(E149&gt;0)+01_Parametres!$B$6*(F149&gt;0))),IF(01_Parametres!$B$8=0,"",(01_Parametres!$B$4*D149+01_Parametres!$B$5*E149+01_Parametres!$B$6*F149)/01_Parametres!$B$8)))</x:f>
      </x:c>
      <x:c r="H149">
        <x:f>IFERROR(VLOOKUP(C149,02_Referentiels!$A$20:$D$99,3,FALSE),"")</x:f>
      </x:c>
      <x:c r="I149">
        <x:f>IFERROR(VLOOKUP(B149,02_Referentiels!$A$5:$C$16,2,FALSE),"")</x:f>
      </x:c>
      <x:c r="J149">
        <x:f>IF(A149="","",IF(OR(D149="",E149="",F149=""),1,IF(OR(D149&lt;0,D149&gt;3,E149&lt;0,E149&gt;3,F149&lt;0,F149&gt;3),1,0)))</x:f>
      </x:c>
      <x:c r="K149">
        <x:f>IF(A149="","",IF(G149="",1,0))</x:f>
      </x:c>
      <x:c r="L149">
        <x:f>IF(A149="","",IF(COUNTIFS($A$5:$A$2004,A149,$C$5:$C$2004,C149)&gt;1,1,0))</x:f>
      </x:c>
    </x:row>
    <x:row r="150">
      <x:c r="A150" s="8" t="n"/>
      <x:c r="B150" s="8" t="n"/>
      <x:c r="C150" s="8" t="n"/>
      <x:c r="D150" s="8" t="n"/>
      <x:c r="E150" s="8" t="n"/>
      <x:c r="F150" s="8" t="n"/>
      <x:c r="G150" s="7">
        <x:f>IF(A150="","",IF(01_Parametres!$B$11="Oui",IF((01_Parametres!$B$4*(D150&gt;0)+01_Parametres!$B$5*(E150&gt;0)+01_Parametres!$B$6*(F150&gt;0))=0,"",(01_Parametres!$B$4*IF(D150&gt;0,D150,0)+01_Parametres!$B$5*IF(E150&gt;0,E150,0)+01_Parametres!$B$6*IF(F150&gt;0,F150,0))/(01_Parametres!$B$4*(D150&gt;0)+01_Parametres!$B$5*(E150&gt;0)+01_Parametres!$B$6*(F150&gt;0))),IF(01_Parametres!$B$8=0,"",(01_Parametres!$B$4*D150+01_Parametres!$B$5*E150+01_Parametres!$B$6*F150)/01_Parametres!$B$8)))</x:f>
      </x:c>
      <x:c r="H150">
        <x:f>IFERROR(VLOOKUP(C150,02_Referentiels!$A$20:$D$99,3,FALSE),"")</x:f>
      </x:c>
      <x:c r="I150">
        <x:f>IFERROR(VLOOKUP(B150,02_Referentiels!$A$5:$C$16,2,FALSE),"")</x:f>
      </x:c>
      <x:c r="J150">
        <x:f>IF(A150="","",IF(OR(D150="",E150="",F150=""),1,IF(OR(D150&lt;0,D150&gt;3,E150&lt;0,E150&gt;3,F150&lt;0,F150&gt;3),1,0)))</x:f>
      </x:c>
      <x:c r="K150">
        <x:f>IF(A150="","",IF(G150="",1,0))</x:f>
      </x:c>
      <x:c r="L150">
        <x:f>IF(A150="","",IF(COUNTIFS($A$5:$A$2004,A150,$C$5:$C$2004,C150)&gt;1,1,0))</x:f>
      </x:c>
    </x:row>
    <x:row r="151">
      <x:c r="A151" s="8" t="n"/>
      <x:c r="B151" s="8" t="n"/>
      <x:c r="C151" s="8" t="n"/>
      <x:c r="D151" s="8" t="n"/>
      <x:c r="E151" s="8" t="n"/>
      <x:c r="F151" s="8" t="n"/>
      <x:c r="G151" s="7">
        <x:f>IF(A151="","",IF(01_Parametres!$B$11="Oui",IF((01_Parametres!$B$4*(D151&gt;0)+01_Parametres!$B$5*(E151&gt;0)+01_Parametres!$B$6*(F151&gt;0))=0,"",(01_Parametres!$B$4*IF(D151&gt;0,D151,0)+01_Parametres!$B$5*IF(E151&gt;0,E151,0)+01_Parametres!$B$6*IF(F151&gt;0,F151,0))/(01_Parametres!$B$4*(D151&gt;0)+01_Parametres!$B$5*(E151&gt;0)+01_Parametres!$B$6*(F151&gt;0))),IF(01_Parametres!$B$8=0,"",(01_Parametres!$B$4*D151+01_Parametres!$B$5*E151+01_Parametres!$B$6*F151)/01_Parametres!$B$8)))</x:f>
      </x:c>
      <x:c r="H151">
        <x:f>IFERROR(VLOOKUP(C151,02_Referentiels!$A$20:$D$99,3,FALSE),"")</x:f>
      </x:c>
      <x:c r="I151">
        <x:f>IFERROR(VLOOKUP(B151,02_Referentiels!$A$5:$C$16,2,FALSE),"")</x:f>
      </x:c>
      <x:c r="J151">
        <x:f>IF(A151="","",IF(OR(D151="",E151="",F151=""),1,IF(OR(D151&lt;0,D151&gt;3,E151&lt;0,E151&gt;3,F151&lt;0,F151&gt;3),1,0)))</x:f>
      </x:c>
      <x:c r="K151">
        <x:f>IF(A151="","",IF(G151="",1,0))</x:f>
      </x:c>
      <x:c r="L151">
        <x:f>IF(A151="","",IF(COUNTIFS($A$5:$A$2004,A151,$C$5:$C$2004,C151)&gt;1,1,0))</x:f>
      </x:c>
    </x:row>
    <x:row r="152">
      <x:c r="A152" s="8" t="n"/>
      <x:c r="B152" s="8" t="n"/>
      <x:c r="C152" s="8" t="n"/>
      <x:c r="D152" s="8" t="n"/>
      <x:c r="E152" s="8" t="n"/>
      <x:c r="F152" s="8" t="n"/>
      <x:c r="G152" s="7">
        <x:f>IF(A152="","",IF(01_Parametres!$B$11="Oui",IF((01_Parametres!$B$4*(D152&gt;0)+01_Parametres!$B$5*(E152&gt;0)+01_Parametres!$B$6*(F152&gt;0))=0,"",(01_Parametres!$B$4*IF(D152&gt;0,D152,0)+01_Parametres!$B$5*IF(E152&gt;0,E152,0)+01_Parametres!$B$6*IF(F152&gt;0,F152,0))/(01_Parametres!$B$4*(D152&gt;0)+01_Parametres!$B$5*(E152&gt;0)+01_Parametres!$B$6*(F152&gt;0))),IF(01_Parametres!$B$8=0,"",(01_Parametres!$B$4*D152+01_Parametres!$B$5*E152+01_Parametres!$B$6*F152)/01_Parametres!$B$8)))</x:f>
      </x:c>
      <x:c r="H152">
        <x:f>IFERROR(VLOOKUP(C152,02_Referentiels!$A$20:$D$99,3,FALSE),"")</x:f>
      </x:c>
      <x:c r="I152">
        <x:f>IFERROR(VLOOKUP(B152,02_Referentiels!$A$5:$C$16,2,FALSE),"")</x:f>
      </x:c>
      <x:c r="J152">
        <x:f>IF(A152="","",IF(OR(D152="",E152="",F152=""),1,IF(OR(D152&lt;0,D152&gt;3,E152&lt;0,E152&gt;3,F152&lt;0,F152&gt;3),1,0)))</x:f>
      </x:c>
      <x:c r="K152">
        <x:f>IF(A152="","",IF(G152="",1,0))</x:f>
      </x:c>
      <x:c r="L152">
        <x:f>IF(A152="","",IF(COUNTIFS($A$5:$A$2004,A152,$C$5:$C$2004,C152)&gt;1,1,0))</x:f>
      </x:c>
    </x:row>
    <x:row r="153">
      <x:c r="A153" s="8" t="n"/>
      <x:c r="B153" s="8" t="n"/>
      <x:c r="C153" s="8" t="n"/>
      <x:c r="D153" s="8" t="n"/>
      <x:c r="E153" s="8" t="n"/>
      <x:c r="F153" s="8" t="n"/>
      <x:c r="G153" s="7">
        <x:f>IF(A153="","",IF(01_Parametres!$B$11="Oui",IF((01_Parametres!$B$4*(D153&gt;0)+01_Parametres!$B$5*(E153&gt;0)+01_Parametres!$B$6*(F153&gt;0))=0,"",(01_Parametres!$B$4*IF(D153&gt;0,D153,0)+01_Parametres!$B$5*IF(E153&gt;0,E153,0)+01_Parametres!$B$6*IF(F153&gt;0,F153,0))/(01_Parametres!$B$4*(D153&gt;0)+01_Parametres!$B$5*(E153&gt;0)+01_Parametres!$B$6*(F153&gt;0))),IF(01_Parametres!$B$8=0,"",(01_Parametres!$B$4*D153+01_Parametres!$B$5*E153+01_Parametres!$B$6*F153)/01_Parametres!$B$8)))</x:f>
      </x:c>
      <x:c r="H153">
        <x:f>IFERROR(VLOOKUP(C153,02_Referentiels!$A$20:$D$99,3,FALSE),"")</x:f>
      </x:c>
      <x:c r="I153">
        <x:f>IFERROR(VLOOKUP(B153,02_Referentiels!$A$5:$C$16,2,FALSE),"")</x:f>
      </x:c>
      <x:c r="J153">
        <x:f>IF(A153="","",IF(OR(D153="",E153="",F153=""),1,IF(OR(D153&lt;0,D153&gt;3,E153&lt;0,E153&gt;3,F153&lt;0,F153&gt;3),1,0)))</x:f>
      </x:c>
      <x:c r="K153">
        <x:f>IF(A153="","",IF(G153="",1,0))</x:f>
      </x:c>
      <x:c r="L153">
        <x:f>IF(A153="","",IF(COUNTIFS($A$5:$A$2004,A153,$C$5:$C$2004,C153)&gt;1,1,0))</x:f>
      </x:c>
    </x:row>
    <x:row r="154">
      <x:c r="A154" s="8" t="n"/>
      <x:c r="B154" s="8" t="n"/>
      <x:c r="C154" s="8" t="n"/>
      <x:c r="D154" s="8" t="n"/>
      <x:c r="E154" s="8" t="n"/>
      <x:c r="F154" s="8" t="n"/>
      <x:c r="G154" s="7">
        <x:f>IF(A154="","",IF(01_Parametres!$B$11="Oui",IF((01_Parametres!$B$4*(D154&gt;0)+01_Parametres!$B$5*(E154&gt;0)+01_Parametres!$B$6*(F154&gt;0))=0,"",(01_Parametres!$B$4*IF(D154&gt;0,D154,0)+01_Parametres!$B$5*IF(E154&gt;0,E154,0)+01_Parametres!$B$6*IF(F154&gt;0,F154,0))/(01_Parametres!$B$4*(D154&gt;0)+01_Parametres!$B$5*(E154&gt;0)+01_Parametres!$B$6*(F154&gt;0))),IF(01_Parametres!$B$8=0,"",(01_Parametres!$B$4*D154+01_Parametres!$B$5*E154+01_Parametres!$B$6*F154)/01_Parametres!$B$8)))</x:f>
      </x:c>
      <x:c r="H154">
        <x:f>IFERROR(VLOOKUP(C154,02_Referentiels!$A$20:$D$99,3,FALSE),"")</x:f>
      </x:c>
      <x:c r="I154">
        <x:f>IFERROR(VLOOKUP(B154,02_Referentiels!$A$5:$C$16,2,FALSE),"")</x:f>
      </x:c>
      <x:c r="J154">
        <x:f>IF(A154="","",IF(OR(D154="",E154="",F154=""),1,IF(OR(D154&lt;0,D154&gt;3,E154&lt;0,E154&gt;3,F154&lt;0,F154&gt;3),1,0)))</x:f>
      </x:c>
      <x:c r="K154">
        <x:f>IF(A154="","",IF(G154="",1,0))</x:f>
      </x:c>
      <x:c r="L154">
        <x:f>IF(A154="","",IF(COUNTIFS($A$5:$A$2004,A154,$C$5:$C$2004,C154)&gt;1,1,0))</x:f>
      </x:c>
    </x:row>
    <x:row r="155">
      <x:c r="A155" s="8" t="n"/>
      <x:c r="B155" s="8" t="n"/>
      <x:c r="C155" s="8" t="n"/>
      <x:c r="D155" s="8" t="n"/>
      <x:c r="E155" s="8" t="n"/>
      <x:c r="F155" s="8" t="n"/>
      <x:c r="G155" s="7">
        <x:f>IF(A155="","",IF(01_Parametres!$B$11="Oui",IF((01_Parametres!$B$4*(D155&gt;0)+01_Parametres!$B$5*(E155&gt;0)+01_Parametres!$B$6*(F155&gt;0))=0,"",(01_Parametres!$B$4*IF(D155&gt;0,D155,0)+01_Parametres!$B$5*IF(E155&gt;0,E155,0)+01_Parametres!$B$6*IF(F155&gt;0,F155,0))/(01_Parametres!$B$4*(D155&gt;0)+01_Parametres!$B$5*(E155&gt;0)+01_Parametres!$B$6*(F155&gt;0))),IF(01_Parametres!$B$8=0,"",(01_Parametres!$B$4*D155+01_Parametres!$B$5*E155+01_Parametres!$B$6*F155)/01_Parametres!$B$8)))</x:f>
      </x:c>
      <x:c r="H155">
        <x:f>IFERROR(VLOOKUP(C155,02_Referentiels!$A$20:$D$99,3,FALSE),"")</x:f>
      </x:c>
      <x:c r="I155">
        <x:f>IFERROR(VLOOKUP(B155,02_Referentiels!$A$5:$C$16,2,FALSE),"")</x:f>
      </x:c>
      <x:c r="J155">
        <x:f>IF(A155="","",IF(OR(D155="",E155="",F155=""),1,IF(OR(D155&lt;0,D155&gt;3,E155&lt;0,E155&gt;3,F155&lt;0,F155&gt;3),1,0)))</x:f>
      </x:c>
      <x:c r="K155">
        <x:f>IF(A155="","",IF(G155="",1,0))</x:f>
      </x:c>
      <x:c r="L155">
        <x:f>IF(A155="","",IF(COUNTIFS($A$5:$A$2004,A155,$C$5:$C$2004,C155)&gt;1,1,0))</x:f>
      </x:c>
    </x:row>
    <x:row r="156">
      <x:c r="A156" s="8" t="n"/>
      <x:c r="B156" s="8" t="n"/>
      <x:c r="C156" s="8" t="n"/>
      <x:c r="D156" s="8" t="n"/>
      <x:c r="E156" s="8" t="n"/>
      <x:c r="F156" s="8" t="n"/>
      <x:c r="G156" s="7">
        <x:f>IF(A156="","",IF(01_Parametres!$B$11="Oui",IF((01_Parametres!$B$4*(D156&gt;0)+01_Parametres!$B$5*(E156&gt;0)+01_Parametres!$B$6*(F156&gt;0))=0,"",(01_Parametres!$B$4*IF(D156&gt;0,D156,0)+01_Parametres!$B$5*IF(E156&gt;0,E156,0)+01_Parametres!$B$6*IF(F156&gt;0,F156,0))/(01_Parametres!$B$4*(D156&gt;0)+01_Parametres!$B$5*(E156&gt;0)+01_Parametres!$B$6*(F156&gt;0))),IF(01_Parametres!$B$8=0,"",(01_Parametres!$B$4*D156+01_Parametres!$B$5*E156+01_Parametres!$B$6*F156)/01_Parametres!$B$8)))</x:f>
      </x:c>
      <x:c r="H156">
        <x:f>IFERROR(VLOOKUP(C156,02_Referentiels!$A$20:$D$99,3,FALSE),"")</x:f>
      </x:c>
      <x:c r="I156">
        <x:f>IFERROR(VLOOKUP(B156,02_Referentiels!$A$5:$C$16,2,FALSE),"")</x:f>
      </x:c>
      <x:c r="J156">
        <x:f>IF(A156="","",IF(OR(D156="",E156="",F156=""),1,IF(OR(D156&lt;0,D156&gt;3,E156&lt;0,E156&gt;3,F156&lt;0,F156&gt;3),1,0)))</x:f>
      </x:c>
      <x:c r="K156">
        <x:f>IF(A156="","",IF(G156="",1,0))</x:f>
      </x:c>
      <x:c r="L156">
        <x:f>IF(A156="","",IF(COUNTIFS($A$5:$A$2004,A156,$C$5:$C$2004,C156)&gt;1,1,0))</x:f>
      </x:c>
    </x:row>
    <x:row r="157">
      <x:c r="A157" s="8" t="n"/>
      <x:c r="B157" s="8" t="n"/>
      <x:c r="C157" s="8" t="n"/>
      <x:c r="D157" s="8" t="n"/>
      <x:c r="E157" s="8" t="n"/>
      <x:c r="F157" s="8" t="n"/>
      <x:c r="G157" s="7">
        <x:f>IF(A157="","",IF(01_Parametres!$B$11="Oui",IF((01_Parametres!$B$4*(D157&gt;0)+01_Parametres!$B$5*(E157&gt;0)+01_Parametres!$B$6*(F157&gt;0))=0,"",(01_Parametres!$B$4*IF(D157&gt;0,D157,0)+01_Parametres!$B$5*IF(E157&gt;0,E157,0)+01_Parametres!$B$6*IF(F157&gt;0,F157,0))/(01_Parametres!$B$4*(D157&gt;0)+01_Parametres!$B$5*(E157&gt;0)+01_Parametres!$B$6*(F157&gt;0))),IF(01_Parametres!$B$8=0,"",(01_Parametres!$B$4*D157+01_Parametres!$B$5*E157+01_Parametres!$B$6*F157)/01_Parametres!$B$8)))</x:f>
      </x:c>
      <x:c r="H157">
        <x:f>IFERROR(VLOOKUP(C157,02_Referentiels!$A$20:$D$99,3,FALSE),"")</x:f>
      </x:c>
      <x:c r="I157">
        <x:f>IFERROR(VLOOKUP(B157,02_Referentiels!$A$5:$C$16,2,FALSE),"")</x:f>
      </x:c>
      <x:c r="J157">
        <x:f>IF(A157="","",IF(OR(D157="",E157="",F157=""),1,IF(OR(D157&lt;0,D157&gt;3,E157&lt;0,E157&gt;3,F157&lt;0,F157&gt;3),1,0)))</x:f>
      </x:c>
      <x:c r="K157">
        <x:f>IF(A157="","",IF(G157="",1,0))</x:f>
      </x:c>
      <x:c r="L157">
        <x:f>IF(A157="","",IF(COUNTIFS($A$5:$A$2004,A157,$C$5:$C$2004,C157)&gt;1,1,0))</x:f>
      </x:c>
    </x:row>
    <x:row r="158">
      <x:c r="A158" s="8" t="n"/>
      <x:c r="B158" s="8" t="n"/>
      <x:c r="C158" s="8" t="n"/>
      <x:c r="D158" s="8" t="n"/>
      <x:c r="E158" s="8" t="n"/>
      <x:c r="F158" s="8" t="n"/>
      <x:c r="G158" s="7">
        <x:f>IF(A158="","",IF(01_Parametres!$B$11="Oui",IF((01_Parametres!$B$4*(D158&gt;0)+01_Parametres!$B$5*(E158&gt;0)+01_Parametres!$B$6*(F158&gt;0))=0,"",(01_Parametres!$B$4*IF(D158&gt;0,D158,0)+01_Parametres!$B$5*IF(E158&gt;0,E158,0)+01_Parametres!$B$6*IF(F158&gt;0,F158,0))/(01_Parametres!$B$4*(D158&gt;0)+01_Parametres!$B$5*(E158&gt;0)+01_Parametres!$B$6*(F158&gt;0))),IF(01_Parametres!$B$8=0,"",(01_Parametres!$B$4*D158+01_Parametres!$B$5*E158+01_Parametres!$B$6*F158)/01_Parametres!$B$8)))</x:f>
      </x:c>
      <x:c r="H158">
        <x:f>IFERROR(VLOOKUP(C158,02_Referentiels!$A$20:$D$99,3,FALSE),"")</x:f>
      </x:c>
      <x:c r="I158">
        <x:f>IFERROR(VLOOKUP(B158,02_Referentiels!$A$5:$C$16,2,FALSE),"")</x:f>
      </x:c>
      <x:c r="J158">
        <x:f>IF(A158="","",IF(OR(D158="",E158="",F158=""),1,IF(OR(D158&lt;0,D158&gt;3,E158&lt;0,E158&gt;3,F158&lt;0,F158&gt;3),1,0)))</x:f>
      </x:c>
      <x:c r="K158">
        <x:f>IF(A158="","",IF(G158="",1,0))</x:f>
      </x:c>
      <x:c r="L158">
        <x:f>IF(A158="","",IF(COUNTIFS($A$5:$A$2004,A158,$C$5:$C$2004,C158)&gt;1,1,0))</x:f>
      </x:c>
    </x:row>
    <x:row r="159">
      <x:c r="A159" s="8" t="n"/>
      <x:c r="B159" s="8" t="n"/>
      <x:c r="C159" s="8" t="n"/>
      <x:c r="D159" s="8" t="n"/>
      <x:c r="E159" s="8" t="n"/>
      <x:c r="F159" s="8" t="n"/>
      <x:c r="G159" s="7">
        <x:f>IF(A159="","",IF(01_Parametres!$B$11="Oui",IF((01_Parametres!$B$4*(D159&gt;0)+01_Parametres!$B$5*(E159&gt;0)+01_Parametres!$B$6*(F159&gt;0))=0,"",(01_Parametres!$B$4*IF(D159&gt;0,D159,0)+01_Parametres!$B$5*IF(E159&gt;0,E159,0)+01_Parametres!$B$6*IF(F159&gt;0,F159,0))/(01_Parametres!$B$4*(D159&gt;0)+01_Parametres!$B$5*(E159&gt;0)+01_Parametres!$B$6*(F159&gt;0))),IF(01_Parametres!$B$8=0,"",(01_Parametres!$B$4*D159+01_Parametres!$B$5*E159+01_Parametres!$B$6*F159)/01_Parametres!$B$8)))</x:f>
      </x:c>
      <x:c r="H159">
        <x:f>IFERROR(VLOOKUP(C159,02_Referentiels!$A$20:$D$99,3,FALSE),"")</x:f>
      </x:c>
      <x:c r="I159">
        <x:f>IFERROR(VLOOKUP(B159,02_Referentiels!$A$5:$C$16,2,FALSE),"")</x:f>
      </x:c>
      <x:c r="J159">
        <x:f>IF(A159="","",IF(OR(D159="",E159="",F159=""),1,IF(OR(D159&lt;0,D159&gt;3,E159&lt;0,E159&gt;3,F159&lt;0,F159&gt;3),1,0)))</x:f>
      </x:c>
      <x:c r="K159">
        <x:f>IF(A159="","",IF(G159="",1,0))</x:f>
      </x:c>
      <x:c r="L159">
        <x:f>IF(A159="","",IF(COUNTIFS($A$5:$A$2004,A159,$C$5:$C$2004,C159)&gt;1,1,0))</x:f>
      </x:c>
    </x:row>
    <x:row r="160">
      <x:c r="A160" s="8" t="n"/>
      <x:c r="B160" s="8" t="n"/>
      <x:c r="C160" s="8" t="n"/>
      <x:c r="D160" s="8" t="n"/>
      <x:c r="E160" s="8" t="n"/>
      <x:c r="F160" s="8" t="n"/>
      <x:c r="G160" s="7">
        <x:f>IF(A160="","",IF(01_Parametres!$B$11="Oui",IF((01_Parametres!$B$4*(D160&gt;0)+01_Parametres!$B$5*(E160&gt;0)+01_Parametres!$B$6*(F160&gt;0))=0,"",(01_Parametres!$B$4*IF(D160&gt;0,D160,0)+01_Parametres!$B$5*IF(E160&gt;0,E160,0)+01_Parametres!$B$6*IF(F160&gt;0,F160,0))/(01_Parametres!$B$4*(D160&gt;0)+01_Parametres!$B$5*(E160&gt;0)+01_Parametres!$B$6*(F160&gt;0))),IF(01_Parametres!$B$8=0,"",(01_Parametres!$B$4*D160+01_Parametres!$B$5*E160+01_Parametres!$B$6*F160)/01_Parametres!$B$8)))</x:f>
      </x:c>
      <x:c r="H160">
        <x:f>IFERROR(VLOOKUP(C160,02_Referentiels!$A$20:$D$99,3,FALSE),"")</x:f>
      </x:c>
      <x:c r="I160">
        <x:f>IFERROR(VLOOKUP(B160,02_Referentiels!$A$5:$C$16,2,FALSE),"")</x:f>
      </x:c>
      <x:c r="J160">
        <x:f>IF(A160="","",IF(OR(D160="",E160="",F160=""),1,IF(OR(D160&lt;0,D160&gt;3,E160&lt;0,E160&gt;3,F160&lt;0,F160&gt;3),1,0)))</x:f>
      </x:c>
      <x:c r="K160">
        <x:f>IF(A160="","",IF(G160="",1,0))</x:f>
      </x:c>
      <x:c r="L160">
        <x:f>IF(A160="","",IF(COUNTIFS($A$5:$A$2004,A160,$C$5:$C$2004,C160)&gt;1,1,0))</x:f>
      </x:c>
    </x:row>
    <x:row r="161">
      <x:c r="A161" s="8" t="n"/>
      <x:c r="B161" s="8" t="n"/>
      <x:c r="C161" s="8" t="n"/>
      <x:c r="D161" s="8" t="n"/>
      <x:c r="E161" s="8" t="n"/>
      <x:c r="F161" s="8" t="n"/>
      <x:c r="G161" s="7">
        <x:f>IF(A161="","",IF(01_Parametres!$B$11="Oui",IF((01_Parametres!$B$4*(D161&gt;0)+01_Parametres!$B$5*(E161&gt;0)+01_Parametres!$B$6*(F161&gt;0))=0,"",(01_Parametres!$B$4*IF(D161&gt;0,D161,0)+01_Parametres!$B$5*IF(E161&gt;0,E161,0)+01_Parametres!$B$6*IF(F161&gt;0,F161,0))/(01_Parametres!$B$4*(D161&gt;0)+01_Parametres!$B$5*(E161&gt;0)+01_Parametres!$B$6*(F161&gt;0))),IF(01_Parametres!$B$8=0,"",(01_Parametres!$B$4*D161+01_Parametres!$B$5*E161+01_Parametres!$B$6*F161)/01_Parametres!$B$8)))</x:f>
      </x:c>
      <x:c r="H161">
        <x:f>IFERROR(VLOOKUP(C161,02_Referentiels!$A$20:$D$99,3,FALSE),"")</x:f>
      </x:c>
      <x:c r="I161">
        <x:f>IFERROR(VLOOKUP(B161,02_Referentiels!$A$5:$C$16,2,FALSE),"")</x:f>
      </x:c>
      <x:c r="J161">
        <x:f>IF(A161="","",IF(OR(D161="",E161="",F161=""),1,IF(OR(D161&lt;0,D161&gt;3,E161&lt;0,E161&gt;3,F161&lt;0,F161&gt;3),1,0)))</x:f>
      </x:c>
      <x:c r="K161">
        <x:f>IF(A161="","",IF(G161="",1,0))</x:f>
      </x:c>
      <x:c r="L161">
        <x:f>IF(A161="","",IF(COUNTIFS($A$5:$A$2004,A161,$C$5:$C$2004,C161)&gt;1,1,0))</x:f>
      </x:c>
    </x:row>
    <x:row r="162">
      <x:c r="A162" s="8" t="n"/>
      <x:c r="B162" s="8" t="n"/>
      <x:c r="C162" s="8" t="n"/>
      <x:c r="D162" s="8" t="n"/>
      <x:c r="E162" s="8" t="n"/>
      <x:c r="F162" s="8" t="n"/>
      <x:c r="G162" s="7">
        <x:f>IF(A162="","",IF(01_Parametres!$B$11="Oui",IF((01_Parametres!$B$4*(D162&gt;0)+01_Parametres!$B$5*(E162&gt;0)+01_Parametres!$B$6*(F162&gt;0))=0,"",(01_Parametres!$B$4*IF(D162&gt;0,D162,0)+01_Parametres!$B$5*IF(E162&gt;0,E162,0)+01_Parametres!$B$6*IF(F162&gt;0,F162,0))/(01_Parametres!$B$4*(D162&gt;0)+01_Parametres!$B$5*(E162&gt;0)+01_Parametres!$B$6*(F162&gt;0))),IF(01_Parametres!$B$8=0,"",(01_Parametres!$B$4*D162+01_Parametres!$B$5*E162+01_Parametres!$B$6*F162)/01_Parametres!$B$8)))</x:f>
      </x:c>
      <x:c r="H162">
        <x:f>IFERROR(VLOOKUP(C162,02_Referentiels!$A$20:$D$99,3,FALSE),"")</x:f>
      </x:c>
      <x:c r="I162">
        <x:f>IFERROR(VLOOKUP(B162,02_Referentiels!$A$5:$C$16,2,FALSE),"")</x:f>
      </x:c>
      <x:c r="J162">
        <x:f>IF(A162="","",IF(OR(D162="",E162="",F162=""),1,IF(OR(D162&lt;0,D162&gt;3,E162&lt;0,E162&gt;3,F162&lt;0,F162&gt;3),1,0)))</x:f>
      </x:c>
      <x:c r="K162">
        <x:f>IF(A162="","",IF(G162="",1,0))</x:f>
      </x:c>
      <x:c r="L162">
        <x:f>IF(A162="","",IF(COUNTIFS($A$5:$A$2004,A162,$C$5:$C$2004,C162)&gt;1,1,0))</x:f>
      </x:c>
    </x:row>
    <x:row r="163">
      <x:c r="A163" s="8" t="n"/>
      <x:c r="B163" s="8" t="n"/>
      <x:c r="C163" s="8" t="n"/>
      <x:c r="D163" s="8" t="n"/>
      <x:c r="E163" s="8" t="n"/>
      <x:c r="F163" s="8" t="n"/>
      <x:c r="G163" s="7">
        <x:f>IF(A163="","",IF(01_Parametres!$B$11="Oui",IF((01_Parametres!$B$4*(D163&gt;0)+01_Parametres!$B$5*(E163&gt;0)+01_Parametres!$B$6*(F163&gt;0))=0,"",(01_Parametres!$B$4*IF(D163&gt;0,D163,0)+01_Parametres!$B$5*IF(E163&gt;0,E163,0)+01_Parametres!$B$6*IF(F163&gt;0,F163,0))/(01_Parametres!$B$4*(D163&gt;0)+01_Parametres!$B$5*(E163&gt;0)+01_Parametres!$B$6*(F163&gt;0))),IF(01_Parametres!$B$8=0,"",(01_Parametres!$B$4*D163+01_Parametres!$B$5*E163+01_Parametres!$B$6*F163)/01_Parametres!$B$8)))</x:f>
      </x:c>
      <x:c r="H163">
        <x:f>IFERROR(VLOOKUP(C163,02_Referentiels!$A$20:$D$99,3,FALSE),"")</x:f>
      </x:c>
      <x:c r="I163">
        <x:f>IFERROR(VLOOKUP(B163,02_Referentiels!$A$5:$C$16,2,FALSE),"")</x:f>
      </x:c>
      <x:c r="J163">
        <x:f>IF(A163="","",IF(OR(D163="",E163="",F163=""),1,IF(OR(D163&lt;0,D163&gt;3,E163&lt;0,E163&gt;3,F163&lt;0,F163&gt;3),1,0)))</x:f>
      </x:c>
      <x:c r="K163">
        <x:f>IF(A163="","",IF(G163="",1,0))</x:f>
      </x:c>
      <x:c r="L163">
        <x:f>IF(A163="","",IF(COUNTIFS($A$5:$A$2004,A163,$C$5:$C$2004,C163)&gt;1,1,0))</x:f>
      </x:c>
    </x:row>
    <x:row r="164">
      <x:c r="A164" s="8" t="n"/>
      <x:c r="B164" s="8" t="n"/>
      <x:c r="C164" s="8" t="n"/>
      <x:c r="D164" s="8" t="n"/>
      <x:c r="E164" s="8" t="n"/>
      <x:c r="F164" s="8" t="n"/>
      <x:c r="G164" s="7">
        <x:f>IF(A164="","",IF(01_Parametres!$B$11="Oui",IF((01_Parametres!$B$4*(D164&gt;0)+01_Parametres!$B$5*(E164&gt;0)+01_Parametres!$B$6*(F164&gt;0))=0,"",(01_Parametres!$B$4*IF(D164&gt;0,D164,0)+01_Parametres!$B$5*IF(E164&gt;0,E164,0)+01_Parametres!$B$6*IF(F164&gt;0,F164,0))/(01_Parametres!$B$4*(D164&gt;0)+01_Parametres!$B$5*(E164&gt;0)+01_Parametres!$B$6*(F164&gt;0))),IF(01_Parametres!$B$8=0,"",(01_Parametres!$B$4*D164+01_Parametres!$B$5*E164+01_Parametres!$B$6*F164)/01_Parametres!$B$8)))</x:f>
      </x:c>
      <x:c r="H164">
        <x:f>IFERROR(VLOOKUP(C164,02_Referentiels!$A$20:$D$99,3,FALSE),"")</x:f>
      </x:c>
      <x:c r="I164">
        <x:f>IFERROR(VLOOKUP(B164,02_Referentiels!$A$5:$C$16,2,FALSE),"")</x:f>
      </x:c>
      <x:c r="J164">
        <x:f>IF(A164="","",IF(OR(D164="",E164="",F164=""),1,IF(OR(D164&lt;0,D164&gt;3,E164&lt;0,E164&gt;3,F164&lt;0,F164&gt;3),1,0)))</x:f>
      </x:c>
      <x:c r="K164">
        <x:f>IF(A164="","",IF(G164="",1,0))</x:f>
      </x:c>
      <x:c r="L164">
        <x:f>IF(A164="","",IF(COUNTIFS($A$5:$A$2004,A164,$C$5:$C$2004,C164)&gt;1,1,0))</x:f>
      </x:c>
    </x:row>
    <x:row r="165">
      <x:c r="A165" s="8" t="n"/>
      <x:c r="B165" s="8" t="n"/>
      <x:c r="C165" s="8" t="n"/>
      <x:c r="D165" s="8" t="n"/>
      <x:c r="E165" s="8" t="n"/>
      <x:c r="F165" s="8" t="n"/>
      <x:c r="G165" s="7">
        <x:f>IF(A165="","",IF(01_Parametres!$B$11="Oui",IF((01_Parametres!$B$4*(D165&gt;0)+01_Parametres!$B$5*(E165&gt;0)+01_Parametres!$B$6*(F165&gt;0))=0,"",(01_Parametres!$B$4*IF(D165&gt;0,D165,0)+01_Parametres!$B$5*IF(E165&gt;0,E165,0)+01_Parametres!$B$6*IF(F165&gt;0,F165,0))/(01_Parametres!$B$4*(D165&gt;0)+01_Parametres!$B$5*(E165&gt;0)+01_Parametres!$B$6*(F165&gt;0))),IF(01_Parametres!$B$8=0,"",(01_Parametres!$B$4*D165+01_Parametres!$B$5*E165+01_Parametres!$B$6*F165)/01_Parametres!$B$8)))</x:f>
      </x:c>
      <x:c r="H165">
        <x:f>IFERROR(VLOOKUP(C165,02_Referentiels!$A$20:$D$99,3,FALSE),"")</x:f>
      </x:c>
      <x:c r="I165">
        <x:f>IFERROR(VLOOKUP(B165,02_Referentiels!$A$5:$C$16,2,FALSE),"")</x:f>
      </x:c>
      <x:c r="J165">
        <x:f>IF(A165="","",IF(OR(D165="",E165="",F165=""),1,IF(OR(D165&lt;0,D165&gt;3,E165&lt;0,E165&gt;3,F165&lt;0,F165&gt;3),1,0)))</x:f>
      </x:c>
      <x:c r="K165">
        <x:f>IF(A165="","",IF(G165="",1,0))</x:f>
      </x:c>
      <x:c r="L165">
        <x:f>IF(A165="","",IF(COUNTIFS($A$5:$A$2004,A165,$C$5:$C$2004,C165)&gt;1,1,0))</x:f>
      </x:c>
    </x:row>
    <x:row r="166">
      <x:c r="A166" s="8" t="n"/>
      <x:c r="B166" s="8" t="n"/>
      <x:c r="C166" s="8" t="n"/>
      <x:c r="D166" s="8" t="n"/>
      <x:c r="E166" s="8" t="n"/>
      <x:c r="F166" s="8" t="n"/>
      <x:c r="G166" s="7">
        <x:f>IF(A166="","",IF(01_Parametres!$B$11="Oui",IF((01_Parametres!$B$4*(D166&gt;0)+01_Parametres!$B$5*(E166&gt;0)+01_Parametres!$B$6*(F166&gt;0))=0,"",(01_Parametres!$B$4*IF(D166&gt;0,D166,0)+01_Parametres!$B$5*IF(E166&gt;0,E166,0)+01_Parametres!$B$6*IF(F166&gt;0,F166,0))/(01_Parametres!$B$4*(D166&gt;0)+01_Parametres!$B$5*(E166&gt;0)+01_Parametres!$B$6*(F166&gt;0))),IF(01_Parametres!$B$8=0,"",(01_Parametres!$B$4*D166+01_Parametres!$B$5*E166+01_Parametres!$B$6*F166)/01_Parametres!$B$8)))</x:f>
      </x:c>
      <x:c r="H166">
        <x:f>IFERROR(VLOOKUP(C166,02_Referentiels!$A$20:$D$99,3,FALSE),"")</x:f>
      </x:c>
      <x:c r="I166">
        <x:f>IFERROR(VLOOKUP(B166,02_Referentiels!$A$5:$C$16,2,FALSE),"")</x:f>
      </x:c>
      <x:c r="J166">
        <x:f>IF(A166="","",IF(OR(D166="",E166="",F166=""),1,IF(OR(D166&lt;0,D166&gt;3,E166&lt;0,E166&gt;3,F166&lt;0,F166&gt;3),1,0)))</x:f>
      </x:c>
      <x:c r="K166">
        <x:f>IF(A166="","",IF(G166="",1,0))</x:f>
      </x:c>
      <x:c r="L166">
        <x:f>IF(A166="","",IF(COUNTIFS($A$5:$A$2004,A166,$C$5:$C$2004,C166)&gt;1,1,0))</x:f>
      </x:c>
    </x:row>
    <x:row r="167">
      <x:c r="A167" s="8" t="n"/>
      <x:c r="B167" s="8" t="n"/>
      <x:c r="C167" s="8" t="n"/>
      <x:c r="D167" s="8" t="n"/>
      <x:c r="E167" s="8" t="n"/>
      <x:c r="F167" s="8" t="n"/>
      <x:c r="G167" s="7">
        <x:f>IF(A167="","",IF(01_Parametres!$B$11="Oui",IF((01_Parametres!$B$4*(D167&gt;0)+01_Parametres!$B$5*(E167&gt;0)+01_Parametres!$B$6*(F167&gt;0))=0,"",(01_Parametres!$B$4*IF(D167&gt;0,D167,0)+01_Parametres!$B$5*IF(E167&gt;0,E167,0)+01_Parametres!$B$6*IF(F167&gt;0,F167,0))/(01_Parametres!$B$4*(D167&gt;0)+01_Parametres!$B$5*(E167&gt;0)+01_Parametres!$B$6*(F167&gt;0))),IF(01_Parametres!$B$8=0,"",(01_Parametres!$B$4*D167+01_Parametres!$B$5*E167+01_Parametres!$B$6*F167)/01_Parametres!$B$8)))</x:f>
      </x:c>
      <x:c r="H167">
        <x:f>IFERROR(VLOOKUP(C167,02_Referentiels!$A$20:$D$99,3,FALSE),"")</x:f>
      </x:c>
      <x:c r="I167">
        <x:f>IFERROR(VLOOKUP(B167,02_Referentiels!$A$5:$C$16,2,FALSE),"")</x:f>
      </x:c>
      <x:c r="J167">
        <x:f>IF(A167="","",IF(OR(D167="",E167="",F167=""),1,IF(OR(D167&lt;0,D167&gt;3,E167&lt;0,E167&gt;3,F167&lt;0,F167&gt;3),1,0)))</x:f>
      </x:c>
      <x:c r="K167">
        <x:f>IF(A167="","",IF(G167="",1,0))</x:f>
      </x:c>
      <x:c r="L167">
        <x:f>IF(A167="","",IF(COUNTIFS($A$5:$A$2004,A167,$C$5:$C$2004,C167)&gt;1,1,0))</x:f>
      </x:c>
    </x:row>
    <x:row r="168">
      <x:c r="A168" s="8" t="n"/>
      <x:c r="B168" s="8" t="n"/>
      <x:c r="C168" s="8" t="n"/>
      <x:c r="D168" s="8" t="n"/>
      <x:c r="E168" s="8" t="n"/>
      <x:c r="F168" s="8" t="n"/>
      <x:c r="G168" s="7">
        <x:f>IF(A168="","",IF(01_Parametres!$B$11="Oui",IF((01_Parametres!$B$4*(D168&gt;0)+01_Parametres!$B$5*(E168&gt;0)+01_Parametres!$B$6*(F168&gt;0))=0,"",(01_Parametres!$B$4*IF(D168&gt;0,D168,0)+01_Parametres!$B$5*IF(E168&gt;0,E168,0)+01_Parametres!$B$6*IF(F168&gt;0,F168,0))/(01_Parametres!$B$4*(D168&gt;0)+01_Parametres!$B$5*(E168&gt;0)+01_Parametres!$B$6*(F168&gt;0))),IF(01_Parametres!$B$8=0,"",(01_Parametres!$B$4*D168+01_Parametres!$B$5*E168+01_Parametres!$B$6*F168)/01_Parametres!$B$8)))</x:f>
      </x:c>
      <x:c r="H168">
        <x:f>IFERROR(VLOOKUP(C168,02_Referentiels!$A$20:$D$99,3,FALSE),"")</x:f>
      </x:c>
      <x:c r="I168">
        <x:f>IFERROR(VLOOKUP(B168,02_Referentiels!$A$5:$C$16,2,FALSE),"")</x:f>
      </x:c>
      <x:c r="J168">
        <x:f>IF(A168="","",IF(OR(D168="",E168="",F168=""),1,IF(OR(D168&lt;0,D168&gt;3,E168&lt;0,E168&gt;3,F168&lt;0,F168&gt;3),1,0)))</x:f>
      </x:c>
      <x:c r="K168">
        <x:f>IF(A168="","",IF(G168="",1,0))</x:f>
      </x:c>
      <x:c r="L168">
        <x:f>IF(A168="","",IF(COUNTIFS($A$5:$A$2004,A168,$C$5:$C$2004,C168)&gt;1,1,0))</x:f>
      </x:c>
    </x:row>
    <x:row r="169">
      <x:c r="A169" s="8" t="n"/>
      <x:c r="B169" s="8" t="n"/>
      <x:c r="C169" s="8" t="n"/>
      <x:c r="D169" s="8" t="n"/>
      <x:c r="E169" s="8" t="n"/>
      <x:c r="F169" s="8" t="n"/>
      <x:c r="G169" s="7">
        <x:f>IF(A169="","",IF(01_Parametres!$B$11="Oui",IF((01_Parametres!$B$4*(D169&gt;0)+01_Parametres!$B$5*(E169&gt;0)+01_Parametres!$B$6*(F169&gt;0))=0,"",(01_Parametres!$B$4*IF(D169&gt;0,D169,0)+01_Parametres!$B$5*IF(E169&gt;0,E169,0)+01_Parametres!$B$6*IF(F169&gt;0,F169,0))/(01_Parametres!$B$4*(D169&gt;0)+01_Parametres!$B$5*(E169&gt;0)+01_Parametres!$B$6*(F169&gt;0))),IF(01_Parametres!$B$8=0,"",(01_Parametres!$B$4*D169+01_Parametres!$B$5*E169+01_Parametres!$B$6*F169)/01_Parametres!$B$8)))</x:f>
      </x:c>
      <x:c r="H169">
        <x:f>IFERROR(VLOOKUP(C169,02_Referentiels!$A$20:$D$99,3,FALSE),"")</x:f>
      </x:c>
      <x:c r="I169">
        <x:f>IFERROR(VLOOKUP(B169,02_Referentiels!$A$5:$C$16,2,FALSE),"")</x:f>
      </x:c>
      <x:c r="J169">
        <x:f>IF(A169="","",IF(OR(D169="",E169="",F169=""),1,IF(OR(D169&lt;0,D169&gt;3,E169&lt;0,E169&gt;3,F169&lt;0,F169&gt;3),1,0)))</x:f>
      </x:c>
      <x:c r="K169">
        <x:f>IF(A169="","",IF(G169="",1,0))</x:f>
      </x:c>
      <x:c r="L169">
        <x:f>IF(A169="","",IF(COUNTIFS($A$5:$A$2004,A169,$C$5:$C$2004,C169)&gt;1,1,0))</x:f>
      </x:c>
    </x:row>
    <x:row r="170">
      <x:c r="A170" s="8" t="n"/>
      <x:c r="B170" s="8" t="n"/>
      <x:c r="C170" s="8" t="n"/>
      <x:c r="D170" s="8" t="n"/>
      <x:c r="E170" s="8" t="n"/>
      <x:c r="F170" s="8" t="n"/>
      <x:c r="G170" s="7">
        <x:f>IF(A170="","",IF(01_Parametres!$B$11="Oui",IF((01_Parametres!$B$4*(D170&gt;0)+01_Parametres!$B$5*(E170&gt;0)+01_Parametres!$B$6*(F170&gt;0))=0,"",(01_Parametres!$B$4*IF(D170&gt;0,D170,0)+01_Parametres!$B$5*IF(E170&gt;0,E170,0)+01_Parametres!$B$6*IF(F170&gt;0,F170,0))/(01_Parametres!$B$4*(D170&gt;0)+01_Parametres!$B$5*(E170&gt;0)+01_Parametres!$B$6*(F170&gt;0))),IF(01_Parametres!$B$8=0,"",(01_Parametres!$B$4*D170+01_Parametres!$B$5*E170+01_Parametres!$B$6*F170)/01_Parametres!$B$8)))</x:f>
      </x:c>
      <x:c r="H170">
        <x:f>IFERROR(VLOOKUP(C170,02_Referentiels!$A$20:$D$99,3,FALSE),"")</x:f>
      </x:c>
      <x:c r="I170">
        <x:f>IFERROR(VLOOKUP(B170,02_Referentiels!$A$5:$C$16,2,FALSE),"")</x:f>
      </x:c>
      <x:c r="J170">
        <x:f>IF(A170="","",IF(OR(D170="",E170="",F170=""),1,IF(OR(D170&lt;0,D170&gt;3,E170&lt;0,E170&gt;3,F170&lt;0,F170&gt;3),1,0)))</x:f>
      </x:c>
      <x:c r="K170">
        <x:f>IF(A170="","",IF(G170="",1,0))</x:f>
      </x:c>
      <x:c r="L170">
        <x:f>IF(A170="","",IF(COUNTIFS($A$5:$A$2004,A170,$C$5:$C$2004,C170)&gt;1,1,0))</x:f>
      </x:c>
    </x:row>
    <x:row r="171">
      <x:c r="A171" s="8" t="n"/>
      <x:c r="B171" s="8" t="n"/>
      <x:c r="C171" s="8" t="n"/>
      <x:c r="D171" s="8" t="n"/>
      <x:c r="E171" s="8" t="n"/>
      <x:c r="F171" s="8" t="n"/>
      <x:c r="G171" s="7">
        <x:f>IF(A171="","",IF(01_Parametres!$B$11="Oui",IF((01_Parametres!$B$4*(D171&gt;0)+01_Parametres!$B$5*(E171&gt;0)+01_Parametres!$B$6*(F171&gt;0))=0,"",(01_Parametres!$B$4*IF(D171&gt;0,D171,0)+01_Parametres!$B$5*IF(E171&gt;0,E171,0)+01_Parametres!$B$6*IF(F171&gt;0,F171,0))/(01_Parametres!$B$4*(D171&gt;0)+01_Parametres!$B$5*(E171&gt;0)+01_Parametres!$B$6*(F171&gt;0))),IF(01_Parametres!$B$8=0,"",(01_Parametres!$B$4*D171+01_Parametres!$B$5*E171+01_Parametres!$B$6*F171)/01_Parametres!$B$8)))</x:f>
      </x:c>
      <x:c r="H171">
        <x:f>IFERROR(VLOOKUP(C171,02_Referentiels!$A$20:$D$99,3,FALSE),"")</x:f>
      </x:c>
      <x:c r="I171">
        <x:f>IFERROR(VLOOKUP(B171,02_Referentiels!$A$5:$C$16,2,FALSE),"")</x:f>
      </x:c>
      <x:c r="J171">
        <x:f>IF(A171="","",IF(OR(D171="",E171="",F171=""),1,IF(OR(D171&lt;0,D171&gt;3,E171&lt;0,E171&gt;3,F171&lt;0,F171&gt;3),1,0)))</x:f>
      </x:c>
      <x:c r="K171">
        <x:f>IF(A171="","",IF(G171="",1,0))</x:f>
      </x:c>
      <x:c r="L171">
        <x:f>IF(A171="","",IF(COUNTIFS($A$5:$A$2004,A171,$C$5:$C$2004,C171)&gt;1,1,0))</x:f>
      </x:c>
    </x:row>
    <x:row r="172">
      <x:c r="A172" s="8" t="n"/>
      <x:c r="B172" s="8" t="n"/>
      <x:c r="C172" s="8" t="n"/>
      <x:c r="D172" s="8" t="n"/>
      <x:c r="E172" s="8" t="n"/>
      <x:c r="F172" s="8" t="n"/>
      <x:c r="G172" s="7">
        <x:f>IF(A172="","",IF(01_Parametres!$B$11="Oui",IF((01_Parametres!$B$4*(D172&gt;0)+01_Parametres!$B$5*(E172&gt;0)+01_Parametres!$B$6*(F172&gt;0))=0,"",(01_Parametres!$B$4*IF(D172&gt;0,D172,0)+01_Parametres!$B$5*IF(E172&gt;0,E172,0)+01_Parametres!$B$6*IF(F172&gt;0,F172,0))/(01_Parametres!$B$4*(D172&gt;0)+01_Parametres!$B$5*(E172&gt;0)+01_Parametres!$B$6*(F172&gt;0))),IF(01_Parametres!$B$8=0,"",(01_Parametres!$B$4*D172+01_Parametres!$B$5*E172+01_Parametres!$B$6*F172)/01_Parametres!$B$8)))</x:f>
      </x:c>
      <x:c r="H172">
        <x:f>IFERROR(VLOOKUP(C172,02_Referentiels!$A$20:$D$99,3,FALSE),"")</x:f>
      </x:c>
      <x:c r="I172">
        <x:f>IFERROR(VLOOKUP(B172,02_Referentiels!$A$5:$C$16,2,FALSE),"")</x:f>
      </x:c>
      <x:c r="J172">
        <x:f>IF(A172="","",IF(OR(D172="",E172="",F172=""),1,IF(OR(D172&lt;0,D172&gt;3,E172&lt;0,E172&gt;3,F172&lt;0,F172&gt;3),1,0)))</x:f>
      </x:c>
      <x:c r="K172">
        <x:f>IF(A172="","",IF(G172="",1,0))</x:f>
      </x:c>
      <x:c r="L172">
        <x:f>IF(A172="","",IF(COUNTIFS($A$5:$A$2004,A172,$C$5:$C$2004,C172)&gt;1,1,0))</x:f>
      </x:c>
    </x:row>
    <x:row r="173">
      <x:c r="A173" s="8" t="n"/>
      <x:c r="B173" s="8" t="n"/>
      <x:c r="C173" s="8" t="n"/>
      <x:c r="D173" s="8" t="n"/>
      <x:c r="E173" s="8" t="n"/>
      <x:c r="F173" s="8" t="n"/>
      <x:c r="G173" s="7">
        <x:f>IF(A173="","",IF(01_Parametres!$B$11="Oui",IF((01_Parametres!$B$4*(D173&gt;0)+01_Parametres!$B$5*(E173&gt;0)+01_Parametres!$B$6*(F173&gt;0))=0,"",(01_Parametres!$B$4*IF(D173&gt;0,D173,0)+01_Parametres!$B$5*IF(E173&gt;0,E173,0)+01_Parametres!$B$6*IF(F173&gt;0,F173,0))/(01_Parametres!$B$4*(D173&gt;0)+01_Parametres!$B$5*(E173&gt;0)+01_Parametres!$B$6*(F173&gt;0))),IF(01_Parametres!$B$8=0,"",(01_Parametres!$B$4*D173+01_Parametres!$B$5*E173+01_Parametres!$B$6*F173)/01_Parametres!$B$8)))</x:f>
      </x:c>
      <x:c r="H173">
        <x:f>IFERROR(VLOOKUP(C173,02_Referentiels!$A$20:$D$99,3,FALSE),"")</x:f>
      </x:c>
      <x:c r="I173">
        <x:f>IFERROR(VLOOKUP(B173,02_Referentiels!$A$5:$C$16,2,FALSE),"")</x:f>
      </x:c>
      <x:c r="J173">
        <x:f>IF(A173="","",IF(OR(D173="",E173="",F173=""),1,IF(OR(D173&lt;0,D173&gt;3,E173&lt;0,E173&gt;3,F173&lt;0,F173&gt;3),1,0)))</x:f>
      </x:c>
      <x:c r="K173">
        <x:f>IF(A173="","",IF(G173="",1,0))</x:f>
      </x:c>
      <x:c r="L173">
        <x:f>IF(A173="","",IF(COUNTIFS($A$5:$A$2004,A173,$C$5:$C$2004,C173)&gt;1,1,0))</x:f>
      </x:c>
    </x:row>
    <x:row r="174">
      <x:c r="A174" s="8" t="n"/>
      <x:c r="B174" s="8" t="n"/>
      <x:c r="C174" s="8" t="n"/>
      <x:c r="D174" s="8" t="n"/>
      <x:c r="E174" s="8" t="n"/>
      <x:c r="F174" s="8" t="n"/>
      <x:c r="G174" s="7">
        <x:f>IF(A174="","",IF(01_Parametres!$B$11="Oui",IF((01_Parametres!$B$4*(D174&gt;0)+01_Parametres!$B$5*(E174&gt;0)+01_Parametres!$B$6*(F174&gt;0))=0,"",(01_Parametres!$B$4*IF(D174&gt;0,D174,0)+01_Parametres!$B$5*IF(E174&gt;0,E174,0)+01_Parametres!$B$6*IF(F174&gt;0,F174,0))/(01_Parametres!$B$4*(D174&gt;0)+01_Parametres!$B$5*(E174&gt;0)+01_Parametres!$B$6*(F174&gt;0))),IF(01_Parametres!$B$8=0,"",(01_Parametres!$B$4*D174+01_Parametres!$B$5*E174+01_Parametres!$B$6*F174)/01_Parametres!$B$8)))</x:f>
      </x:c>
      <x:c r="H174">
        <x:f>IFERROR(VLOOKUP(C174,02_Referentiels!$A$20:$D$99,3,FALSE),"")</x:f>
      </x:c>
      <x:c r="I174">
        <x:f>IFERROR(VLOOKUP(B174,02_Referentiels!$A$5:$C$16,2,FALSE),"")</x:f>
      </x:c>
      <x:c r="J174">
        <x:f>IF(A174="","",IF(OR(D174="",E174="",F174=""),1,IF(OR(D174&lt;0,D174&gt;3,E174&lt;0,E174&gt;3,F174&lt;0,F174&gt;3),1,0)))</x:f>
      </x:c>
      <x:c r="K174">
        <x:f>IF(A174="","",IF(G174="",1,0))</x:f>
      </x:c>
      <x:c r="L174">
        <x:f>IF(A174="","",IF(COUNTIFS($A$5:$A$2004,A174,$C$5:$C$2004,C174)&gt;1,1,0))</x:f>
      </x:c>
    </x:row>
    <x:row r="175">
      <x:c r="A175" s="8" t="n"/>
      <x:c r="B175" s="8" t="n"/>
      <x:c r="C175" s="8" t="n"/>
      <x:c r="D175" s="8" t="n"/>
      <x:c r="E175" s="8" t="n"/>
      <x:c r="F175" s="8" t="n"/>
      <x:c r="G175" s="7">
        <x:f>IF(A175="","",IF(01_Parametres!$B$11="Oui",IF((01_Parametres!$B$4*(D175&gt;0)+01_Parametres!$B$5*(E175&gt;0)+01_Parametres!$B$6*(F175&gt;0))=0,"",(01_Parametres!$B$4*IF(D175&gt;0,D175,0)+01_Parametres!$B$5*IF(E175&gt;0,E175,0)+01_Parametres!$B$6*IF(F175&gt;0,F175,0))/(01_Parametres!$B$4*(D175&gt;0)+01_Parametres!$B$5*(E175&gt;0)+01_Parametres!$B$6*(F175&gt;0))),IF(01_Parametres!$B$8=0,"",(01_Parametres!$B$4*D175+01_Parametres!$B$5*E175+01_Parametres!$B$6*F175)/01_Parametres!$B$8)))</x:f>
      </x:c>
      <x:c r="H175">
        <x:f>IFERROR(VLOOKUP(C175,02_Referentiels!$A$20:$D$99,3,FALSE),"")</x:f>
      </x:c>
      <x:c r="I175">
        <x:f>IFERROR(VLOOKUP(B175,02_Referentiels!$A$5:$C$16,2,FALSE),"")</x:f>
      </x:c>
      <x:c r="J175">
        <x:f>IF(A175="","",IF(OR(D175="",E175="",F175=""),1,IF(OR(D175&lt;0,D175&gt;3,E175&lt;0,E175&gt;3,F175&lt;0,F175&gt;3),1,0)))</x:f>
      </x:c>
      <x:c r="K175">
        <x:f>IF(A175="","",IF(G175="",1,0))</x:f>
      </x:c>
      <x:c r="L175">
        <x:f>IF(A175="","",IF(COUNTIFS($A$5:$A$2004,A175,$C$5:$C$2004,C175)&gt;1,1,0))</x:f>
      </x:c>
    </x:row>
    <x:row r="176">
      <x:c r="A176" s="8" t="n"/>
      <x:c r="B176" s="8" t="n"/>
      <x:c r="C176" s="8" t="n"/>
      <x:c r="D176" s="8" t="n"/>
      <x:c r="E176" s="8" t="n"/>
      <x:c r="F176" s="8" t="n"/>
      <x:c r="G176" s="7">
        <x:f>IF(A176="","",IF(01_Parametres!$B$11="Oui",IF((01_Parametres!$B$4*(D176&gt;0)+01_Parametres!$B$5*(E176&gt;0)+01_Parametres!$B$6*(F176&gt;0))=0,"",(01_Parametres!$B$4*IF(D176&gt;0,D176,0)+01_Parametres!$B$5*IF(E176&gt;0,E176,0)+01_Parametres!$B$6*IF(F176&gt;0,F176,0))/(01_Parametres!$B$4*(D176&gt;0)+01_Parametres!$B$5*(E176&gt;0)+01_Parametres!$B$6*(F176&gt;0))),IF(01_Parametres!$B$8=0,"",(01_Parametres!$B$4*D176+01_Parametres!$B$5*E176+01_Parametres!$B$6*F176)/01_Parametres!$B$8)))</x:f>
      </x:c>
      <x:c r="H176">
        <x:f>IFERROR(VLOOKUP(C176,02_Referentiels!$A$20:$D$99,3,FALSE),"")</x:f>
      </x:c>
      <x:c r="I176">
        <x:f>IFERROR(VLOOKUP(B176,02_Referentiels!$A$5:$C$16,2,FALSE),"")</x:f>
      </x:c>
      <x:c r="J176">
        <x:f>IF(A176="","",IF(OR(D176="",E176="",F176=""),1,IF(OR(D176&lt;0,D176&gt;3,E176&lt;0,E176&gt;3,F176&lt;0,F176&gt;3),1,0)))</x:f>
      </x:c>
      <x:c r="K176">
        <x:f>IF(A176="","",IF(G176="",1,0))</x:f>
      </x:c>
      <x:c r="L176">
        <x:f>IF(A176="","",IF(COUNTIFS($A$5:$A$2004,A176,$C$5:$C$2004,C176)&gt;1,1,0))</x:f>
      </x:c>
    </x:row>
    <x:row r="177">
      <x:c r="A177" s="8" t="n"/>
      <x:c r="B177" s="8" t="n"/>
      <x:c r="C177" s="8" t="n"/>
      <x:c r="D177" s="8" t="n"/>
      <x:c r="E177" s="8" t="n"/>
      <x:c r="F177" s="8" t="n"/>
      <x:c r="G177" s="7">
        <x:f>IF(A177="","",IF(01_Parametres!$B$11="Oui",IF((01_Parametres!$B$4*(D177&gt;0)+01_Parametres!$B$5*(E177&gt;0)+01_Parametres!$B$6*(F177&gt;0))=0,"",(01_Parametres!$B$4*IF(D177&gt;0,D177,0)+01_Parametres!$B$5*IF(E177&gt;0,E177,0)+01_Parametres!$B$6*IF(F177&gt;0,F177,0))/(01_Parametres!$B$4*(D177&gt;0)+01_Parametres!$B$5*(E177&gt;0)+01_Parametres!$B$6*(F177&gt;0))),IF(01_Parametres!$B$8=0,"",(01_Parametres!$B$4*D177+01_Parametres!$B$5*E177+01_Parametres!$B$6*F177)/01_Parametres!$B$8)))</x:f>
      </x:c>
      <x:c r="H177">
        <x:f>IFERROR(VLOOKUP(C177,02_Referentiels!$A$20:$D$99,3,FALSE),"")</x:f>
      </x:c>
      <x:c r="I177">
        <x:f>IFERROR(VLOOKUP(B177,02_Referentiels!$A$5:$C$16,2,FALSE),"")</x:f>
      </x:c>
      <x:c r="J177">
        <x:f>IF(A177="","",IF(OR(D177="",E177="",F177=""),1,IF(OR(D177&lt;0,D177&gt;3,E177&lt;0,E177&gt;3,F177&lt;0,F177&gt;3),1,0)))</x:f>
      </x:c>
      <x:c r="K177">
        <x:f>IF(A177="","",IF(G177="",1,0))</x:f>
      </x:c>
      <x:c r="L177">
        <x:f>IF(A177="","",IF(COUNTIFS($A$5:$A$2004,A177,$C$5:$C$2004,C177)&gt;1,1,0))</x:f>
      </x:c>
    </x:row>
    <x:row r="178">
      <x:c r="A178" s="8" t="n"/>
      <x:c r="B178" s="8" t="n"/>
      <x:c r="C178" s="8" t="n"/>
      <x:c r="D178" s="8" t="n"/>
      <x:c r="E178" s="8" t="n"/>
      <x:c r="F178" s="8" t="n"/>
      <x:c r="G178" s="7">
        <x:f>IF(A178="","",IF(01_Parametres!$B$11="Oui",IF((01_Parametres!$B$4*(D178&gt;0)+01_Parametres!$B$5*(E178&gt;0)+01_Parametres!$B$6*(F178&gt;0))=0,"",(01_Parametres!$B$4*IF(D178&gt;0,D178,0)+01_Parametres!$B$5*IF(E178&gt;0,E178,0)+01_Parametres!$B$6*IF(F178&gt;0,F178,0))/(01_Parametres!$B$4*(D178&gt;0)+01_Parametres!$B$5*(E178&gt;0)+01_Parametres!$B$6*(F178&gt;0))),IF(01_Parametres!$B$8=0,"",(01_Parametres!$B$4*D178+01_Parametres!$B$5*E178+01_Parametres!$B$6*F178)/01_Parametres!$B$8)))</x:f>
      </x:c>
      <x:c r="H178">
        <x:f>IFERROR(VLOOKUP(C178,02_Referentiels!$A$20:$D$99,3,FALSE),"")</x:f>
      </x:c>
      <x:c r="I178">
        <x:f>IFERROR(VLOOKUP(B178,02_Referentiels!$A$5:$C$16,2,FALSE),"")</x:f>
      </x:c>
      <x:c r="J178">
        <x:f>IF(A178="","",IF(OR(D178="",E178="",F178=""),1,IF(OR(D178&lt;0,D178&gt;3,E178&lt;0,E178&gt;3,F178&lt;0,F178&gt;3),1,0)))</x:f>
      </x:c>
      <x:c r="K178">
        <x:f>IF(A178="","",IF(G178="",1,0))</x:f>
      </x:c>
      <x:c r="L178">
        <x:f>IF(A178="","",IF(COUNTIFS($A$5:$A$2004,A178,$C$5:$C$2004,C178)&gt;1,1,0))</x:f>
      </x:c>
    </x:row>
    <x:row r="179">
      <x:c r="A179" s="8" t="n"/>
      <x:c r="B179" s="8" t="n"/>
      <x:c r="C179" s="8" t="n"/>
      <x:c r="D179" s="8" t="n"/>
      <x:c r="E179" s="8" t="n"/>
      <x:c r="F179" s="8" t="n"/>
      <x:c r="G179" s="7">
        <x:f>IF(A179="","",IF(01_Parametres!$B$11="Oui",IF((01_Parametres!$B$4*(D179&gt;0)+01_Parametres!$B$5*(E179&gt;0)+01_Parametres!$B$6*(F179&gt;0))=0,"",(01_Parametres!$B$4*IF(D179&gt;0,D179,0)+01_Parametres!$B$5*IF(E179&gt;0,E179,0)+01_Parametres!$B$6*IF(F179&gt;0,F179,0))/(01_Parametres!$B$4*(D179&gt;0)+01_Parametres!$B$5*(E179&gt;0)+01_Parametres!$B$6*(F179&gt;0))),IF(01_Parametres!$B$8=0,"",(01_Parametres!$B$4*D179+01_Parametres!$B$5*E179+01_Parametres!$B$6*F179)/01_Parametres!$B$8)))</x:f>
      </x:c>
      <x:c r="H179">
        <x:f>IFERROR(VLOOKUP(C179,02_Referentiels!$A$20:$D$99,3,FALSE),"")</x:f>
      </x:c>
      <x:c r="I179">
        <x:f>IFERROR(VLOOKUP(B179,02_Referentiels!$A$5:$C$16,2,FALSE),"")</x:f>
      </x:c>
      <x:c r="J179">
        <x:f>IF(A179="","",IF(OR(D179="",E179="",F179=""),1,IF(OR(D179&lt;0,D179&gt;3,E179&lt;0,E179&gt;3,F179&lt;0,F179&gt;3),1,0)))</x:f>
      </x:c>
      <x:c r="K179">
        <x:f>IF(A179="","",IF(G179="",1,0))</x:f>
      </x:c>
      <x:c r="L179">
        <x:f>IF(A179="","",IF(COUNTIFS($A$5:$A$2004,A179,$C$5:$C$2004,C179)&gt;1,1,0))</x:f>
      </x:c>
    </x:row>
    <x:row r="180">
      <x:c r="A180" s="8" t="n"/>
      <x:c r="B180" s="8" t="n"/>
      <x:c r="C180" s="8" t="n"/>
      <x:c r="D180" s="8" t="n"/>
      <x:c r="E180" s="8" t="n"/>
      <x:c r="F180" s="8" t="n"/>
      <x:c r="G180" s="7">
        <x:f>IF(A180="","",IF(01_Parametres!$B$11="Oui",IF((01_Parametres!$B$4*(D180&gt;0)+01_Parametres!$B$5*(E180&gt;0)+01_Parametres!$B$6*(F180&gt;0))=0,"",(01_Parametres!$B$4*IF(D180&gt;0,D180,0)+01_Parametres!$B$5*IF(E180&gt;0,E180,0)+01_Parametres!$B$6*IF(F180&gt;0,F180,0))/(01_Parametres!$B$4*(D180&gt;0)+01_Parametres!$B$5*(E180&gt;0)+01_Parametres!$B$6*(F180&gt;0))),IF(01_Parametres!$B$8=0,"",(01_Parametres!$B$4*D180+01_Parametres!$B$5*E180+01_Parametres!$B$6*F180)/01_Parametres!$B$8)))</x:f>
      </x:c>
      <x:c r="H180">
        <x:f>IFERROR(VLOOKUP(C180,02_Referentiels!$A$20:$D$99,3,FALSE),"")</x:f>
      </x:c>
      <x:c r="I180">
        <x:f>IFERROR(VLOOKUP(B180,02_Referentiels!$A$5:$C$16,2,FALSE),"")</x:f>
      </x:c>
      <x:c r="J180">
        <x:f>IF(A180="","",IF(OR(D180="",E180="",F180=""),1,IF(OR(D180&lt;0,D180&gt;3,E180&lt;0,E180&gt;3,F180&lt;0,F180&gt;3),1,0)))</x:f>
      </x:c>
      <x:c r="K180">
        <x:f>IF(A180="","",IF(G180="",1,0))</x:f>
      </x:c>
      <x:c r="L180">
        <x:f>IF(A180="","",IF(COUNTIFS($A$5:$A$2004,A180,$C$5:$C$2004,C180)&gt;1,1,0))</x:f>
      </x:c>
    </x:row>
    <x:row r="181">
      <x:c r="A181" s="8" t="n"/>
      <x:c r="B181" s="8" t="n"/>
      <x:c r="C181" s="8" t="n"/>
      <x:c r="D181" s="8" t="n"/>
      <x:c r="E181" s="8" t="n"/>
      <x:c r="F181" s="8" t="n"/>
      <x:c r="G181" s="7">
        <x:f>IF(A181="","",IF(01_Parametres!$B$11="Oui",IF((01_Parametres!$B$4*(D181&gt;0)+01_Parametres!$B$5*(E181&gt;0)+01_Parametres!$B$6*(F181&gt;0))=0,"",(01_Parametres!$B$4*IF(D181&gt;0,D181,0)+01_Parametres!$B$5*IF(E181&gt;0,E181,0)+01_Parametres!$B$6*IF(F181&gt;0,F181,0))/(01_Parametres!$B$4*(D181&gt;0)+01_Parametres!$B$5*(E181&gt;0)+01_Parametres!$B$6*(F181&gt;0))),IF(01_Parametres!$B$8=0,"",(01_Parametres!$B$4*D181+01_Parametres!$B$5*E181+01_Parametres!$B$6*F181)/01_Parametres!$B$8)))</x:f>
      </x:c>
      <x:c r="H181">
        <x:f>IFERROR(VLOOKUP(C181,02_Referentiels!$A$20:$D$99,3,FALSE),"")</x:f>
      </x:c>
      <x:c r="I181">
        <x:f>IFERROR(VLOOKUP(B181,02_Referentiels!$A$5:$C$16,2,FALSE),"")</x:f>
      </x:c>
      <x:c r="J181">
        <x:f>IF(A181="","",IF(OR(D181="",E181="",F181=""),1,IF(OR(D181&lt;0,D181&gt;3,E181&lt;0,E181&gt;3,F181&lt;0,F181&gt;3),1,0)))</x:f>
      </x:c>
      <x:c r="K181">
        <x:f>IF(A181="","",IF(G181="",1,0))</x:f>
      </x:c>
      <x:c r="L181">
        <x:f>IF(A181="","",IF(COUNTIFS($A$5:$A$2004,A181,$C$5:$C$2004,C181)&gt;1,1,0))</x:f>
      </x:c>
    </x:row>
    <x:row r="182">
      <x:c r="A182" s="8" t="n"/>
      <x:c r="B182" s="8" t="n"/>
      <x:c r="C182" s="8" t="n"/>
      <x:c r="D182" s="8" t="n"/>
      <x:c r="E182" s="8" t="n"/>
      <x:c r="F182" s="8" t="n"/>
      <x:c r="G182" s="7">
        <x:f>IF(A182="","",IF(01_Parametres!$B$11="Oui",IF((01_Parametres!$B$4*(D182&gt;0)+01_Parametres!$B$5*(E182&gt;0)+01_Parametres!$B$6*(F182&gt;0))=0,"",(01_Parametres!$B$4*IF(D182&gt;0,D182,0)+01_Parametres!$B$5*IF(E182&gt;0,E182,0)+01_Parametres!$B$6*IF(F182&gt;0,F182,0))/(01_Parametres!$B$4*(D182&gt;0)+01_Parametres!$B$5*(E182&gt;0)+01_Parametres!$B$6*(F182&gt;0))),IF(01_Parametres!$B$8=0,"",(01_Parametres!$B$4*D182+01_Parametres!$B$5*E182+01_Parametres!$B$6*F182)/01_Parametres!$B$8)))</x:f>
      </x:c>
      <x:c r="H182">
        <x:f>IFERROR(VLOOKUP(C182,02_Referentiels!$A$20:$D$99,3,FALSE),"")</x:f>
      </x:c>
      <x:c r="I182">
        <x:f>IFERROR(VLOOKUP(B182,02_Referentiels!$A$5:$C$16,2,FALSE),"")</x:f>
      </x:c>
      <x:c r="J182">
        <x:f>IF(A182="","",IF(OR(D182="",E182="",F182=""),1,IF(OR(D182&lt;0,D182&gt;3,E182&lt;0,E182&gt;3,F182&lt;0,F182&gt;3),1,0)))</x:f>
      </x:c>
      <x:c r="K182">
        <x:f>IF(A182="","",IF(G182="",1,0))</x:f>
      </x:c>
      <x:c r="L182">
        <x:f>IF(A182="","",IF(COUNTIFS($A$5:$A$2004,A182,$C$5:$C$2004,C182)&gt;1,1,0))</x:f>
      </x:c>
    </x:row>
    <x:row r="183">
      <x:c r="A183" s="8" t="n"/>
      <x:c r="B183" s="8" t="n"/>
      <x:c r="C183" s="8" t="n"/>
      <x:c r="D183" s="8" t="n"/>
      <x:c r="E183" s="8" t="n"/>
      <x:c r="F183" s="8" t="n"/>
      <x:c r="G183" s="7">
        <x:f>IF(A183="","",IF(01_Parametres!$B$11="Oui",IF((01_Parametres!$B$4*(D183&gt;0)+01_Parametres!$B$5*(E183&gt;0)+01_Parametres!$B$6*(F183&gt;0))=0,"",(01_Parametres!$B$4*IF(D183&gt;0,D183,0)+01_Parametres!$B$5*IF(E183&gt;0,E183,0)+01_Parametres!$B$6*IF(F183&gt;0,F183,0))/(01_Parametres!$B$4*(D183&gt;0)+01_Parametres!$B$5*(E183&gt;0)+01_Parametres!$B$6*(F183&gt;0))),IF(01_Parametres!$B$8=0,"",(01_Parametres!$B$4*D183+01_Parametres!$B$5*E183+01_Parametres!$B$6*F183)/01_Parametres!$B$8)))</x:f>
      </x:c>
      <x:c r="H183">
        <x:f>IFERROR(VLOOKUP(C183,02_Referentiels!$A$20:$D$99,3,FALSE),"")</x:f>
      </x:c>
      <x:c r="I183">
        <x:f>IFERROR(VLOOKUP(B183,02_Referentiels!$A$5:$C$16,2,FALSE),"")</x:f>
      </x:c>
      <x:c r="J183">
        <x:f>IF(A183="","",IF(OR(D183="",E183="",F183=""),1,IF(OR(D183&lt;0,D183&gt;3,E183&lt;0,E183&gt;3,F183&lt;0,F183&gt;3),1,0)))</x:f>
      </x:c>
      <x:c r="K183">
        <x:f>IF(A183="","",IF(G183="",1,0))</x:f>
      </x:c>
      <x:c r="L183">
        <x:f>IF(A183="","",IF(COUNTIFS($A$5:$A$2004,A183,$C$5:$C$2004,C183)&gt;1,1,0))</x:f>
      </x:c>
    </x:row>
    <x:row r="184">
      <x:c r="A184" s="8" t="n"/>
      <x:c r="B184" s="8" t="n"/>
      <x:c r="C184" s="8" t="n"/>
      <x:c r="D184" s="8" t="n"/>
      <x:c r="E184" s="8" t="n"/>
      <x:c r="F184" s="8" t="n"/>
      <x:c r="G184" s="7">
        <x:f>IF(A184="","",IF(01_Parametres!$B$11="Oui",IF((01_Parametres!$B$4*(D184&gt;0)+01_Parametres!$B$5*(E184&gt;0)+01_Parametres!$B$6*(F184&gt;0))=0,"",(01_Parametres!$B$4*IF(D184&gt;0,D184,0)+01_Parametres!$B$5*IF(E184&gt;0,E184,0)+01_Parametres!$B$6*IF(F184&gt;0,F184,0))/(01_Parametres!$B$4*(D184&gt;0)+01_Parametres!$B$5*(E184&gt;0)+01_Parametres!$B$6*(F184&gt;0))),IF(01_Parametres!$B$8=0,"",(01_Parametres!$B$4*D184+01_Parametres!$B$5*E184+01_Parametres!$B$6*F184)/01_Parametres!$B$8)))</x:f>
      </x:c>
      <x:c r="H184">
        <x:f>IFERROR(VLOOKUP(C184,02_Referentiels!$A$20:$D$99,3,FALSE),"")</x:f>
      </x:c>
      <x:c r="I184">
        <x:f>IFERROR(VLOOKUP(B184,02_Referentiels!$A$5:$C$16,2,FALSE),"")</x:f>
      </x:c>
      <x:c r="J184">
        <x:f>IF(A184="","",IF(OR(D184="",E184="",F184=""),1,IF(OR(D184&lt;0,D184&gt;3,E184&lt;0,E184&gt;3,F184&lt;0,F184&gt;3),1,0)))</x:f>
      </x:c>
      <x:c r="K184">
        <x:f>IF(A184="","",IF(G184="",1,0))</x:f>
      </x:c>
      <x:c r="L184">
        <x:f>IF(A184="","",IF(COUNTIFS($A$5:$A$2004,A184,$C$5:$C$2004,C184)&gt;1,1,0))</x:f>
      </x:c>
    </x:row>
    <x:row r="185">
      <x:c r="A185" s="8" t="n"/>
      <x:c r="B185" s="8" t="n"/>
      <x:c r="C185" s="8" t="n"/>
      <x:c r="D185" s="8" t="n"/>
      <x:c r="E185" s="8" t="n"/>
      <x:c r="F185" s="8" t="n"/>
      <x:c r="G185" s="7">
        <x:f>IF(A185="","",IF(01_Parametres!$B$11="Oui",IF((01_Parametres!$B$4*(D185&gt;0)+01_Parametres!$B$5*(E185&gt;0)+01_Parametres!$B$6*(F185&gt;0))=0,"",(01_Parametres!$B$4*IF(D185&gt;0,D185,0)+01_Parametres!$B$5*IF(E185&gt;0,E185,0)+01_Parametres!$B$6*IF(F185&gt;0,F185,0))/(01_Parametres!$B$4*(D185&gt;0)+01_Parametres!$B$5*(E185&gt;0)+01_Parametres!$B$6*(F185&gt;0))),IF(01_Parametres!$B$8=0,"",(01_Parametres!$B$4*D185+01_Parametres!$B$5*E185+01_Parametres!$B$6*F185)/01_Parametres!$B$8)))</x:f>
      </x:c>
      <x:c r="H185">
        <x:f>IFERROR(VLOOKUP(C185,02_Referentiels!$A$20:$D$99,3,FALSE),"")</x:f>
      </x:c>
      <x:c r="I185">
        <x:f>IFERROR(VLOOKUP(B185,02_Referentiels!$A$5:$C$16,2,FALSE),"")</x:f>
      </x:c>
      <x:c r="J185">
        <x:f>IF(A185="","",IF(OR(D185="",E185="",F185=""),1,IF(OR(D185&lt;0,D185&gt;3,E185&lt;0,E185&gt;3,F185&lt;0,F185&gt;3),1,0)))</x:f>
      </x:c>
      <x:c r="K185">
        <x:f>IF(A185="","",IF(G185="",1,0))</x:f>
      </x:c>
      <x:c r="L185">
        <x:f>IF(A185="","",IF(COUNTIFS($A$5:$A$2004,A185,$C$5:$C$2004,C185)&gt;1,1,0))</x:f>
      </x:c>
    </x:row>
    <x:row r="186">
      <x:c r="A186" s="8" t="n"/>
      <x:c r="B186" s="8" t="n"/>
      <x:c r="C186" s="8" t="n"/>
      <x:c r="D186" s="8" t="n"/>
      <x:c r="E186" s="8" t="n"/>
      <x:c r="F186" s="8" t="n"/>
      <x:c r="G186" s="7">
        <x:f>IF(A186="","",IF(01_Parametres!$B$11="Oui",IF((01_Parametres!$B$4*(D186&gt;0)+01_Parametres!$B$5*(E186&gt;0)+01_Parametres!$B$6*(F186&gt;0))=0,"",(01_Parametres!$B$4*IF(D186&gt;0,D186,0)+01_Parametres!$B$5*IF(E186&gt;0,E186,0)+01_Parametres!$B$6*IF(F186&gt;0,F186,0))/(01_Parametres!$B$4*(D186&gt;0)+01_Parametres!$B$5*(E186&gt;0)+01_Parametres!$B$6*(F186&gt;0))),IF(01_Parametres!$B$8=0,"",(01_Parametres!$B$4*D186+01_Parametres!$B$5*E186+01_Parametres!$B$6*F186)/01_Parametres!$B$8)))</x:f>
      </x:c>
      <x:c r="H186">
        <x:f>IFERROR(VLOOKUP(C186,02_Referentiels!$A$20:$D$99,3,FALSE),"")</x:f>
      </x:c>
      <x:c r="I186">
        <x:f>IFERROR(VLOOKUP(B186,02_Referentiels!$A$5:$C$16,2,FALSE),"")</x:f>
      </x:c>
      <x:c r="J186">
        <x:f>IF(A186="","",IF(OR(D186="",E186="",F186=""),1,IF(OR(D186&lt;0,D186&gt;3,E186&lt;0,E186&gt;3,F186&lt;0,F186&gt;3),1,0)))</x:f>
      </x:c>
      <x:c r="K186">
        <x:f>IF(A186="","",IF(G186="",1,0))</x:f>
      </x:c>
      <x:c r="L186">
        <x:f>IF(A186="","",IF(COUNTIFS($A$5:$A$2004,A186,$C$5:$C$2004,C186)&gt;1,1,0))</x:f>
      </x:c>
    </x:row>
    <x:row r="187">
      <x:c r="A187" s="8" t="n"/>
      <x:c r="B187" s="8" t="n"/>
      <x:c r="C187" s="8" t="n"/>
      <x:c r="D187" s="8" t="n"/>
      <x:c r="E187" s="8" t="n"/>
      <x:c r="F187" s="8" t="n"/>
      <x:c r="G187" s="7">
        <x:f>IF(A187="","",IF(01_Parametres!$B$11="Oui",IF((01_Parametres!$B$4*(D187&gt;0)+01_Parametres!$B$5*(E187&gt;0)+01_Parametres!$B$6*(F187&gt;0))=0,"",(01_Parametres!$B$4*IF(D187&gt;0,D187,0)+01_Parametres!$B$5*IF(E187&gt;0,E187,0)+01_Parametres!$B$6*IF(F187&gt;0,F187,0))/(01_Parametres!$B$4*(D187&gt;0)+01_Parametres!$B$5*(E187&gt;0)+01_Parametres!$B$6*(F187&gt;0))),IF(01_Parametres!$B$8=0,"",(01_Parametres!$B$4*D187+01_Parametres!$B$5*E187+01_Parametres!$B$6*F187)/01_Parametres!$B$8)))</x:f>
      </x:c>
      <x:c r="H187">
        <x:f>IFERROR(VLOOKUP(C187,02_Referentiels!$A$20:$D$99,3,FALSE),"")</x:f>
      </x:c>
      <x:c r="I187">
        <x:f>IFERROR(VLOOKUP(B187,02_Referentiels!$A$5:$C$16,2,FALSE),"")</x:f>
      </x:c>
      <x:c r="J187">
        <x:f>IF(A187="","",IF(OR(D187="",E187="",F187=""),1,IF(OR(D187&lt;0,D187&gt;3,E187&lt;0,E187&gt;3,F187&lt;0,F187&gt;3),1,0)))</x:f>
      </x:c>
      <x:c r="K187">
        <x:f>IF(A187="","",IF(G187="",1,0))</x:f>
      </x:c>
      <x:c r="L187">
        <x:f>IF(A187="","",IF(COUNTIFS($A$5:$A$2004,A187,$C$5:$C$2004,C187)&gt;1,1,0))</x:f>
      </x:c>
    </x:row>
    <x:row r="188">
      <x:c r="A188" s="8" t="n"/>
      <x:c r="B188" s="8" t="n"/>
      <x:c r="C188" s="8" t="n"/>
      <x:c r="D188" s="8" t="n"/>
      <x:c r="E188" s="8" t="n"/>
      <x:c r="F188" s="8" t="n"/>
      <x:c r="G188" s="7">
        <x:f>IF(A188="","",IF(01_Parametres!$B$11="Oui",IF((01_Parametres!$B$4*(D188&gt;0)+01_Parametres!$B$5*(E188&gt;0)+01_Parametres!$B$6*(F188&gt;0))=0,"",(01_Parametres!$B$4*IF(D188&gt;0,D188,0)+01_Parametres!$B$5*IF(E188&gt;0,E188,0)+01_Parametres!$B$6*IF(F188&gt;0,F188,0))/(01_Parametres!$B$4*(D188&gt;0)+01_Parametres!$B$5*(E188&gt;0)+01_Parametres!$B$6*(F188&gt;0))),IF(01_Parametres!$B$8=0,"",(01_Parametres!$B$4*D188+01_Parametres!$B$5*E188+01_Parametres!$B$6*F188)/01_Parametres!$B$8)))</x:f>
      </x:c>
      <x:c r="H188">
        <x:f>IFERROR(VLOOKUP(C188,02_Referentiels!$A$20:$D$99,3,FALSE),"")</x:f>
      </x:c>
      <x:c r="I188">
        <x:f>IFERROR(VLOOKUP(B188,02_Referentiels!$A$5:$C$16,2,FALSE),"")</x:f>
      </x:c>
      <x:c r="J188">
        <x:f>IF(A188="","",IF(OR(D188="",E188="",F188=""),1,IF(OR(D188&lt;0,D188&gt;3,E188&lt;0,E188&gt;3,F188&lt;0,F188&gt;3),1,0)))</x:f>
      </x:c>
      <x:c r="K188">
        <x:f>IF(A188="","",IF(G188="",1,0))</x:f>
      </x:c>
      <x:c r="L188">
        <x:f>IF(A188="","",IF(COUNTIFS($A$5:$A$2004,A188,$C$5:$C$2004,C188)&gt;1,1,0))</x:f>
      </x:c>
    </x:row>
    <x:row r="189">
      <x:c r="A189" s="8" t="n"/>
      <x:c r="B189" s="8" t="n"/>
      <x:c r="C189" s="8" t="n"/>
      <x:c r="D189" s="8" t="n"/>
      <x:c r="E189" s="8" t="n"/>
      <x:c r="F189" s="8" t="n"/>
      <x:c r="G189" s="7">
        <x:f>IF(A189="","",IF(01_Parametres!$B$11="Oui",IF((01_Parametres!$B$4*(D189&gt;0)+01_Parametres!$B$5*(E189&gt;0)+01_Parametres!$B$6*(F189&gt;0))=0,"",(01_Parametres!$B$4*IF(D189&gt;0,D189,0)+01_Parametres!$B$5*IF(E189&gt;0,E189,0)+01_Parametres!$B$6*IF(F189&gt;0,F189,0))/(01_Parametres!$B$4*(D189&gt;0)+01_Parametres!$B$5*(E189&gt;0)+01_Parametres!$B$6*(F189&gt;0))),IF(01_Parametres!$B$8=0,"",(01_Parametres!$B$4*D189+01_Parametres!$B$5*E189+01_Parametres!$B$6*F189)/01_Parametres!$B$8)))</x:f>
      </x:c>
      <x:c r="H189">
        <x:f>IFERROR(VLOOKUP(C189,02_Referentiels!$A$20:$D$99,3,FALSE),"")</x:f>
      </x:c>
      <x:c r="I189">
        <x:f>IFERROR(VLOOKUP(B189,02_Referentiels!$A$5:$C$16,2,FALSE),"")</x:f>
      </x:c>
      <x:c r="J189">
        <x:f>IF(A189="","",IF(OR(D189="",E189="",F189=""),1,IF(OR(D189&lt;0,D189&gt;3,E189&lt;0,E189&gt;3,F189&lt;0,F189&gt;3),1,0)))</x:f>
      </x:c>
      <x:c r="K189">
        <x:f>IF(A189="","",IF(G189="",1,0))</x:f>
      </x:c>
      <x:c r="L189">
        <x:f>IF(A189="","",IF(COUNTIFS($A$5:$A$2004,A189,$C$5:$C$2004,C189)&gt;1,1,0))</x:f>
      </x:c>
    </x:row>
    <x:row r="190">
      <x:c r="A190" s="8" t="n"/>
      <x:c r="B190" s="8" t="n"/>
      <x:c r="C190" s="8" t="n"/>
      <x:c r="D190" s="8" t="n"/>
      <x:c r="E190" s="8" t="n"/>
      <x:c r="F190" s="8" t="n"/>
      <x:c r="G190" s="7">
        <x:f>IF(A190="","",IF(01_Parametres!$B$11="Oui",IF((01_Parametres!$B$4*(D190&gt;0)+01_Parametres!$B$5*(E190&gt;0)+01_Parametres!$B$6*(F190&gt;0))=0,"",(01_Parametres!$B$4*IF(D190&gt;0,D190,0)+01_Parametres!$B$5*IF(E190&gt;0,E190,0)+01_Parametres!$B$6*IF(F190&gt;0,F190,0))/(01_Parametres!$B$4*(D190&gt;0)+01_Parametres!$B$5*(E190&gt;0)+01_Parametres!$B$6*(F190&gt;0))),IF(01_Parametres!$B$8=0,"",(01_Parametres!$B$4*D190+01_Parametres!$B$5*E190+01_Parametres!$B$6*F190)/01_Parametres!$B$8)))</x:f>
      </x:c>
      <x:c r="H190">
        <x:f>IFERROR(VLOOKUP(C190,02_Referentiels!$A$20:$D$99,3,FALSE),"")</x:f>
      </x:c>
      <x:c r="I190">
        <x:f>IFERROR(VLOOKUP(B190,02_Referentiels!$A$5:$C$16,2,FALSE),"")</x:f>
      </x:c>
      <x:c r="J190">
        <x:f>IF(A190="","",IF(OR(D190="",E190="",F190=""),1,IF(OR(D190&lt;0,D190&gt;3,E190&lt;0,E190&gt;3,F190&lt;0,F190&gt;3),1,0)))</x:f>
      </x:c>
      <x:c r="K190">
        <x:f>IF(A190="","",IF(G190="",1,0))</x:f>
      </x:c>
      <x:c r="L190">
        <x:f>IF(A190="","",IF(COUNTIFS($A$5:$A$2004,A190,$C$5:$C$2004,C190)&gt;1,1,0))</x:f>
      </x:c>
    </x:row>
    <x:row r="191">
      <x:c r="A191" s="8" t="n"/>
      <x:c r="B191" s="8" t="n"/>
      <x:c r="C191" s="8" t="n"/>
      <x:c r="D191" s="8" t="n"/>
      <x:c r="E191" s="8" t="n"/>
      <x:c r="F191" s="8" t="n"/>
      <x:c r="G191" s="7">
        <x:f>IF(A191="","",IF(01_Parametres!$B$11="Oui",IF((01_Parametres!$B$4*(D191&gt;0)+01_Parametres!$B$5*(E191&gt;0)+01_Parametres!$B$6*(F191&gt;0))=0,"",(01_Parametres!$B$4*IF(D191&gt;0,D191,0)+01_Parametres!$B$5*IF(E191&gt;0,E191,0)+01_Parametres!$B$6*IF(F191&gt;0,F191,0))/(01_Parametres!$B$4*(D191&gt;0)+01_Parametres!$B$5*(E191&gt;0)+01_Parametres!$B$6*(F191&gt;0))),IF(01_Parametres!$B$8=0,"",(01_Parametres!$B$4*D191+01_Parametres!$B$5*E191+01_Parametres!$B$6*F191)/01_Parametres!$B$8)))</x:f>
      </x:c>
      <x:c r="H191">
        <x:f>IFERROR(VLOOKUP(C191,02_Referentiels!$A$20:$D$99,3,FALSE),"")</x:f>
      </x:c>
      <x:c r="I191">
        <x:f>IFERROR(VLOOKUP(B191,02_Referentiels!$A$5:$C$16,2,FALSE),"")</x:f>
      </x:c>
      <x:c r="J191">
        <x:f>IF(A191="","",IF(OR(D191="",E191="",F191=""),1,IF(OR(D191&lt;0,D191&gt;3,E191&lt;0,E191&gt;3,F191&lt;0,F191&gt;3),1,0)))</x:f>
      </x:c>
      <x:c r="K191">
        <x:f>IF(A191="","",IF(G191="",1,0))</x:f>
      </x:c>
      <x:c r="L191">
        <x:f>IF(A191="","",IF(COUNTIFS($A$5:$A$2004,A191,$C$5:$C$2004,C191)&gt;1,1,0))</x:f>
      </x:c>
    </x:row>
    <x:row r="192">
      <x:c r="A192" s="8" t="n"/>
      <x:c r="B192" s="8" t="n"/>
      <x:c r="C192" s="8" t="n"/>
      <x:c r="D192" s="8" t="n"/>
      <x:c r="E192" s="8" t="n"/>
      <x:c r="F192" s="8" t="n"/>
      <x:c r="G192" s="7">
        <x:f>IF(A192="","",IF(01_Parametres!$B$11="Oui",IF((01_Parametres!$B$4*(D192&gt;0)+01_Parametres!$B$5*(E192&gt;0)+01_Parametres!$B$6*(F192&gt;0))=0,"",(01_Parametres!$B$4*IF(D192&gt;0,D192,0)+01_Parametres!$B$5*IF(E192&gt;0,E192,0)+01_Parametres!$B$6*IF(F192&gt;0,F192,0))/(01_Parametres!$B$4*(D192&gt;0)+01_Parametres!$B$5*(E192&gt;0)+01_Parametres!$B$6*(F192&gt;0))),IF(01_Parametres!$B$8=0,"",(01_Parametres!$B$4*D192+01_Parametres!$B$5*E192+01_Parametres!$B$6*F192)/01_Parametres!$B$8)))</x:f>
      </x:c>
      <x:c r="H192">
        <x:f>IFERROR(VLOOKUP(C192,02_Referentiels!$A$20:$D$99,3,FALSE),"")</x:f>
      </x:c>
      <x:c r="I192">
        <x:f>IFERROR(VLOOKUP(B192,02_Referentiels!$A$5:$C$16,2,FALSE),"")</x:f>
      </x:c>
      <x:c r="J192">
        <x:f>IF(A192="","",IF(OR(D192="",E192="",F192=""),1,IF(OR(D192&lt;0,D192&gt;3,E192&lt;0,E192&gt;3,F192&lt;0,F192&gt;3),1,0)))</x:f>
      </x:c>
      <x:c r="K192">
        <x:f>IF(A192="","",IF(G192="",1,0))</x:f>
      </x:c>
      <x:c r="L192">
        <x:f>IF(A192="","",IF(COUNTIFS($A$5:$A$2004,A192,$C$5:$C$2004,C192)&gt;1,1,0))</x:f>
      </x:c>
    </x:row>
    <x:row r="193">
      <x:c r="A193" s="8" t="n"/>
      <x:c r="B193" s="8" t="n"/>
      <x:c r="C193" s="8" t="n"/>
      <x:c r="D193" s="8" t="n"/>
      <x:c r="E193" s="8" t="n"/>
      <x:c r="F193" s="8" t="n"/>
      <x:c r="G193" s="7">
        <x:f>IF(A193="","",IF(01_Parametres!$B$11="Oui",IF((01_Parametres!$B$4*(D193&gt;0)+01_Parametres!$B$5*(E193&gt;0)+01_Parametres!$B$6*(F193&gt;0))=0,"",(01_Parametres!$B$4*IF(D193&gt;0,D193,0)+01_Parametres!$B$5*IF(E193&gt;0,E193,0)+01_Parametres!$B$6*IF(F193&gt;0,F193,0))/(01_Parametres!$B$4*(D193&gt;0)+01_Parametres!$B$5*(E193&gt;0)+01_Parametres!$B$6*(F193&gt;0))),IF(01_Parametres!$B$8=0,"",(01_Parametres!$B$4*D193+01_Parametres!$B$5*E193+01_Parametres!$B$6*F193)/01_Parametres!$B$8)))</x:f>
      </x:c>
      <x:c r="H193">
        <x:f>IFERROR(VLOOKUP(C193,02_Referentiels!$A$20:$D$99,3,FALSE),"")</x:f>
      </x:c>
      <x:c r="I193">
        <x:f>IFERROR(VLOOKUP(B193,02_Referentiels!$A$5:$C$16,2,FALSE),"")</x:f>
      </x:c>
      <x:c r="J193">
        <x:f>IF(A193="","",IF(OR(D193="",E193="",F193=""),1,IF(OR(D193&lt;0,D193&gt;3,E193&lt;0,E193&gt;3,F193&lt;0,F193&gt;3),1,0)))</x:f>
      </x:c>
      <x:c r="K193">
        <x:f>IF(A193="","",IF(G193="",1,0))</x:f>
      </x:c>
      <x:c r="L193">
        <x:f>IF(A193="","",IF(COUNTIFS($A$5:$A$2004,A193,$C$5:$C$2004,C193)&gt;1,1,0))</x:f>
      </x:c>
    </x:row>
    <x:row r="194">
      <x:c r="A194" s="8" t="n"/>
      <x:c r="B194" s="8" t="n"/>
      <x:c r="C194" s="8" t="n"/>
      <x:c r="D194" s="8" t="n"/>
      <x:c r="E194" s="8" t="n"/>
      <x:c r="F194" s="8" t="n"/>
      <x:c r="G194" s="7">
        <x:f>IF(A194="","",IF(01_Parametres!$B$11="Oui",IF((01_Parametres!$B$4*(D194&gt;0)+01_Parametres!$B$5*(E194&gt;0)+01_Parametres!$B$6*(F194&gt;0))=0,"",(01_Parametres!$B$4*IF(D194&gt;0,D194,0)+01_Parametres!$B$5*IF(E194&gt;0,E194,0)+01_Parametres!$B$6*IF(F194&gt;0,F194,0))/(01_Parametres!$B$4*(D194&gt;0)+01_Parametres!$B$5*(E194&gt;0)+01_Parametres!$B$6*(F194&gt;0))),IF(01_Parametres!$B$8=0,"",(01_Parametres!$B$4*D194+01_Parametres!$B$5*E194+01_Parametres!$B$6*F194)/01_Parametres!$B$8)))</x:f>
      </x:c>
      <x:c r="H194">
        <x:f>IFERROR(VLOOKUP(C194,02_Referentiels!$A$20:$D$99,3,FALSE),"")</x:f>
      </x:c>
      <x:c r="I194">
        <x:f>IFERROR(VLOOKUP(B194,02_Referentiels!$A$5:$C$16,2,FALSE),"")</x:f>
      </x:c>
      <x:c r="J194">
        <x:f>IF(A194="","",IF(OR(D194="",E194="",F194=""),1,IF(OR(D194&lt;0,D194&gt;3,E194&lt;0,E194&gt;3,F194&lt;0,F194&gt;3),1,0)))</x:f>
      </x:c>
      <x:c r="K194">
        <x:f>IF(A194="","",IF(G194="",1,0))</x:f>
      </x:c>
      <x:c r="L194">
        <x:f>IF(A194="","",IF(COUNTIFS($A$5:$A$2004,A194,$C$5:$C$2004,C194)&gt;1,1,0))</x:f>
      </x:c>
    </x:row>
    <x:row r="195">
      <x:c r="A195" s="8" t="n"/>
      <x:c r="B195" s="8" t="n"/>
      <x:c r="C195" s="8" t="n"/>
      <x:c r="D195" s="8" t="n"/>
      <x:c r="E195" s="8" t="n"/>
      <x:c r="F195" s="8" t="n"/>
      <x:c r="G195" s="7">
        <x:f>IF(A195="","",IF(01_Parametres!$B$11="Oui",IF((01_Parametres!$B$4*(D195&gt;0)+01_Parametres!$B$5*(E195&gt;0)+01_Parametres!$B$6*(F195&gt;0))=0,"",(01_Parametres!$B$4*IF(D195&gt;0,D195,0)+01_Parametres!$B$5*IF(E195&gt;0,E195,0)+01_Parametres!$B$6*IF(F195&gt;0,F195,0))/(01_Parametres!$B$4*(D195&gt;0)+01_Parametres!$B$5*(E195&gt;0)+01_Parametres!$B$6*(F195&gt;0))),IF(01_Parametres!$B$8=0,"",(01_Parametres!$B$4*D195+01_Parametres!$B$5*E195+01_Parametres!$B$6*F195)/01_Parametres!$B$8)))</x:f>
      </x:c>
      <x:c r="H195">
        <x:f>IFERROR(VLOOKUP(C195,02_Referentiels!$A$20:$D$99,3,FALSE),"")</x:f>
      </x:c>
      <x:c r="I195">
        <x:f>IFERROR(VLOOKUP(B195,02_Referentiels!$A$5:$C$16,2,FALSE),"")</x:f>
      </x:c>
      <x:c r="J195">
        <x:f>IF(A195="","",IF(OR(D195="",E195="",F195=""),1,IF(OR(D195&lt;0,D195&gt;3,E195&lt;0,E195&gt;3,F195&lt;0,F195&gt;3),1,0)))</x:f>
      </x:c>
      <x:c r="K195">
        <x:f>IF(A195="","",IF(G195="",1,0))</x:f>
      </x:c>
      <x:c r="L195">
        <x:f>IF(A195="","",IF(COUNTIFS($A$5:$A$2004,A195,$C$5:$C$2004,C195)&gt;1,1,0))</x:f>
      </x:c>
    </x:row>
    <x:row r="196">
      <x:c r="A196" s="8" t="n"/>
      <x:c r="B196" s="8" t="n"/>
      <x:c r="C196" s="8" t="n"/>
      <x:c r="D196" s="8" t="n"/>
      <x:c r="E196" s="8" t="n"/>
      <x:c r="F196" s="8" t="n"/>
      <x:c r="G196" s="7">
        <x:f>IF(A196="","",IF(01_Parametres!$B$11="Oui",IF((01_Parametres!$B$4*(D196&gt;0)+01_Parametres!$B$5*(E196&gt;0)+01_Parametres!$B$6*(F196&gt;0))=0,"",(01_Parametres!$B$4*IF(D196&gt;0,D196,0)+01_Parametres!$B$5*IF(E196&gt;0,E196,0)+01_Parametres!$B$6*IF(F196&gt;0,F196,0))/(01_Parametres!$B$4*(D196&gt;0)+01_Parametres!$B$5*(E196&gt;0)+01_Parametres!$B$6*(F196&gt;0))),IF(01_Parametres!$B$8=0,"",(01_Parametres!$B$4*D196+01_Parametres!$B$5*E196+01_Parametres!$B$6*F196)/01_Parametres!$B$8)))</x:f>
      </x:c>
      <x:c r="H196">
        <x:f>IFERROR(VLOOKUP(C196,02_Referentiels!$A$20:$D$99,3,FALSE),"")</x:f>
      </x:c>
      <x:c r="I196">
        <x:f>IFERROR(VLOOKUP(B196,02_Referentiels!$A$5:$C$16,2,FALSE),"")</x:f>
      </x:c>
      <x:c r="J196">
        <x:f>IF(A196="","",IF(OR(D196="",E196="",F196=""),1,IF(OR(D196&lt;0,D196&gt;3,E196&lt;0,E196&gt;3,F196&lt;0,F196&gt;3),1,0)))</x:f>
      </x:c>
      <x:c r="K196">
        <x:f>IF(A196="","",IF(G196="",1,0))</x:f>
      </x:c>
      <x:c r="L196">
        <x:f>IF(A196="","",IF(COUNTIFS($A$5:$A$2004,A196,$C$5:$C$2004,C196)&gt;1,1,0))</x:f>
      </x:c>
    </x:row>
    <x:row r="197">
      <x:c r="A197" s="8" t="n"/>
      <x:c r="B197" s="8" t="n"/>
      <x:c r="C197" s="8" t="n"/>
      <x:c r="D197" s="8" t="n"/>
      <x:c r="E197" s="8" t="n"/>
      <x:c r="F197" s="8" t="n"/>
      <x:c r="G197" s="7">
        <x:f>IF(A197="","",IF(01_Parametres!$B$11="Oui",IF((01_Parametres!$B$4*(D197&gt;0)+01_Parametres!$B$5*(E197&gt;0)+01_Parametres!$B$6*(F197&gt;0))=0,"",(01_Parametres!$B$4*IF(D197&gt;0,D197,0)+01_Parametres!$B$5*IF(E197&gt;0,E197,0)+01_Parametres!$B$6*IF(F197&gt;0,F197,0))/(01_Parametres!$B$4*(D197&gt;0)+01_Parametres!$B$5*(E197&gt;0)+01_Parametres!$B$6*(F197&gt;0))),IF(01_Parametres!$B$8=0,"",(01_Parametres!$B$4*D197+01_Parametres!$B$5*E197+01_Parametres!$B$6*F197)/01_Parametres!$B$8)))</x:f>
      </x:c>
      <x:c r="H197">
        <x:f>IFERROR(VLOOKUP(C197,02_Referentiels!$A$20:$D$99,3,FALSE),"")</x:f>
      </x:c>
      <x:c r="I197">
        <x:f>IFERROR(VLOOKUP(B197,02_Referentiels!$A$5:$C$16,2,FALSE),"")</x:f>
      </x:c>
      <x:c r="J197">
        <x:f>IF(A197="","",IF(OR(D197="",E197="",F197=""),1,IF(OR(D197&lt;0,D197&gt;3,E197&lt;0,E197&gt;3,F197&lt;0,F197&gt;3),1,0)))</x:f>
      </x:c>
      <x:c r="K197">
        <x:f>IF(A197="","",IF(G197="",1,0))</x:f>
      </x:c>
      <x:c r="L197">
        <x:f>IF(A197="","",IF(COUNTIFS($A$5:$A$2004,A197,$C$5:$C$2004,C197)&gt;1,1,0))</x:f>
      </x:c>
    </x:row>
    <x:row r="198">
      <x:c r="A198" s="8" t="n"/>
      <x:c r="B198" s="8" t="n"/>
      <x:c r="C198" s="8" t="n"/>
      <x:c r="D198" s="8" t="n"/>
      <x:c r="E198" s="8" t="n"/>
      <x:c r="F198" s="8" t="n"/>
      <x:c r="G198" s="7">
        <x:f>IF(A198="","",IF(01_Parametres!$B$11="Oui",IF((01_Parametres!$B$4*(D198&gt;0)+01_Parametres!$B$5*(E198&gt;0)+01_Parametres!$B$6*(F198&gt;0))=0,"",(01_Parametres!$B$4*IF(D198&gt;0,D198,0)+01_Parametres!$B$5*IF(E198&gt;0,E198,0)+01_Parametres!$B$6*IF(F198&gt;0,F198,0))/(01_Parametres!$B$4*(D198&gt;0)+01_Parametres!$B$5*(E198&gt;0)+01_Parametres!$B$6*(F198&gt;0))),IF(01_Parametres!$B$8=0,"",(01_Parametres!$B$4*D198+01_Parametres!$B$5*E198+01_Parametres!$B$6*F198)/01_Parametres!$B$8)))</x:f>
      </x:c>
      <x:c r="H198">
        <x:f>IFERROR(VLOOKUP(C198,02_Referentiels!$A$20:$D$99,3,FALSE),"")</x:f>
      </x:c>
      <x:c r="I198">
        <x:f>IFERROR(VLOOKUP(B198,02_Referentiels!$A$5:$C$16,2,FALSE),"")</x:f>
      </x:c>
      <x:c r="J198">
        <x:f>IF(A198="","",IF(OR(D198="",E198="",F198=""),1,IF(OR(D198&lt;0,D198&gt;3,E198&lt;0,E198&gt;3,F198&lt;0,F198&gt;3),1,0)))</x:f>
      </x:c>
      <x:c r="K198">
        <x:f>IF(A198="","",IF(G198="",1,0))</x:f>
      </x:c>
      <x:c r="L198">
        <x:f>IF(A198="","",IF(COUNTIFS($A$5:$A$2004,A198,$C$5:$C$2004,C198)&gt;1,1,0))</x:f>
      </x:c>
    </x:row>
    <x:row r="199">
      <x:c r="A199" s="8" t="n"/>
      <x:c r="B199" s="8" t="n"/>
      <x:c r="C199" s="8" t="n"/>
      <x:c r="D199" s="8" t="n"/>
      <x:c r="E199" s="8" t="n"/>
      <x:c r="F199" s="8" t="n"/>
      <x:c r="G199" s="7">
        <x:f>IF(A199="","",IF(01_Parametres!$B$11="Oui",IF((01_Parametres!$B$4*(D199&gt;0)+01_Parametres!$B$5*(E199&gt;0)+01_Parametres!$B$6*(F199&gt;0))=0,"",(01_Parametres!$B$4*IF(D199&gt;0,D199,0)+01_Parametres!$B$5*IF(E199&gt;0,E199,0)+01_Parametres!$B$6*IF(F199&gt;0,F199,0))/(01_Parametres!$B$4*(D199&gt;0)+01_Parametres!$B$5*(E199&gt;0)+01_Parametres!$B$6*(F199&gt;0))),IF(01_Parametres!$B$8=0,"",(01_Parametres!$B$4*D199+01_Parametres!$B$5*E199+01_Parametres!$B$6*F199)/01_Parametres!$B$8)))</x:f>
      </x:c>
      <x:c r="H199">
        <x:f>IFERROR(VLOOKUP(C199,02_Referentiels!$A$20:$D$99,3,FALSE),"")</x:f>
      </x:c>
      <x:c r="I199">
        <x:f>IFERROR(VLOOKUP(B199,02_Referentiels!$A$5:$C$16,2,FALSE),"")</x:f>
      </x:c>
      <x:c r="J199">
        <x:f>IF(A199="","",IF(OR(D199="",E199="",F199=""),1,IF(OR(D199&lt;0,D199&gt;3,E199&lt;0,E199&gt;3,F199&lt;0,F199&gt;3),1,0)))</x:f>
      </x:c>
      <x:c r="K199">
        <x:f>IF(A199="","",IF(G199="",1,0))</x:f>
      </x:c>
      <x:c r="L199">
        <x:f>IF(A199="","",IF(COUNTIFS($A$5:$A$2004,A199,$C$5:$C$2004,C199)&gt;1,1,0))</x:f>
      </x:c>
    </x:row>
    <x:row r="200">
      <x:c r="A200" s="8" t="n"/>
      <x:c r="B200" s="8" t="n"/>
      <x:c r="C200" s="8" t="n"/>
      <x:c r="D200" s="8" t="n"/>
      <x:c r="E200" s="8" t="n"/>
      <x:c r="F200" s="8" t="n"/>
      <x:c r="G200" s="7">
        <x:f>IF(A200="","",IF(01_Parametres!$B$11="Oui",IF((01_Parametres!$B$4*(D200&gt;0)+01_Parametres!$B$5*(E200&gt;0)+01_Parametres!$B$6*(F200&gt;0))=0,"",(01_Parametres!$B$4*IF(D200&gt;0,D200,0)+01_Parametres!$B$5*IF(E200&gt;0,E200,0)+01_Parametres!$B$6*IF(F200&gt;0,F200,0))/(01_Parametres!$B$4*(D200&gt;0)+01_Parametres!$B$5*(E200&gt;0)+01_Parametres!$B$6*(F200&gt;0))),IF(01_Parametres!$B$8=0,"",(01_Parametres!$B$4*D200+01_Parametres!$B$5*E200+01_Parametres!$B$6*F200)/01_Parametres!$B$8)))</x:f>
      </x:c>
      <x:c r="H200">
        <x:f>IFERROR(VLOOKUP(C200,02_Referentiels!$A$20:$D$99,3,FALSE),"")</x:f>
      </x:c>
      <x:c r="I200">
        <x:f>IFERROR(VLOOKUP(B200,02_Referentiels!$A$5:$C$16,2,FALSE),"")</x:f>
      </x:c>
      <x:c r="J200">
        <x:f>IF(A200="","",IF(OR(D200="",E200="",F200=""),1,IF(OR(D200&lt;0,D200&gt;3,E200&lt;0,E200&gt;3,F200&lt;0,F200&gt;3),1,0)))</x:f>
      </x:c>
      <x:c r="K200">
        <x:f>IF(A200="","",IF(G200="",1,0))</x:f>
      </x:c>
      <x:c r="L200">
        <x:f>IF(A200="","",IF(COUNTIFS($A$5:$A$2004,A200,$C$5:$C$2004,C200)&gt;1,1,0))</x:f>
      </x:c>
    </x:row>
    <x:row r="201">
      <x:c r="A201" s="8" t="n"/>
      <x:c r="B201" s="8" t="n"/>
      <x:c r="C201" s="8" t="n"/>
      <x:c r="D201" s="8" t="n"/>
      <x:c r="E201" s="8" t="n"/>
      <x:c r="F201" s="8" t="n"/>
      <x:c r="G201" s="7">
        <x:f>IF(A201="","",IF(01_Parametres!$B$11="Oui",IF((01_Parametres!$B$4*(D201&gt;0)+01_Parametres!$B$5*(E201&gt;0)+01_Parametres!$B$6*(F201&gt;0))=0,"",(01_Parametres!$B$4*IF(D201&gt;0,D201,0)+01_Parametres!$B$5*IF(E201&gt;0,E201,0)+01_Parametres!$B$6*IF(F201&gt;0,F201,0))/(01_Parametres!$B$4*(D201&gt;0)+01_Parametres!$B$5*(E201&gt;0)+01_Parametres!$B$6*(F201&gt;0))),IF(01_Parametres!$B$8=0,"",(01_Parametres!$B$4*D201+01_Parametres!$B$5*E201+01_Parametres!$B$6*F201)/01_Parametres!$B$8)))</x:f>
      </x:c>
      <x:c r="H201">
        <x:f>IFERROR(VLOOKUP(C201,02_Referentiels!$A$20:$D$99,3,FALSE),"")</x:f>
      </x:c>
      <x:c r="I201">
        <x:f>IFERROR(VLOOKUP(B201,02_Referentiels!$A$5:$C$16,2,FALSE),"")</x:f>
      </x:c>
      <x:c r="J201">
        <x:f>IF(A201="","",IF(OR(D201="",E201="",F201=""),1,IF(OR(D201&lt;0,D201&gt;3,E201&lt;0,E201&gt;3,F201&lt;0,F201&gt;3),1,0)))</x:f>
      </x:c>
      <x:c r="K201">
        <x:f>IF(A201="","",IF(G201="",1,0))</x:f>
      </x:c>
      <x:c r="L201">
        <x:f>IF(A201="","",IF(COUNTIFS($A$5:$A$2004,A201,$C$5:$C$2004,C201)&gt;1,1,0))</x:f>
      </x:c>
    </x:row>
    <x:row r="202">
      <x:c r="A202" s="8" t="n"/>
      <x:c r="B202" s="8" t="n"/>
      <x:c r="C202" s="8" t="n"/>
      <x:c r="D202" s="8" t="n"/>
      <x:c r="E202" s="8" t="n"/>
      <x:c r="F202" s="8" t="n"/>
      <x:c r="G202" s="7">
        <x:f>IF(A202="","",IF(01_Parametres!$B$11="Oui",IF((01_Parametres!$B$4*(D202&gt;0)+01_Parametres!$B$5*(E202&gt;0)+01_Parametres!$B$6*(F202&gt;0))=0,"",(01_Parametres!$B$4*IF(D202&gt;0,D202,0)+01_Parametres!$B$5*IF(E202&gt;0,E202,0)+01_Parametres!$B$6*IF(F202&gt;0,F202,0))/(01_Parametres!$B$4*(D202&gt;0)+01_Parametres!$B$5*(E202&gt;0)+01_Parametres!$B$6*(F202&gt;0))),IF(01_Parametres!$B$8=0,"",(01_Parametres!$B$4*D202+01_Parametres!$B$5*E202+01_Parametres!$B$6*F202)/01_Parametres!$B$8)))</x:f>
      </x:c>
      <x:c r="H202">
        <x:f>IFERROR(VLOOKUP(C202,02_Referentiels!$A$20:$D$99,3,FALSE),"")</x:f>
      </x:c>
      <x:c r="I202">
        <x:f>IFERROR(VLOOKUP(B202,02_Referentiels!$A$5:$C$16,2,FALSE),"")</x:f>
      </x:c>
      <x:c r="J202">
        <x:f>IF(A202="","",IF(OR(D202="",E202="",F202=""),1,IF(OR(D202&lt;0,D202&gt;3,E202&lt;0,E202&gt;3,F202&lt;0,F202&gt;3),1,0)))</x:f>
      </x:c>
      <x:c r="K202">
        <x:f>IF(A202="","",IF(G202="",1,0))</x:f>
      </x:c>
      <x:c r="L202">
        <x:f>IF(A202="","",IF(COUNTIFS($A$5:$A$2004,A202,$C$5:$C$2004,C202)&gt;1,1,0))</x:f>
      </x:c>
    </x:row>
    <x:row r="203">
      <x:c r="A203" s="8" t="n"/>
      <x:c r="B203" s="8" t="n"/>
      <x:c r="C203" s="8" t="n"/>
      <x:c r="D203" s="8" t="n"/>
      <x:c r="E203" s="8" t="n"/>
      <x:c r="F203" s="8" t="n"/>
      <x:c r="G203" s="7">
        <x:f>IF(A203="","",IF(01_Parametres!$B$11="Oui",IF((01_Parametres!$B$4*(D203&gt;0)+01_Parametres!$B$5*(E203&gt;0)+01_Parametres!$B$6*(F203&gt;0))=0,"",(01_Parametres!$B$4*IF(D203&gt;0,D203,0)+01_Parametres!$B$5*IF(E203&gt;0,E203,0)+01_Parametres!$B$6*IF(F203&gt;0,F203,0))/(01_Parametres!$B$4*(D203&gt;0)+01_Parametres!$B$5*(E203&gt;0)+01_Parametres!$B$6*(F203&gt;0))),IF(01_Parametres!$B$8=0,"",(01_Parametres!$B$4*D203+01_Parametres!$B$5*E203+01_Parametres!$B$6*F203)/01_Parametres!$B$8)))</x:f>
      </x:c>
      <x:c r="H203">
        <x:f>IFERROR(VLOOKUP(C203,02_Referentiels!$A$20:$D$99,3,FALSE),"")</x:f>
      </x:c>
      <x:c r="I203">
        <x:f>IFERROR(VLOOKUP(B203,02_Referentiels!$A$5:$C$16,2,FALSE),"")</x:f>
      </x:c>
      <x:c r="J203">
        <x:f>IF(A203="","",IF(OR(D203="",E203="",F203=""),1,IF(OR(D203&lt;0,D203&gt;3,E203&lt;0,E203&gt;3,F203&lt;0,F203&gt;3),1,0)))</x:f>
      </x:c>
      <x:c r="K203">
        <x:f>IF(A203="","",IF(G203="",1,0))</x:f>
      </x:c>
      <x:c r="L203">
        <x:f>IF(A203="","",IF(COUNTIFS($A$5:$A$2004,A203,$C$5:$C$2004,C203)&gt;1,1,0))</x:f>
      </x:c>
    </x:row>
    <x:row r="204">
      <x:c r="A204" s="8" t="n"/>
      <x:c r="B204" s="8" t="n"/>
      <x:c r="C204" s="8" t="n"/>
      <x:c r="D204" s="8" t="n"/>
      <x:c r="E204" s="8" t="n"/>
      <x:c r="F204" s="8" t="n"/>
      <x:c r="G204" s="7">
        <x:f>IF(A204="","",IF(01_Parametres!$B$11="Oui",IF((01_Parametres!$B$4*(D204&gt;0)+01_Parametres!$B$5*(E204&gt;0)+01_Parametres!$B$6*(F204&gt;0))=0,"",(01_Parametres!$B$4*IF(D204&gt;0,D204,0)+01_Parametres!$B$5*IF(E204&gt;0,E204,0)+01_Parametres!$B$6*IF(F204&gt;0,F204,0))/(01_Parametres!$B$4*(D204&gt;0)+01_Parametres!$B$5*(E204&gt;0)+01_Parametres!$B$6*(F204&gt;0))),IF(01_Parametres!$B$8=0,"",(01_Parametres!$B$4*D204+01_Parametres!$B$5*E204+01_Parametres!$B$6*F204)/01_Parametres!$B$8)))</x:f>
      </x:c>
      <x:c r="H204">
        <x:f>IFERROR(VLOOKUP(C204,02_Referentiels!$A$20:$D$99,3,FALSE),"")</x:f>
      </x:c>
      <x:c r="I204">
        <x:f>IFERROR(VLOOKUP(B204,02_Referentiels!$A$5:$C$16,2,FALSE),"")</x:f>
      </x:c>
      <x:c r="J204">
        <x:f>IF(A204="","",IF(OR(D204="",E204="",F204=""),1,IF(OR(D204&lt;0,D204&gt;3,E204&lt;0,E204&gt;3,F204&lt;0,F204&gt;3),1,0)))</x:f>
      </x:c>
      <x:c r="K204">
        <x:f>IF(A204="","",IF(G204="",1,0))</x:f>
      </x:c>
      <x:c r="L204">
        <x:f>IF(A204="","",IF(COUNTIFS($A$5:$A$2004,A204,$C$5:$C$2004,C204)&gt;1,1,0))</x:f>
      </x:c>
    </x:row>
    <x:row r="205">
      <x:c r="A205" s="8" t="n"/>
      <x:c r="B205" s="8" t="n"/>
      <x:c r="C205" s="8" t="n"/>
      <x:c r="D205" s="8" t="n"/>
      <x:c r="E205" s="8" t="n"/>
      <x:c r="F205" s="8" t="n"/>
      <x:c r="G205" s="7">
        <x:f>IF(A205="","",IF(01_Parametres!$B$11="Oui",IF((01_Parametres!$B$4*(D205&gt;0)+01_Parametres!$B$5*(E205&gt;0)+01_Parametres!$B$6*(F205&gt;0))=0,"",(01_Parametres!$B$4*IF(D205&gt;0,D205,0)+01_Parametres!$B$5*IF(E205&gt;0,E205,0)+01_Parametres!$B$6*IF(F205&gt;0,F205,0))/(01_Parametres!$B$4*(D205&gt;0)+01_Parametres!$B$5*(E205&gt;0)+01_Parametres!$B$6*(F205&gt;0))),IF(01_Parametres!$B$8=0,"",(01_Parametres!$B$4*D205+01_Parametres!$B$5*E205+01_Parametres!$B$6*F205)/01_Parametres!$B$8)))</x:f>
      </x:c>
      <x:c r="H205">
        <x:f>IFERROR(VLOOKUP(C205,02_Referentiels!$A$20:$D$99,3,FALSE),"")</x:f>
      </x:c>
      <x:c r="I205">
        <x:f>IFERROR(VLOOKUP(B205,02_Referentiels!$A$5:$C$16,2,FALSE),"")</x:f>
      </x:c>
      <x:c r="J205">
        <x:f>IF(A205="","",IF(OR(D205="",E205="",F205=""),1,IF(OR(D205&lt;0,D205&gt;3,E205&lt;0,E205&gt;3,F205&lt;0,F205&gt;3),1,0)))</x:f>
      </x:c>
      <x:c r="K205">
        <x:f>IF(A205="","",IF(G205="",1,0))</x:f>
      </x:c>
      <x:c r="L205">
        <x:f>IF(A205="","",IF(COUNTIFS($A$5:$A$2004,A205,$C$5:$C$2004,C205)&gt;1,1,0))</x:f>
      </x:c>
    </x:row>
    <x:row r="206">
      <x:c r="A206" s="8" t="n"/>
      <x:c r="B206" s="8" t="n"/>
      <x:c r="C206" s="8" t="n"/>
      <x:c r="D206" s="8" t="n"/>
      <x:c r="E206" s="8" t="n"/>
      <x:c r="F206" s="8" t="n"/>
      <x:c r="G206" s="7">
        <x:f>IF(A206="","",IF(01_Parametres!$B$11="Oui",IF((01_Parametres!$B$4*(D206&gt;0)+01_Parametres!$B$5*(E206&gt;0)+01_Parametres!$B$6*(F206&gt;0))=0,"",(01_Parametres!$B$4*IF(D206&gt;0,D206,0)+01_Parametres!$B$5*IF(E206&gt;0,E206,0)+01_Parametres!$B$6*IF(F206&gt;0,F206,0))/(01_Parametres!$B$4*(D206&gt;0)+01_Parametres!$B$5*(E206&gt;0)+01_Parametres!$B$6*(F206&gt;0))),IF(01_Parametres!$B$8=0,"",(01_Parametres!$B$4*D206+01_Parametres!$B$5*E206+01_Parametres!$B$6*F206)/01_Parametres!$B$8)))</x:f>
      </x:c>
      <x:c r="H206">
        <x:f>IFERROR(VLOOKUP(C206,02_Referentiels!$A$20:$D$99,3,FALSE),"")</x:f>
      </x:c>
      <x:c r="I206">
        <x:f>IFERROR(VLOOKUP(B206,02_Referentiels!$A$5:$C$16,2,FALSE),"")</x:f>
      </x:c>
      <x:c r="J206">
        <x:f>IF(A206="","",IF(OR(D206="",E206="",F206=""),1,IF(OR(D206&lt;0,D206&gt;3,E206&lt;0,E206&gt;3,F206&lt;0,F206&gt;3),1,0)))</x:f>
      </x:c>
      <x:c r="K206">
        <x:f>IF(A206="","",IF(G206="",1,0))</x:f>
      </x:c>
      <x:c r="L206">
        <x:f>IF(A206="","",IF(COUNTIFS($A$5:$A$2004,A206,$C$5:$C$2004,C206)&gt;1,1,0))</x:f>
      </x:c>
    </x:row>
    <x:row r="207">
      <x:c r="A207" s="8" t="n"/>
      <x:c r="B207" s="8" t="n"/>
      <x:c r="C207" s="8" t="n"/>
      <x:c r="D207" s="8" t="n"/>
      <x:c r="E207" s="8" t="n"/>
      <x:c r="F207" s="8" t="n"/>
      <x:c r="G207" s="7">
        <x:f>IF(A207="","",IF(01_Parametres!$B$11="Oui",IF((01_Parametres!$B$4*(D207&gt;0)+01_Parametres!$B$5*(E207&gt;0)+01_Parametres!$B$6*(F207&gt;0))=0,"",(01_Parametres!$B$4*IF(D207&gt;0,D207,0)+01_Parametres!$B$5*IF(E207&gt;0,E207,0)+01_Parametres!$B$6*IF(F207&gt;0,F207,0))/(01_Parametres!$B$4*(D207&gt;0)+01_Parametres!$B$5*(E207&gt;0)+01_Parametres!$B$6*(F207&gt;0))),IF(01_Parametres!$B$8=0,"",(01_Parametres!$B$4*D207+01_Parametres!$B$5*E207+01_Parametres!$B$6*F207)/01_Parametres!$B$8)))</x:f>
      </x:c>
      <x:c r="H207">
        <x:f>IFERROR(VLOOKUP(C207,02_Referentiels!$A$20:$D$99,3,FALSE),"")</x:f>
      </x:c>
      <x:c r="I207">
        <x:f>IFERROR(VLOOKUP(B207,02_Referentiels!$A$5:$C$16,2,FALSE),"")</x:f>
      </x:c>
      <x:c r="J207">
        <x:f>IF(A207="","",IF(OR(D207="",E207="",F207=""),1,IF(OR(D207&lt;0,D207&gt;3,E207&lt;0,E207&gt;3,F207&lt;0,F207&gt;3),1,0)))</x:f>
      </x:c>
      <x:c r="K207">
        <x:f>IF(A207="","",IF(G207="",1,0))</x:f>
      </x:c>
      <x:c r="L207">
        <x:f>IF(A207="","",IF(COUNTIFS($A$5:$A$2004,A207,$C$5:$C$2004,C207)&gt;1,1,0))</x:f>
      </x:c>
    </x:row>
    <x:row r="208">
      <x:c r="A208" s="8" t="n"/>
      <x:c r="B208" s="8" t="n"/>
      <x:c r="C208" s="8" t="n"/>
      <x:c r="D208" s="8" t="n"/>
      <x:c r="E208" s="8" t="n"/>
      <x:c r="F208" s="8" t="n"/>
      <x:c r="G208" s="7">
        <x:f>IF(A208="","",IF(01_Parametres!$B$11="Oui",IF((01_Parametres!$B$4*(D208&gt;0)+01_Parametres!$B$5*(E208&gt;0)+01_Parametres!$B$6*(F208&gt;0))=0,"",(01_Parametres!$B$4*IF(D208&gt;0,D208,0)+01_Parametres!$B$5*IF(E208&gt;0,E208,0)+01_Parametres!$B$6*IF(F208&gt;0,F208,0))/(01_Parametres!$B$4*(D208&gt;0)+01_Parametres!$B$5*(E208&gt;0)+01_Parametres!$B$6*(F208&gt;0))),IF(01_Parametres!$B$8=0,"",(01_Parametres!$B$4*D208+01_Parametres!$B$5*E208+01_Parametres!$B$6*F208)/01_Parametres!$B$8)))</x:f>
      </x:c>
      <x:c r="H208">
        <x:f>IFERROR(VLOOKUP(C208,02_Referentiels!$A$20:$D$99,3,FALSE),"")</x:f>
      </x:c>
      <x:c r="I208">
        <x:f>IFERROR(VLOOKUP(B208,02_Referentiels!$A$5:$C$16,2,FALSE),"")</x:f>
      </x:c>
      <x:c r="J208">
        <x:f>IF(A208="","",IF(OR(D208="",E208="",F208=""),1,IF(OR(D208&lt;0,D208&gt;3,E208&lt;0,E208&gt;3,F208&lt;0,F208&gt;3),1,0)))</x:f>
      </x:c>
      <x:c r="K208">
        <x:f>IF(A208="","",IF(G208="",1,0))</x:f>
      </x:c>
      <x:c r="L208">
        <x:f>IF(A208="","",IF(COUNTIFS($A$5:$A$2004,A208,$C$5:$C$2004,C208)&gt;1,1,0))</x:f>
      </x:c>
    </x:row>
    <x:row r="209">
      <x:c r="A209" s="8" t="n"/>
      <x:c r="B209" s="8" t="n"/>
      <x:c r="C209" s="8" t="n"/>
      <x:c r="D209" s="8" t="n"/>
      <x:c r="E209" s="8" t="n"/>
      <x:c r="F209" s="8" t="n"/>
      <x:c r="G209" s="7">
        <x:f>IF(A209="","",IF(01_Parametres!$B$11="Oui",IF((01_Parametres!$B$4*(D209&gt;0)+01_Parametres!$B$5*(E209&gt;0)+01_Parametres!$B$6*(F209&gt;0))=0,"",(01_Parametres!$B$4*IF(D209&gt;0,D209,0)+01_Parametres!$B$5*IF(E209&gt;0,E209,0)+01_Parametres!$B$6*IF(F209&gt;0,F209,0))/(01_Parametres!$B$4*(D209&gt;0)+01_Parametres!$B$5*(E209&gt;0)+01_Parametres!$B$6*(F209&gt;0))),IF(01_Parametres!$B$8=0,"",(01_Parametres!$B$4*D209+01_Parametres!$B$5*E209+01_Parametres!$B$6*F209)/01_Parametres!$B$8)))</x:f>
      </x:c>
      <x:c r="H209">
        <x:f>IFERROR(VLOOKUP(C209,02_Referentiels!$A$20:$D$99,3,FALSE),"")</x:f>
      </x:c>
      <x:c r="I209">
        <x:f>IFERROR(VLOOKUP(B209,02_Referentiels!$A$5:$C$16,2,FALSE),"")</x:f>
      </x:c>
      <x:c r="J209">
        <x:f>IF(A209="","",IF(OR(D209="",E209="",F209=""),1,IF(OR(D209&lt;0,D209&gt;3,E209&lt;0,E209&gt;3,F209&lt;0,F209&gt;3),1,0)))</x:f>
      </x:c>
      <x:c r="K209">
        <x:f>IF(A209="","",IF(G209="",1,0))</x:f>
      </x:c>
      <x:c r="L209">
        <x:f>IF(A209="","",IF(COUNTIFS($A$5:$A$2004,A209,$C$5:$C$2004,C209)&gt;1,1,0))</x:f>
      </x:c>
    </x:row>
    <x:row r="210">
      <x:c r="A210" s="8" t="n"/>
      <x:c r="B210" s="8" t="n"/>
      <x:c r="C210" s="8" t="n"/>
      <x:c r="D210" s="8" t="n"/>
      <x:c r="E210" s="8" t="n"/>
      <x:c r="F210" s="8" t="n"/>
      <x:c r="G210" s="7">
        <x:f>IF(A210="","",IF(01_Parametres!$B$11="Oui",IF((01_Parametres!$B$4*(D210&gt;0)+01_Parametres!$B$5*(E210&gt;0)+01_Parametres!$B$6*(F210&gt;0))=0,"",(01_Parametres!$B$4*IF(D210&gt;0,D210,0)+01_Parametres!$B$5*IF(E210&gt;0,E210,0)+01_Parametres!$B$6*IF(F210&gt;0,F210,0))/(01_Parametres!$B$4*(D210&gt;0)+01_Parametres!$B$5*(E210&gt;0)+01_Parametres!$B$6*(F210&gt;0))),IF(01_Parametres!$B$8=0,"",(01_Parametres!$B$4*D210+01_Parametres!$B$5*E210+01_Parametres!$B$6*F210)/01_Parametres!$B$8)))</x:f>
      </x:c>
      <x:c r="H210">
        <x:f>IFERROR(VLOOKUP(C210,02_Referentiels!$A$20:$D$99,3,FALSE),"")</x:f>
      </x:c>
      <x:c r="I210">
        <x:f>IFERROR(VLOOKUP(B210,02_Referentiels!$A$5:$C$16,2,FALSE),"")</x:f>
      </x:c>
      <x:c r="J210">
        <x:f>IF(A210="","",IF(OR(D210="",E210="",F210=""),1,IF(OR(D210&lt;0,D210&gt;3,E210&lt;0,E210&gt;3,F210&lt;0,F210&gt;3),1,0)))</x:f>
      </x:c>
      <x:c r="K210">
        <x:f>IF(A210="","",IF(G210="",1,0))</x:f>
      </x:c>
      <x:c r="L210">
        <x:f>IF(A210="","",IF(COUNTIFS($A$5:$A$2004,A210,$C$5:$C$2004,C210)&gt;1,1,0))</x:f>
      </x:c>
    </x:row>
    <x:row r="211">
      <x:c r="A211" s="8" t="n"/>
      <x:c r="B211" s="8" t="n"/>
      <x:c r="C211" s="8" t="n"/>
      <x:c r="D211" s="8" t="n"/>
      <x:c r="E211" s="8" t="n"/>
      <x:c r="F211" s="8" t="n"/>
      <x:c r="G211" s="7">
        <x:f>IF(A211="","",IF(01_Parametres!$B$11="Oui",IF((01_Parametres!$B$4*(D211&gt;0)+01_Parametres!$B$5*(E211&gt;0)+01_Parametres!$B$6*(F211&gt;0))=0,"",(01_Parametres!$B$4*IF(D211&gt;0,D211,0)+01_Parametres!$B$5*IF(E211&gt;0,E211,0)+01_Parametres!$B$6*IF(F211&gt;0,F211,0))/(01_Parametres!$B$4*(D211&gt;0)+01_Parametres!$B$5*(E211&gt;0)+01_Parametres!$B$6*(F211&gt;0))),IF(01_Parametres!$B$8=0,"",(01_Parametres!$B$4*D211+01_Parametres!$B$5*E211+01_Parametres!$B$6*F211)/01_Parametres!$B$8)))</x:f>
      </x:c>
      <x:c r="H211">
        <x:f>IFERROR(VLOOKUP(C211,02_Referentiels!$A$20:$D$99,3,FALSE),"")</x:f>
      </x:c>
      <x:c r="I211">
        <x:f>IFERROR(VLOOKUP(B211,02_Referentiels!$A$5:$C$16,2,FALSE),"")</x:f>
      </x:c>
      <x:c r="J211">
        <x:f>IF(A211="","",IF(OR(D211="",E211="",F211=""),1,IF(OR(D211&lt;0,D211&gt;3,E211&lt;0,E211&gt;3,F211&lt;0,F211&gt;3),1,0)))</x:f>
      </x:c>
      <x:c r="K211">
        <x:f>IF(A211="","",IF(G211="",1,0))</x:f>
      </x:c>
      <x:c r="L211">
        <x:f>IF(A211="","",IF(COUNTIFS($A$5:$A$2004,A211,$C$5:$C$2004,C211)&gt;1,1,0))</x:f>
      </x:c>
    </x:row>
    <x:row r="212">
      <x:c r="A212" s="8" t="n"/>
      <x:c r="B212" s="8" t="n"/>
      <x:c r="C212" s="8" t="n"/>
      <x:c r="D212" s="8" t="n"/>
      <x:c r="E212" s="8" t="n"/>
      <x:c r="F212" s="8" t="n"/>
      <x:c r="G212" s="7">
        <x:f>IF(A212="","",IF(01_Parametres!$B$11="Oui",IF((01_Parametres!$B$4*(D212&gt;0)+01_Parametres!$B$5*(E212&gt;0)+01_Parametres!$B$6*(F212&gt;0))=0,"",(01_Parametres!$B$4*IF(D212&gt;0,D212,0)+01_Parametres!$B$5*IF(E212&gt;0,E212,0)+01_Parametres!$B$6*IF(F212&gt;0,F212,0))/(01_Parametres!$B$4*(D212&gt;0)+01_Parametres!$B$5*(E212&gt;0)+01_Parametres!$B$6*(F212&gt;0))),IF(01_Parametres!$B$8=0,"",(01_Parametres!$B$4*D212+01_Parametres!$B$5*E212+01_Parametres!$B$6*F212)/01_Parametres!$B$8)))</x:f>
      </x:c>
      <x:c r="H212">
        <x:f>IFERROR(VLOOKUP(C212,02_Referentiels!$A$20:$D$99,3,FALSE),"")</x:f>
      </x:c>
      <x:c r="I212">
        <x:f>IFERROR(VLOOKUP(B212,02_Referentiels!$A$5:$C$16,2,FALSE),"")</x:f>
      </x:c>
      <x:c r="J212">
        <x:f>IF(A212="","",IF(OR(D212="",E212="",F212=""),1,IF(OR(D212&lt;0,D212&gt;3,E212&lt;0,E212&gt;3,F212&lt;0,F212&gt;3),1,0)))</x:f>
      </x:c>
      <x:c r="K212">
        <x:f>IF(A212="","",IF(G212="",1,0))</x:f>
      </x:c>
      <x:c r="L212">
        <x:f>IF(A212="","",IF(COUNTIFS($A$5:$A$2004,A212,$C$5:$C$2004,C212)&gt;1,1,0))</x:f>
      </x:c>
    </x:row>
    <x:row r="213">
      <x:c r="A213" s="8" t="n"/>
      <x:c r="B213" s="8" t="n"/>
      <x:c r="C213" s="8" t="n"/>
      <x:c r="D213" s="8" t="n"/>
      <x:c r="E213" s="8" t="n"/>
      <x:c r="F213" s="8" t="n"/>
      <x:c r="G213" s="7">
        <x:f>IF(A213="","",IF(01_Parametres!$B$11="Oui",IF((01_Parametres!$B$4*(D213&gt;0)+01_Parametres!$B$5*(E213&gt;0)+01_Parametres!$B$6*(F213&gt;0))=0,"",(01_Parametres!$B$4*IF(D213&gt;0,D213,0)+01_Parametres!$B$5*IF(E213&gt;0,E213,0)+01_Parametres!$B$6*IF(F213&gt;0,F213,0))/(01_Parametres!$B$4*(D213&gt;0)+01_Parametres!$B$5*(E213&gt;0)+01_Parametres!$B$6*(F213&gt;0))),IF(01_Parametres!$B$8=0,"",(01_Parametres!$B$4*D213+01_Parametres!$B$5*E213+01_Parametres!$B$6*F213)/01_Parametres!$B$8)))</x:f>
      </x:c>
      <x:c r="H213">
        <x:f>IFERROR(VLOOKUP(C213,02_Referentiels!$A$20:$D$99,3,FALSE),"")</x:f>
      </x:c>
      <x:c r="I213">
        <x:f>IFERROR(VLOOKUP(B213,02_Referentiels!$A$5:$C$16,2,FALSE),"")</x:f>
      </x:c>
      <x:c r="J213">
        <x:f>IF(A213="","",IF(OR(D213="",E213="",F213=""),1,IF(OR(D213&lt;0,D213&gt;3,E213&lt;0,E213&gt;3,F213&lt;0,F213&gt;3),1,0)))</x:f>
      </x:c>
      <x:c r="K213">
        <x:f>IF(A213="","",IF(G213="",1,0))</x:f>
      </x:c>
      <x:c r="L213">
        <x:f>IF(A213="","",IF(COUNTIFS($A$5:$A$2004,A213,$C$5:$C$2004,C213)&gt;1,1,0))</x:f>
      </x:c>
    </x:row>
    <x:row r="214">
      <x:c r="A214" s="8" t="n"/>
      <x:c r="B214" s="8" t="n"/>
      <x:c r="C214" s="8" t="n"/>
      <x:c r="D214" s="8" t="n"/>
      <x:c r="E214" s="8" t="n"/>
      <x:c r="F214" s="8" t="n"/>
      <x:c r="G214" s="7">
        <x:f>IF(A214="","",IF(01_Parametres!$B$11="Oui",IF((01_Parametres!$B$4*(D214&gt;0)+01_Parametres!$B$5*(E214&gt;0)+01_Parametres!$B$6*(F214&gt;0))=0,"",(01_Parametres!$B$4*IF(D214&gt;0,D214,0)+01_Parametres!$B$5*IF(E214&gt;0,E214,0)+01_Parametres!$B$6*IF(F214&gt;0,F214,0))/(01_Parametres!$B$4*(D214&gt;0)+01_Parametres!$B$5*(E214&gt;0)+01_Parametres!$B$6*(F214&gt;0))),IF(01_Parametres!$B$8=0,"",(01_Parametres!$B$4*D214+01_Parametres!$B$5*E214+01_Parametres!$B$6*F214)/01_Parametres!$B$8)))</x:f>
      </x:c>
      <x:c r="H214">
        <x:f>IFERROR(VLOOKUP(C214,02_Referentiels!$A$20:$D$99,3,FALSE),"")</x:f>
      </x:c>
      <x:c r="I214">
        <x:f>IFERROR(VLOOKUP(B214,02_Referentiels!$A$5:$C$16,2,FALSE),"")</x:f>
      </x:c>
      <x:c r="J214">
        <x:f>IF(A214="","",IF(OR(D214="",E214="",F214=""),1,IF(OR(D214&lt;0,D214&gt;3,E214&lt;0,E214&gt;3,F214&lt;0,F214&gt;3),1,0)))</x:f>
      </x:c>
      <x:c r="K214">
        <x:f>IF(A214="","",IF(G214="",1,0))</x:f>
      </x:c>
      <x:c r="L214">
        <x:f>IF(A214="","",IF(COUNTIFS($A$5:$A$2004,A214,$C$5:$C$2004,C214)&gt;1,1,0))</x:f>
      </x:c>
    </x:row>
    <x:row r="215">
      <x:c r="A215" s="8" t="n"/>
      <x:c r="B215" s="8" t="n"/>
      <x:c r="C215" s="8" t="n"/>
      <x:c r="D215" s="8" t="n"/>
      <x:c r="E215" s="8" t="n"/>
      <x:c r="F215" s="8" t="n"/>
      <x:c r="G215" s="7">
        <x:f>IF(A215="","",IF(01_Parametres!$B$11="Oui",IF((01_Parametres!$B$4*(D215&gt;0)+01_Parametres!$B$5*(E215&gt;0)+01_Parametres!$B$6*(F215&gt;0))=0,"",(01_Parametres!$B$4*IF(D215&gt;0,D215,0)+01_Parametres!$B$5*IF(E215&gt;0,E215,0)+01_Parametres!$B$6*IF(F215&gt;0,F215,0))/(01_Parametres!$B$4*(D215&gt;0)+01_Parametres!$B$5*(E215&gt;0)+01_Parametres!$B$6*(F215&gt;0))),IF(01_Parametres!$B$8=0,"",(01_Parametres!$B$4*D215+01_Parametres!$B$5*E215+01_Parametres!$B$6*F215)/01_Parametres!$B$8)))</x:f>
      </x:c>
      <x:c r="H215">
        <x:f>IFERROR(VLOOKUP(C215,02_Referentiels!$A$20:$D$99,3,FALSE),"")</x:f>
      </x:c>
      <x:c r="I215">
        <x:f>IFERROR(VLOOKUP(B215,02_Referentiels!$A$5:$C$16,2,FALSE),"")</x:f>
      </x:c>
      <x:c r="J215">
        <x:f>IF(A215="","",IF(OR(D215="",E215="",F215=""),1,IF(OR(D215&lt;0,D215&gt;3,E215&lt;0,E215&gt;3,F215&lt;0,F215&gt;3),1,0)))</x:f>
      </x:c>
      <x:c r="K215">
        <x:f>IF(A215="","",IF(G215="",1,0))</x:f>
      </x:c>
      <x:c r="L215">
        <x:f>IF(A215="","",IF(COUNTIFS($A$5:$A$2004,A215,$C$5:$C$2004,C215)&gt;1,1,0))</x:f>
      </x:c>
    </x:row>
    <x:row r="216">
      <x:c r="A216" s="8" t="n"/>
      <x:c r="B216" s="8" t="n"/>
      <x:c r="C216" s="8" t="n"/>
      <x:c r="D216" s="8" t="n"/>
      <x:c r="E216" s="8" t="n"/>
      <x:c r="F216" s="8" t="n"/>
      <x:c r="G216" s="7">
        <x:f>IF(A216="","",IF(01_Parametres!$B$11="Oui",IF((01_Parametres!$B$4*(D216&gt;0)+01_Parametres!$B$5*(E216&gt;0)+01_Parametres!$B$6*(F216&gt;0))=0,"",(01_Parametres!$B$4*IF(D216&gt;0,D216,0)+01_Parametres!$B$5*IF(E216&gt;0,E216,0)+01_Parametres!$B$6*IF(F216&gt;0,F216,0))/(01_Parametres!$B$4*(D216&gt;0)+01_Parametres!$B$5*(E216&gt;0)+01_Parametres!$B$6*(F216&gt;0))),IF(01_Parametres!$B$8=0,"",(01_Parametres!$B$4*D216+01_Parametres!$B$5*E216+01_Parametres!$B$6*F216)/01_Parametres!$B$8)))</x:f>
      </x:c>
      <x:c r="H216">
        <x:f>IFERROR(VLOOKUP(C216,02_Referentiels!$A$20:$D$99,3,FALSE),"")</x:f>
      </x:c>
      <x:c r="I216">
        <x:f>IFERROR(VLOOKUP(B216,02_Referentiels!$A$5:$C$16,2,FALSE),"")</x:f>
      </x:c>
      <x:c r="J216">
        <x:f>IF(A216="","",IF(OR(D216="",E216="",F216=""),1,IF(OR(D216&lt;0,D216&gt;3,E216&lt;0,E216&gt;3,F216&lt;0,F216&gt;3),1,0)))</x:f>
      </x:c>
      <x:c r="K216">
        <x:f>IF(A216="","",IF(G216="",1,0))</x:f>
      </x:c>
      <x:c r="L216">
        <x:f>IF(A216="","",IF(COUNTIFS($A$5:$A$2004,A216,$C$5:$C$2004,C216)&gt;1,1,0))</x:f>
      </x:c>
    </x:row>
    <x:row r="217">
      <x:c r="A217" s="8" t="n"/>
      <x:c r="B217" s="8" t="n"/>
      <x:c r="C217" s="8" t="n"/>
      <x:c r="D217" s="8" t="n"/>
      <x:c r="E217" s="8" t="n"/>
      <x:c r="F217" s="8" t="n"/>
      <x:c r="G217" s="7">
        <x:f>IF(A217="","",IF(01_Parametres!$B$11="Oui",IF((01_Parametres!$B$4*(D217&gt;0)+01_Parametres!$B$5*(E217&gt;0)+01_Parametres!$B$6*(F217&gt;0))=0,"",(01_Parametres!$B$4*IF(D217&gt;0,D217,0)+01_Parametres!$B$5*IF(E217&gt;0,E217,0)+01_Parametres!$B$6*IF(F217&gt;0,F217,0))/(01_Parametres!$B$4*(D217&gt;0)+01_Parametres!$B$5*(E217&gt;0)+01_Parametres!$B$6*(F217&gt;0))),IF(01_Parametres!$B$8=0,"",(01_Parametres!$B$4*D217+01_Parametres!$B$5*E217+01_Parametres!$B$6*F217)/01_Parametres!$B$8)))</x:f>
      </x:c>
      <x:c r="H217">
        <x:f>IFERROR(VLOOKUP(C217,02_Referentiels!$A$20:$D$99,3,FALSE),"")</x:f>
      </x:c>
      <x:c r="I217">
        <x:f>IFERROR(VLOOKUP(B217,02_Referentiels!$A$5:$C$16,2,FALSE),"")</x:f>
      </x:c>
      <x:c r="J217">
        <x:f>IF(A217="","",IF(OR(D217="",E217="",F217=""),1,IF(OR(D217&lt;0,D217&gt;3,E217&lt;0,E217&gt;3,F217&lt;0,F217&gt;3),1,0)))</x:f>
      </x:c>
      <x:c r="K217">
        <x:f>IF(A217="","",IF(G217="",1,0))</x:f>
      </x:c>
      <x:c r="L217">
        <x:f>IF(A217="","",IF(COUNTIFS($A$5:$A$2004,A217,$C$5:$C$2004,C217)&gt;1,1,0))</x:f>
      </x:c>
    </x:row>
    <x:row r="218">
      <x:c r="A218" s="8" t="n"/>
      <x:c r="B218" s="8" t="n"/>
      <x:c r="C218" s="8" t="n"/>
      <x:c r="D218" s="8" t="n"/>
      <x:c r="E218" s="8" t="n"/>
      <x:c r="F218" s="8" t="n"/>
      <x:c r="G218" s="7">
        <x:f>IF(A218="","",IF(01_Parametres!$B$11="Oui",IF((01_Parametres!$B$4*(D218&gt;0)+01_Parametres!$B$5*(E218&gt;0)+01_Parametres!$B$6*(F218&gt;0))=0,"",(01_Parametres!$B$4*IF(D218&gt;0,D218,0)+01_Parametres!$B$5*IF(E218&gt;0,E218,0)+01_Parametres!$B$6*IF(F218&gt;0,F218,0))/(01_Parametres!$B$4*(D218&gt;0)+01_Parametres!$B$5*(E218&gt;0)+01_Parametres!$B$6*(F218&gt;0))),IF(01_Parametres!$B$8=0,"",(01_Parametres!$B$4*D218+01_Parametres!$B$5*E218+01_Parametres!$B$6*F218)/01_Parametres!$B$8)))</x:f>
      </x:c>
      <x:c r="H218">
        <x:f>IFERROR(VLOOKUP(C218,02_Referentiels!$A$20:$D$99,3,FALSE),"")</x:f>
      </x:c>
      <x:c r="I218">
        <x:f>IFERROR(VLOOKUP(B218,02_Referentiels!$A$5:$C$16,2,FALSE),"")</x:f>
      </x:c>
      <x:c r="J218">
        <x:f>IF(A218="","",IF(OR(D218="",E218="",F218=""),1,IF(OR(D218&lt;0,D218&gt;3,E218&lt;0,E218&gt;3,F218&lt;0,F218&gt;3),1,0)))</x:f>
      </x:c>
      <x:c r="K218">
        <x:f>IF(A218="","",IF(G218="",1,0))</x:f>
      </x:c>
      <x:c r="L218">
        <x:f>IF(A218="","",IF(COUNTIFS($A$5:$A$2004,A218,$C$5:$C$2004,C218)&gt;1,1,0))</x:f>
      </x:c>
    </x:row>
    <x:row r="219">
      <x:c r="A219" s="8" t="n"/>
      <x:c r="B219" s="8" t="n"/>
      <x:c r="C219" s="8" t="n"/>
      <x:c r="D219" s="8" t="n"/>
      <x:c r="E219" s="8" t="n"/>
      <x:c r="F219" s="8" t="n"/>
      <x:c r="G219" s="7">
        <x:f>IF(A219="","",IF(01_Parametres!$B$11="Oui",IF((01_Parametres!$B$4*(D219&gt;0)+01_Parametres!$B$5*(E219&gt;0)+01_Parametres!$B$6*(F219&gt;0))=0,"",(01_Parametres!$B$4*IF(D219&gt;0,D219,0)+01_Parametres!$B$5*IF(E219&gt;0,E219,0)+01_Parametres!$B$6*IF(F219&gt;0,F219,0))/(01_Parametres!$B$4*(D219&gt;0)+01_Parametres!$B$5*(E219&gt;0)+01_Parametres!$B$6*(F219&gt;0))),IF(01_Parametres!$B$8=0,"",(01_Parametres!$B$4*D219+01_Parametres!$B$5*E219+01_Parametres!$B$6*F219)/01_Parametres!$B$8)))</x:f>
      </x:c>
      <x:c r="H219">
        <x:f>IFERROR(VLOOKUP(C219,02_Referentiels!$A$20:$D$99,3,FALSE),"")</x:f>
      </x:c>
      <x:c r="I219">
        <x:f>IFERROR(VLOOKUP(B219,02_Referentiels!$A$5:$C$16,2,FALSE),"")</x:f>
      </x:c>
      <x:c r="J219">
        <x:f>IF(A219="","",IF(OR(D219="",E219="",F219=""),1,IF(OR(D219&lt;0,D219&gt;3,E219&lt;0,E219&gt;3,F219&lt;0,F219&gt;3),1,0)))</x:f>
      </x:c>
      <x:c r="K219">
        <x:f>IF(A219="","",IF(G219="",1,0))</x:f>
      </x:c>
      <x:c r="L219">
        <x:f>IF(A219="","",IF(COUNTIFS($A$5:$A$2004,A219,$C$5:$C$2004,C219)&gt;1,1,0))</x:f>
      </x:c>
    </x:row>
    <x:row r="220">
      <x:c r="A220" s="8" t="n"/>
      <x:c r="B220" s="8" t="n"/>
      <x:c r="C220" s="8" t="n"/>
      <x:c r="D220" s="8" t="n"/>
      <x:c r="E220" s="8" t="n"/>
      <x:c r="F220" s="8" t="n"/>
      <x:c r="G220" s="7">
        <x:f>IF(A220="","",IF(01_Parametres!$B$11="Oui",IF((01_Parametres!$B$4*(D220&gt;0)+01_Parametres!$B$5*(E220&gt;0)+01_Parametres!$B$6*(F220&gt;0))=0,"",(01_Parametres!$B$4*IF(D220&gt;0,D220,0)+01_Parametres!$B$5*IF(E220&gt;0,E220,0)+01_Parametres!$B$6*IF(F220&gt;0,F220,0))/(01_Parametres!$B$4*(D220&gt;0)+01_Parametres!$B$5*(E220&gt;0)+01_Parametres!$B$6*(F220&gt;0))),IF(01_Parametres!$B$8=0,"",(01_Parametres!$B$4*D220+01_Parametres!$B$5*E220+01_Parametres!$B$6*F220)/01_Parametres!$B$8)))</x:f>
      </x:c>
      <x:c r="H220">
        <x:f>IFERROR(VLOOKUP(C220,02_Referentiels!$A$20:$D$99,3,FALSE),"")</x:f>
      </x:c>
      <x:c r="I220">
        <x:f>IFERROR(VLOOKUP(B220,02_Referentiels!$A$5:$C$16,2,FALSE),"")</x:f>
      </x:c>
      <x:c r="J220">
        <x:f>IF(A220="","",IF(OR(D220="",E220="",F220=""),1,IF(OR(D220&lt;0,D220&gt;3,E220&lt;0,E220&gt;3,F220&lt;0,F220&gt;3),1,0)))</x:f>
      </x:c>
      <x:c r="K220">
        <x:f>IF(A220="","",IF(G220="",1,0))</x:f>
      </x:c>
      <x:c r="L220">
        <x:f>IF(A220="","",IF(COUNTIFS($A$5:$A$2004,A220,$C$5:$C$2004,C220)&gt;1,1,0))</x:f>
      </x:c>
    </x:row>
    <x:row r="221">
      <x:c r="A221" s="8" t="n"/>
      <x:c r="B221" s="8" t="n"/>
      <x:c r="C221" s="8" t="n"/>
      <x:c r="D221" s="8" t="n"/>
      <x:c r="E221" s="8" t="n"/>
      <x:c r="F221" s="8" t="n"/>
      <x:c r="G221" s="7">
        <x:f>IF(A221="","",IF(01_Parametres!$B$11="Oui",IF((01_Parametres!$B$4*(D221&gt;0)+01_Parametres!$B$5*(E221&gt;0)+01_Parametres!$B$6*(F221&gt;0))=0,"",(01_Parametres!$B$4*IF(D221&gt;0,D221,0)+01_Parametres!$B$5*IF(E221&gt;0,E221,0)+01_Parametres!$B$6*IF(F221&gt;0,F221,0))/(01_Parametres!$B$4*(D221&gt;0)+01_Parametres!$B$5*(E221&gt;0)+01_Parametres!$B$6*(F221&gt;0))),IF(01_Parametres!$B$8=0,"",(01_Parametres!$B$4*D221+01_Parametres!$B$5*E221+01_Parametres!$B$6*F221)/01_Parametres!$B$8)))</x:f>
      </x:c>
      <x:c r="H221">
        <x:f>IFERROR(VLOOKUP(C221,02_Referentiels!$A$20:$D$99,3,FALSE),"")</x:f>
      </x:c>
      <x:c r="I221">
        <x:f>IFERROR(VLOOKUP(B221,02_Referentiels!$A$5:$C$16,2,FALSE),"")</x:f>
      </x:c>
      <x:c r="J221">
        <x:f>IF(A221="","",IF(OR(D221="",E221="",F221=""),1,IF(OR(D221&lt;0,D221&gt;3,E221&lt;0,E221&gt;3,F221&lt;0,F221&gt;3),1,0)))</x:f>
      </x:c>
      <x:c r="K221">
        <x:f>IF(A221="","",IF(G221="",1,0))</x:f>
      </x:c>
      <x:c r="L221">
        <x:f>IF(A221="","",IF(COUNTIFS($A$5:$A$2004,A221,$C$5:$C$2004,C221)&gt;1,1,0))</x:f>
      </x:c>
    </x:row>
    <x:row r="222">
      <x:c r="A222" s="8" t="n"/>
      <x:c r="B222" s="8" t="n"/>
      <x:c r="C222" s="8" t="n"/>
      <x:c r="D222" s="8" t="n"/>
      <x:c r="E222" s="8" t="n"/>
      <x:c r="F222" s="8" t="n"/>
      <x:c r="G222" s="7">
        <x:f>IF(A222="","",IF(01_Parametres!$B$11="Oui",IF((01_Parametres!$B$4*(D222&gt;0)+01_Parametres!$B$5*(E222&gt;0)+01_Parametres!$B$6*(F222&gt;0))=0,"",(01_Parametres!$B$4*IF(D222&gt;0,D222,0)+01_Parametres!$B$5*IF(E222&gt;0,E222,0)+01_Parametres!$B$6*IF(F222&gt;0,F222,0))/(01_Parametres!$B$4*(D222&gt;0)+01_Parametres!$B$5*(E222&gt;0)+01_Parametres!$B$6*(F222&gt;0))),IF(01_Parametres!$B$8=0,"",(01_Parametres!$B$4*D222+01_Parametres!$B$5*E222+01_Parametres!$B$6*F222)/01_Parametres!$B$8)))</x:f>
      </x:c>
      <x:c r="H222">
        <x:f>IFERROR(VLOOKUP(C222,02_Referentiels!$A$20:$D$99,3,FALSE),"")</x:f>
      </x:c>
      <x:c r="I222">
        <x:f>IFERROR(VLOOKUP(B222,02_Referentiels!$A$5:$C$16,2,FALSE),"")</x:f>
      </x:c>
      <x:c r="J222">
        <x:f>IF(A222="","",IF(OR(D222="",E222="",F222=""),1,IF(OR(D222&lt;0,D222&gt;3,E222&lt;0,E222&gt;3,F222&lt;0,F222&gt;3),1,0)))</x:f>
      </x:c>
      <x:c r="K222">
        <x:f>IF(A222="","",IF(G222="",1,0))</x:f>
      </x:c>
      <x:c r="L222">
        <x:f>IF(A222="","",IF(COUNTIFS($A$5:$A$2004,A222,$C$5:$C$2004,C222)&gt;1,1,0))</x:f>
      </x:c>
    </x:row>
    <x:row r="223">
      <x:c r="A223" s="8" t="n"/>
      <x:c r="B223" s="8" t="n"/>
      <x:c r="C223" s="8" t="n"/>
      <x:c r="D223" s="8" t="n"/>
      <x:c r="E223" s="8" t="n"/>
      <x:c r="F223" s="8" t="n"/>
      <x:c r="G223" s="7">
        <x:f>IF(A223="","",IF(01_Parametres!$B$11="Oui",IF((01_Parametres!$B$4*(D223&gt;0)+01_Parametres!$B$5*(E223&gt;0)+01_Parametres!$B$6*(F223&gt;0))=0,"",(01_Parametres!$B$4*IF(D223&gt;0,D223,0)+01_Parametres!$B$5*IF(E223&gt;0,E223,0)+01_Parametres!$B$6*IF(F223&gt;0,F223,0))/(01_Parametres!$B$4*(D223&gt;0)+01_Parametres!$B$5*(E223&gt;0)+01_Parametres!$B$6*(F223&gt;0))),IF(01_Parametres!$B$8=0,"",(01_Parametres!$B$4*D223+01_Parametres!$B$5*E223+01_Parametres!$B$6*F223)/01_Parametres!$B$8)))</x:f>
      </x:c>
      <x:c r="H223">
        <x:f>IFERROR(VLOOKUP(C223,02_Referentiels!$A$20:$D$99,3,FALSE),"")</x:f>
      </x:c>
      <x:c r="I223">
        <x:f>IFERROR(VLOOKUP(B223,02_Referentiels!$A$5:$C$16,2,FALSE),"")</x:f>
      </x:c>
      <x:c r="J223">
        <x:f>IF(A223="","",IF(OR(D223="",E223="",F223=""),1,IF(OR(D223&lt;0,D223&gt;3,E223&lt;0,E223&gt;3,F223&lt;0,F223&gt;3),1,0)))</x:f>
      </x:c>
      <x:c r="K223">
        <x:f>IF(A223="","",IF(G223="",1,0))</x:f>
      </x:c>
      <x:c r="L223">
        <x:f>IF(A223="","",IF(COUNTIFS($A$5:$A$2004,A223,$C$5:$C$2004,C223)&gt;1,1,0))</x:f>
      </x:c>
    </x:row>
    <x:row r="224">
      <x:c r="A224" s="8" t="n"/>
      <x:c r="B224" s="8" t="n"/>
      <x:c r="C224" s="8" t="n"/>
      <x:c r="D224" s="8" t="n"/>
      <x:c r="E224" s="8" t="n"/>
      <x:c r="F224" s="8" t="n"/>
      <x:c r="G224" s="7">
        <x:f>IF(A224="","",IF(01_Parametres!$B$11="Oui",IF((01_Parametres!$B$4*(D224&gt;0)+01_Parametres!$B$5*(E224&gt;0)+01_Parametres!$B$6*(F224&gt;0))=0,"",(01_Parametres!$B$4*IF(D224&gt;0,D224,0)+01_Parametres!$B$5*IF(E224&gt;0,E224,0)+01_Parametres!$B$6*IF(F224&gt;0,F224,0))/(01_Parametres!$B$4*(D224&gt;0)+01_Parametres!$B$5*(E224&gt;0)+01_Parametres!$B$6*(F224&gt;0))),IF(01_Parametres!$B$8=0,"",(01_Parametres!$B$4*D224+01_Parametres!$B$5*E224+01_Parametres!$B$6*F224)/01_Parametres!$B$8)))</x:f>
      </x:c>
      <x:c r="H224">
        <x:f>IFERROR(VLOOKUP(C224,02_Referentiels!$A$20:$D$99,3,FALSE),"")</x:f>
      </x:c>
      <x:c r="I224">
        <x:f>IFERROR(VLOOKUP(B224,02_Referentiels!$A$5:$C$16,2,FALSE),"")</x:f>
      </x:c>
      <x:c r="J224">
        <x:f>IF(A224="","",IF(OR(D224="",E224="",F224=""),1,IF(OR(D224&lt;0,D224&gt;3,E224&lt;0,E224&gt;3,F224&lt;0,F224&gt;3),1,0)))</x:f>
      </x:c>
      <x:c r="K224">
        <x:f>IF(A224="","",IF(G224="",1,0))</x:f>
      </x:c>
      <x:c r="L224">
        <x:f>IF(A224="","",IF(COUNTIFS($A$5:$A$2004,A224,$C$5:$C$2004,C224)&gt;1,1,0))</x:f>
      </x:c>
    </x:row>
    <x:row r="225">
      <x:c r="A225" s="8" t="n"/>
      <x:c r="B225" s="8" t="n"/>
      <x:c r="C225" s="8" t="n"/>
      <x:c r="D225" s="8" t="n"/>
      <x:c r="E225" s="8" t="n"/>
      <x:c r="F225" s="8" t="n"/>
      <x:c r="G225" s="7">
        <x:f>IF(A225="","",IF(01_Parametres!$B$11="Oui",IF((01_Parametres!$B$4*(D225&gt;0)+01_Parametres!$B$5*(E225&gt;0)+01_Parametres!$B$6*(F225&gt;0))=0,"",(01_Parametres!$B$4*IF(D225&gt;0,D225,0)+01_Parametres!$B$5*IF(E225&gt;0,E225,0)+01_Parametres!$B$6*IF(F225&gt;0,F225,0))/(01_Parametres!$B$4*(D225&gt;0)+01_Parametres!$B$5*(E225&gt;0)+01_Parametres!$B$6*(F225&gt;0))),IF(01_Parametres!$B$8=0,"",(01_Parametres!$B$4*D225+01_Parametres!$B$5*E225+01_Parametres!$B$6*F225)/01_Parametres!$B$8)))</x:f>
      </x:c>
      <x:c r="H225">
        <x:f>IFERROR(VLOOKUP(C225,02_Referentiels!$A$20:$D$99,3,FALSE),"")</x:f>
      </x:c>
      <x:c r="I225">
        <x:f>IFERROR(VLOOKUP(B225,02_Referentiels!$A$5:$C$16,2,FALSE),"")</x:f>
      </x:c>
      <x:c r="J225">
        <x:f>IF(A225="","",IF(OR(D225="",E225="",F225=""),1,IF(OR(D225&lt;0,D225&gt;3,E225&lt;0,E225&gt;3,F225&lt;0,F225&gt;3),1,0)))</x:f>
      </x:c>
      <x:c r="K225">
        <x:f>IF(A225="","",IF(G225="",1,0))</x:f>
      </x:c>
      <x:c r="L225">
        <x:f>IF(A225="","",IF(COUNTIFS($A$5:$A$2004,A225,$C$5:$C$2004,C225)&gt;1,1,0))</x:f>
      </x:c>
    </x:row>
    <x:row r="226">
      <x:c r="A226" s="8" t="n"/>
      <x:c r="B226" s="8" t="n"/>
      <x:c r="C226" s="8" t="n"/>
      <x:c r="D226" s="8" t="n"/>
      <x:c r="E226" s="8" t="n"/>
      <x:c r="F226" s="8" t="n"/>
      <x:c r="G226" s="7">
        <x:f>IF(A226="","",IF(01_Parametres!$B$11="Oui",IF((01_Parametres!$B$4*(D226&gt;0)+01_Parametres!$B$5*(E226&gt;0)+01_Parametres!$B$6*(F226&gt;0))=0,"",(01_Parametres!$B$4*IF(D226&gt;0,D226,0)+01_Parametres!$B$5*IF(E226&gt;0,E226,0)+01_Parametres!$B$6*IF(F226&gt;0,F226,0))/(01_Parametres!$B$4*(D226&gt;0)+01_Parametres!$B$5*(E226&gt;0)+01_Parametres!$B$6*(F226&gt;0))),IF(01_Parametres!$B$8=0,"",(01_Parametres!$B$4*D226+01_Parametres!$B$5*E226+01_Parametres!$B$6*F226)/01_Parametres!$B$8)))</x:f>
      </x:c>
      <x:c r="H226">
        <x:f>IFERROR(VLOOKUP(C226,02_Referentiels!$A$20:$D$99,3,FALSE),"")</x:f>
      </x:c>
      <x:c r="I226">
        <x:f>IFERROR(VLOOKUP(B226,02_Referentiels!$A$5:$C$16,2,FALSE),"")</x:f>
      </x:c>
      <x:c r="J226">
        <x:f>IF(A226="","",IF(OR(D226="",E226="",F226=""),1,IF(OR(D226&lt;0,D226&gt;3,E226&lt;0,E226&gt;3,F226&lt;0,F226&gt;3),1,0)))</x:f>
      </x:c>
      <x:c r="K226">
        <x:f>IF(A226="","",IF(G226="",1,0))</x:f>
      </x:c>
      <x:c r="L226">
        <x:f>IF(A226="","",IF(COUNTIFS($A$5:$A$2004,A226,$C$5:$C$2004,C226)&gt;1,1,0))</x:f>
      </x:c>
    </x:row>
    <x:row r="227">
      <x:c r="A227" s="8" t="n"/>
      <x:c r="B227" s="8" t="n"/>
      <x:c r="C227" s="8" t="n"/>
      <x:c r="D227" s="8" t="n"/>
      <x:c r="E227" s="8" t="n"/>
      <x:c r="F227" s="8" t="n"/>
      <x:c r="G227" s="7">
        <x:f>IF(A227="","",IF(01_Parametres!$B$11="Oui",IF((01_Parametres!$B$4*(D227&gt;0)+01_Parametres!$B$5*(E227&gt;0)+01_Parametres!$B$6*(F227&gt;0))=0,"",(01_Parametres!$B$4*IF(D227&gt;0,D227,0)+01_Parametres!$B$5*IF(E227&gt;0,E227,0)+01_Parametres!$B$6*IF(F227&gt;0,F227,0))/(01_Parametres!$B$4*(D227&gt;0)+01_Parametres!$B$5*(E227&gt;0)+01_Parametres!$B$6*(F227&gt;0))),IF(01_Parametres!$B$8=0,"",(01_Parametres!$B$4*D227+01_Parametres!$B$5*E227+01_Parametres!$B$6*F227)/01_Parametres!$B$8)))</x:f>
      </x:c>
      <x:c r="H227">
        <x:f>IFERROR(VLOOKUP(C227,02_Referentiels!$A$20:$D$99,3,FALSE),"")</x:f>
      </x:c>
      <x:c r="I227">
        <x:f>IFERROR(VLOOKUP(B227,02_Referentiels!$A$5:$C$16,2,FALSE),"")</x:f>
      </x:c>
      <x:c r="J227">
        <x:f>IF(A227="","",IF(OR(D227="",E227="",F227=""),1,IF(OR(D227&lt;0,D227&gt;3,E227&lt;0,E227&gt;3,F227&lt;0,F227&gt;3),1,0)))</x:f>
      </x:c>
      <x:c r="K227">
        <x:f>IF(A227="","",IF(G227="",1,0))</x:f>
      </x:c>
      <x:c r="L227">
        <x:f>IF(A227="","",IF(COUNTIFS($A$5:$A$2004,A227,$C$5:$C$2004,C227)&gt;1,1,0))</x:f>
      </x:c>
    </x:row>
    <x:row r="228">
      <x:c r="A228" s="8" t="n"/>
      <x:c r="B228" s="8" t="n"/>
      <x:c r="C228" s="8" t="n"/>
      <x:c r="D228" s="8" t="n"/>
      <x:c r="E228" s="8" t="n"/>
      <x:c r="F228" s="8" t="n"/>
      <x:c r="G228" s="7">
        <x:f>IF(A228="","",IF(01_Parametres!$B$11="Oui",IF((01_Parametres!$B$4*(D228&gt;0)+01_Parametres!$B$5*(E228&gt;0)+01_Parametres!$B$6*(F228&gt;0))=0,"",(01_Parametres!$B$4*IF(D228&gt;0,D228,0)+01_Parametres!$B$5*IF(E228&gt;0,E228,0)+01_Parametres!$B$6*IF(F228&gt;0,F228,0))/(01_Parametres!$B$4*(D228&gt;0)+01_Parametres!$B$5*(E228&gt;0)+01_Parametres!$B$6*(F228&gt;0))),IF(01_Parametres!$B$8=0,"",(01_Parametres!$B$4*D228+01_Parametres!$B$5*E228+01_Parametres!$B$6*F228)/01_Parametres!$B$8)))</x:f>
      </x:c>
      <x:c r="H228">
        <x:f>IFERROR(VLOOKUP(C228,02_Referentiels!$A$20:$D$99,3,FALSE),"")</x:f>
      </x:c>
      <x:c r="I228">
        <x:f>IFERROR(VLOOKUP(B228,02_Referentiels!$A$5:$C$16,2,FALSE),"")</x:f>
      </x:c>
      <x:c r="J228">
        <x:f>IF(A228="","",IF(OR(D228="",E228="",F228=""),1,IF(OR(D228&lt;0,D228&gt;3,E228&lt;0,E228&gt;3,F228&lt;0,F228&gt;3),1,0)))</x:f>
      </x:c>
      <x:c r="K228">
        <x:f>IF(A228="","",IF(G228="",1,0))</x:f>
      </x:c>
      <x:c r="L228">
        <x:f>IF(A228="","",IF(COUNTIFS($A$5:$A$2004,A228,$C$5:$C$2004,C228)&gt;1,1,0))</x:f>
      </x:c>
    </x:row>
    <x:row r="229">
      <x:c r="A229" s="8" t="n"/>
      <x:c r="B229" s="8" t="n"/>
      <x:c r="C229" s="8" t="n"/>
      <x:c r="D229" s="8" t="n"/>
      <x:c r="E229" s="8" t="n"/>
      <x:c r="F229" s="8" t="n"/>
      <x:c r="G229" s="7">
        <x:f>IF(A229="","",IF(01_Parametres!$B$11="Oui",IF((01_Parametres!$B$4*(D229&gt;0)+01_Parametres!$B$5*(E229&gt;0)+01_Parametres!$B$6*(F229&gt;0))=0,"",(01_Parametres!$B$4*IF(D229&gt;0,D229,0)+01_Parametres!$B$5*IF(E229&gt;0,E229,0)+01_Parametres!$B$6*IF(F229&gt;0,F229,0))/(01_Parametres!$B$4*(D229&gt;0)+01_Parametres!$B$5*(E229&gt;0)+01_Parametres!$B$6*(F229&gt;0))),IF(01_Parametres!$B$8=0,"",(01_Parametres!$B$4*D229+01_Parametres!$B$5*E229+01_Parametres!$B$6*F229)/01_Parametres!$B$8)))</x:f>
      </x:c>
      <x:c r="H229">
        <x:f>IFERROR(VLOOKUP(C229,02_Referentiels!$A$20:$D$99,3,FALSE),"")</x:f>
      </x:c>
      <x:c r="I229">
        <x:f>IFERROR(VLOOKUP(B229,02_Referentiels!$A$5:$C$16,2,FALSE),"")</x:f>
      </x:c>
      <x:c r="J229">
        <x:f>IF(A229="","",IF(OR(D229="",E229="",F229=""),1,IF(OR(D229&lt;0,D229&gt;3,E229&lt;0,E229&gt;3,F229&lt;0,F229&gt;3),1,0)))</x:f>
      </x:c>
      <x:c r="K229">
        <x:f>IF(A229="","",IF(G229="",1,0))</x:f>
      </x:c>
      <x:c r="L229">
        <x:f>IF(A229="","",IF(COUNTIFS($A$5:$A$2004,A229,$C$5:$C$2004,C229)&gt;1,1,0))</x:f>
      </x:c>
    </x:row>
    <x:row r="230">
      <x:c r="A230" s="8" t="n"/>
      <x:c r="B230" s="8" t="n"/>
      <x:c r="C230" s="8" t="n"/>
      <x:c r="D230" s="8" t="n"/>
      <x:c r="E230" s="8" t="n"/>
      <x:c r="F230" s="8" t="n"/>
      <x:c r="G230" s="7">
        <x:f>IF(A230="","",IF(01_Parametres!$B$11="Oui",IF((01_Parametres!$B$4*(D230&gt;0)+01_Parametres!$B$5*(E230&gt;0)+01_Parametres!$B$6*(F230&gt;0))=0,"",(01_Parametres!$B$4*IF(D230&gt;0,D230,0)+01_Parametres!$B$5*IF(E230&gt;0,E230,0)+01_Parametres!$B$6*IF(F230&gt;0,F230,0))/(01_Parametres!$B$4*(D230&gt;0)+01_Parametres!$B$5*(E230&gt;0)+01_Parametres!$B$6*(F230&gt;0))),IF(01_Parametres!$B$8=0,"",(01_Parametres!$B$4*D230+01_Parametres!$B$5*E230+01_Parametres!$B$6*F230)/01_Parametres!$B$8)))</x:f>
      </x:c>
      <x:c r="H230">
        <x:f>IFERROR(VLOOKUP(C230,02_Referentiels!$A$20:$D$99,3,FALSE),"")</x:f>
      </x:c>
      <x:c r="I230">
        <x:f>IFERROR(VLOOKUP(B230,02_Referentiels!$A$5:$C$16,2,FALSE),"")</x:f>
      </x:c>
      <x:c r="J230">
        <x:f>IF(A230="","",IF(OR(D230="",E230="",F230=""),1,IF(OR(D230&lt;0,D230&gt;3,E230&lt;0,E230&gt;3,F230&lt;0,F230&gt;3),1,0)))</x:f>
      </x:c>
      <x:c r="K230">
        <x:f>IF(A230="","",IF(G230="",1,0))</x:f>
      </x:c>
      <x:c r="L230">
        <x:f>IF(A230="","",IF(COUNTIFS($A$5:$A$2004,A230,$C$5:$C$2004,C230)&gt;1,1,0))</x:f>
      </x:c>
    </x:row>
    <x:row r="231">
      <x:c r="A231" s="8" t="n"/>
      <x:c r="B231" s="8" t="n"/>
      <x:c r="C231" s="8" t="n"/>
      <x:c r="D231" s="8" t="n"/>
      <x:c r="E231" s="8" t="n"/>
      <x:c r="F231" s="8" t="n"/>
      <x:c r="G231" s="7">
        <x:f>IF(A231="","",IF(01_Parametres!$B$11="Oui",IF((01_Parametres!$B$4*(D231&gt;0)+01_Parametres!$B$5*(E231&gt;0)+01_Parametres!$B$6*(F231&gt;0))=0,"",(01_Parametres!$B$4*IF(D231&gt;0,D231,0)+01_Parametres!$B$5*IF(E231&gt;0,E231,0)+01_Parametres!$B$6*IF(F231&gt;0,F231,0))/(01_Parametres!$B$4*(D231&gt;0)+01_Parametres!$B$5*(E231&gt;0)+01_Parametres!$B$6*(F231&gt;0))),IF(01_Parametres!$B$8=0,"",(01_Parametres!$B$4*D231+01_Parametres!$B$5*E231+01_Parametres!$B$6*F231)/01_Parametres!$B$8)))</x:f>
      </x:c>
      <x:c r="H231">
        <x:f>IFERROR(VLOOKUP(C231,02_Referentiels!$A$20:$D$99,3,FALSE),"")</x:f>
      </x:c>
      <x:c r="I231">
        <x:f>IFERROR(VLOOKUP(B231,02_Referentiels!$A$5:$C$16,2,FALSE),"")</x:f>
      </x:c>
      <x:c r="J231">
        <x:f>IF(A231="","",IF(OR(D231="",E231="",F231=""),1,IF(OR(D231&lt;0,D231&gt;3,E231&lt;0,E231&gt;3,F231&lt;0,F231&gt;3),1,0)))</x:f>
      </x:c>
      <x:c r="K231">
        <x:f>IF(A231="","",IF(G231="",1,0))</x:f>
      </x:c>
      <x:c r="L231">
        <x:f>IF(A231="","",IF(COUNTIFS($A$5:$A$2004,A231,$C$5:$C$2004,C231)&gt;1,1,0))</x:f>
      </x:c>
    </x:row>
    <x:row r="232">
      <x:c r="A232" s="8" t="n"/>
      <x:c r="B232" s="8" t="n"/>
      <x:c r="C232" s="8" t="n"/>
      <x:c r="D232" s="8" t="n"/>
      <x:c r="E232" s="8" t="n"/>
      <x:c r="F232" s="8" t="n"/>
      <x:c r="G232" s="7">
        <x:f>IF(A232="","",IF(01_Parametres!$B$11="Oui",IF((01_Parametres!$B$4*(D232&gt;0)+01_Parametres!$B$5*(E232&gt;0)+01_Parametres!$B$6*(F232&gt;0))=0,"",(01_Parametres!$B$4*IF(D232&gt;0,D232,0)+01_Parametres!$B$5*IF(E232&gt;0,E232,0)+01_Parametres!$B$6*IF(F232&gt;0,F232,0))/(01_Parametres!$B$4*(D232&gt;0)+01_Parametres!$B$5*(E232&gt;0)+01_Parametres!$B$6*(F232&gt;0))),IF(01_Parametres!$B$8=0,"",(01_Parametres!$B$4*D232+01_Parametres!$B$5*E232+01_Parametres!$B$6*F232)/01_Parametres!$B$8)))</x:f>
      </x:c>
      <x:c r="H232">
        <x:f>IFERROR(VLOOKUP(C232,02_Referentiels!$A$20:$D$99,3,FALSE),"")</x:f>
      </x:c>
      <x:c r="I232">
        <x:f>IFERROR(VLOOKUP(B232,02_Referentiels!$A$5:$C$16,2,FALSE),"")</x:f>
      </x:c>
      <x:c r="J232">
        <x:f>IF(A232="","",IF(OR(D232="",E232="",F232=""),1,IF(OR(D232&lt;0,D232&gt;3,E232&lt;0,E232&gt;3,F232&lt;0,F232&gt;3),1,0)))</x:f>
      </x:c>
      <x:c r="K232">
        <x:f>IF(A232="","",IF(G232="",1,0))</x:f>
      </x:c>
      <x:c r="L232">
        <x:f>IF(A232="","",IF(COUNTIFS($A$5:$A$2004,A232,$C$5:$C$2004,C232)&gt;1,1,0))</x:f>
      </x:c>
    </x:row>
    <x:row r="233">
      <x:c r="A233" s="8" t="n"/>
      <x:c r="B233" s="8" t="n"/>
      <x:c r="C233" s="8" t="n"/>
      <x:c r="D233" s="8" t="n"/>
      <x:c r="E233" s="8" t="n"/>
      <x:c r="F233" s="8" t="n"/>
      <x:c r="G233" s="7">
        <x:f>IF(A233="","",IF(01_Parametres!$B$11="Oui",IF((01_Parametres!$B$4*(D233&gt;0)+01_Parametres!$B$5*(E233&gt;0)+01_Parametres!$B$6*(F233&gt;0))=0,"",(01_Parametres!$B$4*IF(D233&gt;0,D233,0)+01_Parametres!$B$5*IF(E233&gt;0,E233,0)+01_Parametres!$B$6*IF(F233&gt;0,F233,0))/(01_Parametres!$B$4*(D233&gt;0)+01_Parametres!$B$5*(E233&gt;0)+01_Parametres!$B$6*(F233&gt;0))),IF(01_Parametres!$B$8=0,"",(01_Parametres!$B$4*D233+01_Parametres!$B$5*E233+01_Parametres!$B$6*F233)/01_Parametres!$B$8)))</x:f>
      </x:c>
      <x:c r="H233">
        <x:f>IFERROR(VLOOKUP(C233,02_Referentiels!$A$20:$D$99,3,FALSE),"")</x:f>
      </x:c>
      <x:c r="I233">
        <x:f>IFERROR(VLOOKUP(B233,02_Referentiels!$A$5:$C$16,2,FALSE),"")</x:f>
      </x:c>
      <x:c r="J233">
        <x:f>IF(A233="","",IF(OR(D233="",E233="",F233=""),1,IF(OR(D233&lt;0,D233&gt;3,E233&lt;0,E233&gt;3,F233&lt;0,F233&gt;3),1,0)))</x:f>
      </x:c>
      <x:c r="K233">
        <x:f>IF(A233="","",IF(G233="",1,0))</x:f>
      </x:c>
      <x:c r="L233">
        <x:f>IF(A233="","",IF(COUNTIFS($A$5:$A$2004,A233,$C$5:$C$2004,C233)&gt;1,1,0))</x:f>
      </x:c>
    </x:row>
    <x:row r="234">
      <x:c r="A234" s="8" t="n"/>
      <x:c r="B234" s="8" t="n"/>
      <x:c r="C234" s="8" t="n"/>
      <x:c r="D234" s="8" t="n"/>
      <x:c r="E234" s="8" t="n"/>
      <x:c r="F234" s="8" t="n"/>
      <x:c r="G234" s="7">
        <x:f>IF(A234="","",IF(01_Parametres!$B$11="Oui",IF((01_Parametres!$B$4*(D234&gt;0)+01_Parametres!$B$5*(E234&gt;0)+01_Parametres!$B$6*(F234&gt;0))=0,"",(01_Parametres!$B$4*IF(D234&gt;0,D234,0)+01_Parametres!$B$5*IF(E234&gt;0,E234,0)+01_Parametres!$B$6*IF(F234&gt;0,F234,0))/(01_Parametres!$B$4*(D234&gt;0)+01_Parametres!$B$5*(E234&gt;0)+01_Parametres!$B$6*(F234&gt;0))),IF(01_Parametres!$B$8=0,"",(01_Parametres!$B$4*D234+01_Parametres!$B$5*E234+01_Parametres!$B$6*F234)/01_Parametres!$B$8)))</x:f>
      </x:c>
      <x:c r="H234">
        <x:f>IFERROR(VLOOKUP(C234,02_Referentiels!$A$20:$D$99,3,FALSE),"")</x:f>
      </x:c>
      <x:c r="I234">
        <x:f>IFERROR(VLOOKUP(B234,02_Referentiels!$A$5:$C$16,2,FALSE),"")</x:f>
      </x:c>
      <x:c r="J234">
        <x:f>IF(A234="","",IF(OR(D234="",E234="",F234=""),1,IF(OR(D234&lt;0,D234&gt;3,E234&lt;0,E234&gt;3,F234&lt;0,F234&gt;3),1,0)))</x:f>
      </x:c>
      <x:c r="K234">
        <x:f>IF(A234="","",IF(G234="",1,0))</x:f>
      </x:c>
      <x:c r="L234">
        <x:f>IF(A234="","",IF(COUNTIFS($A$5:$A$2004,A234,$C$5:$C$2004,C234)&gt;1,1,0))</x:f>
      </x:c>
    </x:row>
    <x:row r="235">
      <x:c r="A235" s="8" t="n"/>
      <x:c r="B235" s="8" t="n"/>
      <x:c r="C235" s="8" t="n"/>
      <x:c r="D235" s="8" t="n"/>
      <x:c r="E235" s="8" t="n"/>
      <x:c r="F235" s="8" t="n"/>
      <x:c r="G235" s="7">
        <x:f>IF(A235="","",IF(01_Parametres!$B$11="Oui",IF((01_Parametres!$B$4*(D235&gt;0)+01_Parametres!$B$5*(E235&gt;0)+01_Parametres!$B$6*(F235&gt;0))=0,"",(01_Parametres!$B$4*IF(D235&gt;0,D235,0)+01_Parametres!$B$5*IF(E235&gt;0,E235,0)+01_Parametres!$B$6*IF(F235&gt;0,F235,0))/(01_Parametres!$B$4*(D235&gt;0)+01_Parametres!$B$5*(E235&gt;0)+01_Parametres!$B$6*(F235&gt;0))),IF(01_Parametres!$B$8=0,"",(01_Parametres!$B$4*D235+01_Parametres!$B$5*E235+01_Parametres!$B$6*F235)/01_Parametres!$B$8)))</x:f>
      </x:c>
      <x:c r="H235">
        <x:f>IFERROR(VLOOKUP(C235,02_Referentiels!$A$20:$D$99,3,FALSE),"")</x:f>
      </x:c>
      <x:c r="I235">
        <x:f>IFERROR(VLOOKUP(B235,02_Referentiels!$A$5:$C$16,2,FALSE),"")</x:f>
      </x:c>
      <x:c r="J235">
        <x:f>IF(A235="","",IF(OR(D235="",E235="",F235=""),1,IF(OR(D235&lt;0,D235&gt;3,E235&lt;0,E235&gt;3,F235&lt;0,F235&gt;3),1,0)))</x:f>
      </x:c>
      <x:c r="K235">
        <x:f>IF(A235="","",IF(G235="",1,0))</x:f>
      </x:c>
      <x:c r="L235">
        <x:f>IF(A235="","",IF(COUNTIFS($A$5:$A$2004,A235,$C$5:$C$2004,C235)&gt;1,1,0))</x:f>
      </x:c>
    </x:row>
    <x:row r="236">
      <x:c r="A236" s="8" t="n"/>
      <x:c r="B236" s="8" t="n"/>
      <x:c r="C236" s="8" t="n"/>
      <x:c r="D236" s="8" t="n"/>
      <x:c r="E236" s="8" t="n"/>
      <x:c r="F236" s="8" t="n"/>
      <x:c r="G236" s="7">
        <x:f>IF(A236="","",IF(01_Parametres!$B$11="Oui",IF((01_Parametres!$B$4*(D236&gt;0)+01_Parametres!$B$5*(E236&gt;0)+01_Parametres!$B$6*(F236&gt;0))=0,"",(01_Parametres!$B$4*IF(D236&gt;0,D236,0)+01_Parametres!$B$5*IF(E236&gt;0,E236,0)+01_Parametres!$B$6*IF(F236&gt;0,F236,0))/(01_Parametres!$B$4*(D236&gt;0)+01_Parametres!$B$5*(E236&gt;0)+01_Parametres!$B$6*(F236&gt;0))),IF(01_Parametres!$B$8=0,"",(01_Parametres!$B$4*D236+01_Parametres!$B$5*E236+01_Parametres!$B$6*F236)/01_Parametres!$B$8)))</x:f>
      </x:c>
      <x:c r="H236">
        <x:f>IFERROR(VLOOKUP(C236,02_Referentiels!$A$20:$D$99,3,FALSE),"")</x:f>
      </x:c>
      <x:c r="I236">
        <x:f>IFERROR(VLOOKUP(B236,02_Referentiels!$A$5:$C$16,2,FALSE),"")</x:f>
      </x:c>
      <x:c r="J236">
        <x:f>IF(A236="","",IF(OR(D236="",E236="",F236=""),1,IF(OR(D236&lt;0,D236&gt;3,E236&lt;0,E236&gt;3,F236&lt;0,F236&gt;3),1,0)))</x:f>
      </x:c>
      <x:c r="K236">
        <x:f>IF(A236="","",IF(G236="",1,0))</x:f>
      </x:c>
      <x:c r="L236">
        <x:f>IF(A236="","",IF(COUNTIFS($A$5:$A$2004,A236,$C$5:$C$2004,C236)&gt;1,1,0))</x:f>
      </x:c>
    </x:row>
    <x:row r="237">
      <x:c r="A237" s="8" t="n"/>
      <x:c r="B237" s="8" t="n"/>
      <x:c r="C237" s="8" t="n"/>
      <x:c r="D237" s="8" t="n"/>
      <x:c r="E237" s="8" t="n"/>
      <x:c r="F237" s="8" t="n"/>
      <x:c r="G237" s="7">
        <x:f>IF(A237="","",IF(01_Parametres!$B$11="Oui",IF((01_Parametres!$B$4*(D237&gt;0)+01_Parametres!$B$5*(E237&gt;0)+01_Parametres!$B$6*(F237&gt;0))=0,"",(01_Parametres!$B$4*IF(D237&gt;0,D237,0)+01_Parametres!$B$5*IF(E237&gt;0,E237,0)+01_Parametres!$B$6*IF(F237&gt;0,F237,0))/(01_Parametres!$B$4*(D237&gt;0)+01_Parametres!$B$5*(E237&gt;0)+01_Parametres!$B$6*(F237&gt;0))),IF(01_Parametres!$B$8=0,"",(01_Parametres!$B$4*D237+01_Parametres!$B$5*E237+01_Parametres!$B$6*F237)/01_Parametres!$B$8)))</x:f>
      </x:c>
      <x:c r="H237">
        <x:f>IFERROR(VLOOKUP(C237,02_Referentiels!$A$20:$D$99,3,FALSE),"")</x:f>
      </x:c>
      <x:c r="I237">
        <x:f>IFERROR(VLOOKUP(B237,02_Referentiels!$A$5:$C$16,2,FALSE),"")</x:f>
      </x:c>
      <x:c r="J237">
        <x:f>IF(A237="","",IF(OR(D237="",E237="",F237=""),1,IF(OR(D237&lt;0,D237&gt;3,E237&lt;0,E237&gt;3,F237&lt;0,F237&gt;3),1,0)))</x:f>
      </x:c>
      <x:c r="K237">
        <x:f>IF(A237="","",IF(G237="",1,0))</x:f>
      </x:c>
      <x:c r="L237">
        <x:f>IF(A237="","",IF(COUNTIFS($A$5:$A$2004,A237,$C$5:$C$2004,C237)&gt;1,1,0))</x:f>
      </x:c>
    </x:row>
    <x:row r="238">
      <x:c r="A238" s="8" t="n"/>
      <x:c r="B238" s="8" t="n"/>
      <x:c r="C238" s="8" t="n"/>
      <x:c r="D238" s="8" t="n"/>
      <x:c r="E238" s="8" t="n"/>
      <x:c r="F238" s="8" t="n"/>
      <x:c r="G238" s="7">
        <x:f>IF(A238="","",IF(01_Parametres!$B$11="Oui",IF((01_Parametres!$B$4*(D238&gt;0)+01_Parametres!$B$5*(E238&gt;0)+01_Parametres!$B$6*(F238&gt;0))=0,"",(01_Parametres!$B$4*IF(D238&gt;0,D238,0)+01_Parametres!$B$5*IF(E238&gt;0,E238,0)+01_Parametres!$B$6*IF(F238&gt;0,F238,0))/(01_Parametres!$B$4*(D238&gt;0)+01_Parametres!$B$5*(E238&gt;0)+01_Parametres!$B$6*(F238&gt;0))),IF(01_Parametres!$B$8=0,"",(01_Parametres!$B$4*D238+01_Parametres!$B$5*E238+01_Parametres!$B$6*F238)/01_Parametres!$B$8)))</x:f>
      </x:c>
      <x:c r="H238">
        <x:f>IFERROR(VLOOKUP(C238,02_Referentiels!$A$20:$D$99,3,FALSE),"")</x:f>
      </x:c>
      <x:c r="I238">
        <x:f>IFERROR(VLOOKUP(B238,02_Referentiels!$A$5:$C$16,2,FALSE),"")</x:f>
      </x:c>
      <x:c r="J238">
        <x:f>IF(A238="","",IF(OR(D238="",E238="",F238=""),1,IF(OR(D238&lt;0,D238&gt;3,E238&lt;0,E238&gt;3,F238&lt;0,F238&gt;3),1,0)))</x:f>
      </x:c>
      <x:c r="K238">
        <x:f>IF(A238="","",IF(G238="",1,0))</x:f>
      </x:c>
      <x:c r="L238">
        <x:f>IF(A238="","",IF(COUNTIFS($A$5:$A$2004,A238,$C$5:$C$2004,C238)&gt;1,1,0))</x:f>
      </x:c>
    </x:row>
    <x:row r="239">
      <x:c r="A239" s="8" t="n"/>
      <x:c r="B239" s="8" t="n"/>
      <x:c r="C239" s="8" t="n"/>
      <x:c r="D239" s="8" t="n"/>
      <x:c r="E239" s="8" t="n"/>
      <x:c r="F239" s="8" t="n"/>
      <x:c r="G239" s="7">
        <x:f>IF(A239="","",IF(01_Parametres!$B$11="Oui",IF((01_Parametres!$B$4*(D239&gt;0)+01_Parametres!$B$5*(E239&gt;0)+01_Parametres!$B$6*(F239&gt;0))=0,"",(01_Parametres!$B$4*IF(D239&gt;0,D239,0)+01_Parametres!$B$5*IF(E239&gt;0,E239,0)+01_Parametres!$B$6*IF(F239&gt;0,F239,0))/(01_Parametres!$B$4*(D239&gt;0)+01_Parametres!$B$5*(E239&gt;0)+01_Parametres!$B$6*(F239&gt;0))),IF(01_Parametres!$B$8=0,"",(01_Parametres!$B$4*D239+01_Parametres!$B$5*E239+01_Parametres!$B$6*F239)/01_Parametres!$B$8)))</x:f>
      </x:c>
      <x:c r="H239">
        <x:f>IFERROR(VLOOKUP(C239,02_Referentiels!$A$20:$D$99,3,FALSE),"")</x:f>
      </x:c>
      <x:c r="I239">
        <x:f>IFERROR(VLOOKUP(B239,02_Referentiels!$A$5:$C$16,2,FALSE),"")</x:f>
      </x:c>
      <x:c r="J239">
        <x:f>IF(A239="","",IF(OR(D239="",E239="",F239=""),1,IF(OR(D239&lt;0,D239&gt;3,E239&lt;0,E239&gt;3,F239&lt;0,F239&gt;3),1,0)))</x:f>
      </x:c>
      <x:c r="K239">
        <x:f>IF(A239="","",IF(G239="",1,0))</x:f>
      </x:c>
      <x:c r="L239">
        <x:f>IF(A239="","",IF(COUNTIFS($A$5:$A$2004,A239,$C$5:$C$2004,C239)&gt;1,1,0))</x:f>
      </x:c>
    </x:row>
    <x:row r="240">
      <x:c r="A240" s="8" t="n"/>
      <x:c r="B240" s="8" t="n"/>
      <x:c r="C240" s="8" t="n"/>
      <x:c r="D240" s="8" t="n"/>
      <x:c r="E240" s="8" t="n"/>
      <x:c r="F240" s="8" t="n"/>
      <x:c r="G240" s="7">
        <x:f>IF(A240="","",IF(01_Parametres!$B$11="Oui",IF((01_Parametres!$B$4*(D240&gt;0)+01_Parametres!$B$5*(E240&gt;0)+01_Parametres!$B$6*(F240&gt;0))=0,"",(01_Parametres!$B$4*IF(D240&gt;0,D240,0)+01_Parametres!$B$5*IF(E240&gt;0,E240,0)+01_Parametres!$B$6*IF(F240&gt;0,F240,0))/(01_Parametres!$B$4*(D240&gt;0)+01_Parametres!$B$5*(E240&gt;0)+01_Parametres!$B$6*(F240&gt;0))),IF(01_Parametres!$B$8=0,"",(01_Parametres!$B$4*D240+01_Parametres!$B$5*E240+01_Parametres!$B$6*F240)/01_Parametres!$B$8)))</x:f>
      </x:c>
      <x:c r="H240">
        <x:f>IFERROR(VLOOKUP(C240,02_Referentiels!$A$20:$D$99,3,FALSE),"")</x:f>
      </x:c>
      <x:c r="I240">
        <x:f>IFERROR(VLOOKUP(B240,02_Referentiels!$A$5:$C$16,2,FALSE),"")</x:f>
      </x:c>
      <x:c r="J240">
        <x:f>IF(A240="","",IF(OR(D240="",E240="",F240=""),1,IF(OR(D240&lt;0,D240&gt;3,E240&lt;0,E240&gt;3,F240&lt;0,F240&gt;3),1,0)))</x:f>
      </x:c>
      <x:c r="K240">
        <x:f>IF(A240="","",IF(G240="",1,0))</x:f>
      </x:c>
      <x:c r="L240">
        <x:f>IF(A240="","",IF(COUNTIFS($A$5:$A$2004,A240,$C$5:$C$2004,C240)&gt;1,1,0))</x:f>
      </x:c>
    </x:row>
    <x:row r="241">
      <x:c r="A241" s="8" t="n"/>
      <x:c r="B241" s="8" t="n"/>
      <x:c r="C241" s="8" t="n"/>
      <x:c r="D241" s="8" t="n"/>
      <x:c r="E241" s="8" t="n"/>
      <x:c r="F241" s="8" t="n"/>
      <x:c r="G241" s="7">
        <x:f>IF(A241="","",IF(01_Parametres!$B$11="Oui",IF((01_Parametres!$B$4*(D241&gt;0)+01_Parametres!$B$5*(E241&gt;0)+01_Parametres!$B$6*(F241&gt;0))=0,"",(01_Parametres!$B$4*IF(D241&gt;0,D241,0)+01_Parametres!$B$5*IF(E241&gt;0,E241,0)+01_Parametres!$B$6*IF(F241&gt;0,F241,0))/(01_Parametres!$B$4*(D241&gt;0)+01_Parametres!$B$5*(E241&gt;0)+01_Parametres!$B$6*(F241&gt;0))),IF(01_Parametres!$B$8=0,"",(01_Parametres!$B$4*D241+01_Parametres!$B$5*E241+01_Parametres!$B$6*F241)/01_Parametres!$B$8)))</x:f>
      </x:c>
      <x:c r="H241">
        <x:f>IFERROR(VLOOKUP(C241,02_Referentiels!$A$20:$D$99,3,FALSE),"")</x:f>
      </x:c>
      <x:c r="I241">
        <x:f>IFERROR(VLOOKUP(B241,02_Referentiels!$A$5:$C$16,2,FALSE),"")</x:f>
      </x:c>
      <x:c r="J241">
        <x:f>IF(A241="","",IF(OR(D241="",E241="",F241=""),1,IF(OR(D241&lt;0,D241&gt;3,E241&lt;0,E241&gt;3,F241&lt;0,F241&gt;3),1,0)))</x:f>
      </x:c>
      <x:c r="K241">
        <x:f>IF(A241="","",IF(G241="",1,0))</x:f>
      </x:c>
      <x:c r="L241">
        <x:f>IF(A241="","",IF(COUNTIFS($A$5:$A$2004,A241,$C$5:$C$2004,C241)&gt;1,1,0))</x:f>
      </x:c>
    </x:row>
    <x:row r="242">
      <x:c r="A242" s="8" t="n"/>
      <x:c r="B242" s="8" t="n"/>
      <x:c r="C242" s="8" t="n"/>
      <x:c r="D242" s="8" t="n"/>
      <x:c r="E242" s="8" t="n"/>
      <x:c r="F242" s="8" t="n"/>
      <x:c r="G242" s="7">
        <x:f>IF(A242="","",IF(01_Parametres!$B$11="Oui",IF((01_Parametres!$B$4*(D242&gt;0)+01_Parametres!$B$5*(E242&gt;0)+01_Parametres!$B$6*(F242&gt;0))=0,"",(01_Parametres!$B$4*IF(D242&gt;0,D242,0)+01_Parametres!$B$5*IF(E242&gt;0,E242,0)+01_Parametres!$B$6*IF(F242&gt;0,F242,0))/(01_Parametres!$B$4*(D242&gt;0)+01_Parametres!$B$5*(E242&gt;0)+01_Parametres!$B$6*(F242&gt;0))),IF(01_Parametres!$B$8=0,"",(01_Parametres!$B$4*D242+01_Parametres!$B$5*E242+01_Parametres!$B$6*F242)/01_Parametres!$B$8)))</x:f>
      </x:c>
      <x:c r="H242">
        <x:f>IFERROR(VLOOKUP(C242,02_Referentiels!$A$20:$D$99,3,FALSE),"")</x:f>
      </x:c>
      <x:c r="I242">
        <x:f>IFERROR(VLOOKUP(B242,02_Referentiels!$A$5:$C$16,2,FALSE),"")</x:f>
      </x:c>
      <x:c r="J242">
        <x:f>IF(A242="","",IF(OR(D242="",E242="",F242=""),1,IF(OR(D242&lt;0,D242&gt;3,E242&lt;0,E242&gt;3,F242&lt;0,F242&gt;3),1,0)))</x:f>
      </x:c>
      <x:c r="K242">
        <x:f>IF(A242="","",IF(G242="",1,0))</x:f>
      </x:c>
      <x:c r="L242">
        <x:f>IF(A242="","",IF(COUNTIFS($A$5:$A$2004,A242,$C$5:$C$2004,C242)&gt;1,1,0))</x:f>
      </x:c>
    </x:row>
    <x:row r="243">
      <x:c r="A243" s="8" t="n"/>
      <x:c r="B243" s="8" t="n"/>
      <x:c r="C243" s="8" t="n"/>
      <x:c r="D243" s="8" t="n"/>
      <x:c r="E243" s="8" t="n"/>
      <x:c r="F243" s="8" t="n"/>
      <x:c r="G243" s="7">
        <x:f>IF(A243="","",IF(01_Parametres!$B$11="Oui",IF((01_Parametres!$B$4*(D243&gt;0)+01_Parametres!$B$5*(E243&gt;0)+01_Parametres!$B$6*(F243&gt;0))=0,"",(01_Parametres!$B$4*IF(D243&gt;0,D243,0)+01_Parametres!$B$5*IF(E243&gt;0,E243,0)+01_Parametres!$B$6*IF(F243&gt;0,F243,0))/(01_Parametres!$B$4*(D243&gt;0)+01_Parametres!$B$5*(E243&gt;0)+01_Parametres!$B$6*(F243&gt;0))),IF(01_Parametres!$B$8=0,"",(01_Parametres!$B$4*D243+01_Parametres!$B$5*E243+01_Parametres!$B$6*F243)/01_Parametres!$B$8)))</x:f>
      </x:c>
      <x:c r="H243">
        <x:f>IFERROR(VLOOKUP(C243,02_Referentiels!$A$20:$D$99,3,FALSE),"")</x:f>
      </x:c>
      <x:c r="I243">
        <x:f>IFERROR(VLOOKUP(B243,02_Referentiels!$A$5:$C$16,2,FALSE),"")</x:f>
      </x:c>
      <x:c r="J243">
        <x:f>IF(A243="","",IF(OR(D243="",E243="",F243=""),1,IF(OR(D243&lt;0,D243&gt;3,E243&lt;0,E243&gt;3,F243&lt;0,F243&gt;3),1,0)))</x:f>
      </x:c>
      <x:c r="K243">
        <x:f>IF(A243="","",IF(G243="",1,0))</x:f>
      </x:c>
      <x:c r="L243">
        <x:f>IF(A243="","",IF(COUNTIFS($A$5:$A$2004,A243,$C$5:$C$2004,C243)&gt;1,1,0))</x:f>
      </x:c>
    </x:row>
    <x:row r="244">
      <x:c r="A244" s="8" t="n"/>
      <x:c r="B244" s="8" t="n"/>
      <x:c r="C244" s="8" t="n"/>
      <x:c r="D244" s="8" t="n"/>
      <x:c r="E244" s="8" t="n"/>
      <x:c r="F244" s="8" t="n"/>
      <x:c r="G244" s="7">
        <x:f>IF(A244="","",IF(01_Parametres!$B$11="Oui",IF((01_Parametres!$B$4*(D244&gt;0)+01_Parametres!$B$5*(E244&gt;0)+01_Parametres!$B$6*(F244&gt;0))=0,"",(01_Parametres!$B$4*IF(D244&gt;0,D244,0)+01_Parametres!$B$5*IF(E244&gt;0,E244,0)+01_Parametres!$B$6*IF(F244&gt;0,F244,0))/(01_Parametres!$B$4*(D244&gt;0)+01_Parametres!$B$5*(E244&gt;0)+01_Parametres!$B$6*(F244&gt;0))),IF(01_Parametres!$B$8=0,"",(01_Parametres!$B$4*D244+01_Parametres!$B$5*E244+01_Parametres!$B$6*F244)/01_Parametres!$B$8)))</x:f>
      </x:c>
      <x:c r="H244">
        <x:f>IFERROR(VLOOKUP(C244,02_Referentiels!$A$20:$D$99,3,FALSE),"")</x:f>
      </x:c>
      <x:c r="I244">
        <x:f>IFERROR(VLOOKUP(B244,02_Referentiels!$A$5:$C$16,2,FALSE),"")</x:f>
      </x:c>
      <x:c r="J244">
        <x:f>IF(A244="","",IF(OR(D244="",E244="",F244=""),1,IF(OR(D244&lt;0,D244&gt;3,E244&lt;0,E244&gt;3,F244&lt;0,F244&gt;3),1,0)))</x:f>
      </x:c>
      <x:c r="K244">
        <x:f>IF(A244="","",IF(G244="",1,0))</x:f>
      </x:c>
      <x:c r="L244">
        <x:f>IF(A244="","",IF(COUNTIFS($A$5:$A$2004,A244,$C$5:$C$2004,C244)&gt;1,1,0))</x:f>
      </x:c>
    </x:row>
    <x:row r="245">
      <x:c r="A245" s="8" t="n"/>
      <x:c r="B245" s="8" t="n"/>
      <x:c r="C245" s="8" t="n"/>
      <x:c r="D245" s="8" t="n"/>
      <x:c r="E245" s="8" t="n"/>
      <x:c r="F245" s="8" t="n"/>
      <x:c r="G245" s="7">
        <x:f>IF(A245="","",IF(01_Parametres!$B$11="Oui",IF((01_Parametres!$B$4*(D245&gt;0)+01_Parametres!$B$5*(E245&gt;0)+01_Parametres!$B$6*(F245&gt;0))=0,"",(01_Parametres!$B$4*IF(D245&gt;0,D245,0)+01_Parametres!$B$5*IF(E245&gt;0,E245,0)+01_Parametres!$B$6*IF(F245&gt;0,F245,0))/(01_Parametres!$B$4*(D245&gt;0)+01_Parametres!$B$5*(E245&gt;0)+01_Parametres!$B$6*(F245&gt;0))),IF(01_Parametres!$B$8=0,"",(01_Parametres!$B$4*D245+01_Parametres!$B$5*E245+01_Parametres!$B$6*F245)/01_Parametres!$B$8)))</x:f>
      </x:c>
      <x:c r="H245">
        <x:f>IFERROR(VLOOKUP(C245,02_Referentiels!$A$20:$D$99,3,FALSE),"")</x:f>
      </x:c>
      <x:c r="I245">
        <x:f>IFERROR(VLOOKUP(B245,02_Referentiels!$A$5:$C$16,2,FALSE),"")</x:f>
      </x:c>
      <x:c r="J245">
        <x:f>IF(A245="","",IF(OR(D245="",E245="",F245=""),1,IF(OR(D245&lt;0,D245&gt;3,E245&lt;0,E245&gt;3,F245&lt;0,F245&gt;3),1,0)))</x:f>
      </x:c>
      <x:c r="K245">
        <x:f>IF(A245="","",IF(G245="",1,0))</x:f>
      </x:c>
      <x:c r="L245">
        <x:f>IF(A245="","",IF(COUNTIFS($A$5:$A$2004,A245,$C$5:$C$2004,C245)&gt;1,1,0))</x:f>
      </x:c>
    </x:row>
    <x:row r="246">
      <x:c r="A246" s="8" t="n"/>
      <x:c r="B246" s="8" t="n"/>
      <x:c r="C246" s="8" t="n"/>
      <x:c r="D246" s="8" t="n"/>
      <x:c r="E246" s="8" t="n"/>
      <x:c r="F246" s="8" t="n"/>
      <x:c r="G246" s="7">
        <x:f>IF(A246="","",IF(01_Parametres!$B$11="Oui",IF((01_Parametres!$B$4*(D246&gt;0)+01_Parametres!$B$5*(E246&gt;0)+01_Parametres!$B$6*(F246&gt;0))=0,"",(01_Parametres!$B$4*IF(D246&gt;0,D246,0)+01_Parametres!$B$5*IF(E246&gt;0,E246,0)+01_Parametres!$B$6*IF(F246&gt;0,F246,0))/(01_Parametres!$B$4*(D246&gt;0)+01_Parametres!$B$5*(E246&gt;0)+01_Parametres!$B$6*(F246&gt;0))),IF(01_Parametres!$B$8=0,"",(01_Parametres!$B$4*D246+01_Parametres!$B$5*E246+01_Parametres!$B$6*F246)/01_Parametres!$B$8)))</x:f>
      </x:c>
      <x:c r="H246">
        <x:f>IFERROR(VLOOKUP(C246,02_Referentiels!$A$20:$D$99,3,FALSE),"")</x:f>
      </x:c>
      <x:c r="I246">
        <x:f>IFERROR(VLOOKUP(B246,02_Referentiels!$A$5:$C$16,2,FALSE),"")</x:f>
      </x:c>
      <x:c r="J246">
        <x:f>IF(A246="","",IF(OR(D246="",E246="",F246=""),1,IF(OR(D246&lt;0,D246&gt;3,E246&lt;0,E246&gt;3,F246&lt;0,F246&gt;3),1,0)))</x:f>
      </x:c>
      <x:c r="K246">
        <x:f>IF(A246="","",IF(G246="",1,0))</x:f>
      </x:c>
      <x:c r="L246">
        <x:f>IF(A246="","",IF(COUNTIFS($A$5:$A$2004,A246,$C$5:$C$2004,C246)&gt;1,1,0))</x:f>
      </x:c>
    </x:row>
    <x:row r="247">
      <x:c r="A247" s="8" t="n"/>
      <x:c r="B247" s="8" t="n"/>
      <x:c r="C247" s="8" t="n"/>
      <x:c r="D247" s="8" t="n"/>
      <x:c r="E247" s="8" t="n"/>
      <x:c r="F247" s="8" t="n"/>
      <x:c r="G247" s="7">
        <x:f>IF(A247="","",IF(01_Parametres!$B$11="Oui",IF((01_Parametres!$B$4*(D247&gt;0)+01_Parametres!$B$5*(E247&gt;0)+01_Parametres!$B$6*(F247&gt;0))=0,"",(01_Parametres!$B$4*IF(D247&gt;0,D247,0)+01_Parametres!$B$5*IF(E247&gt;0,E247,0)+01_Parametres!$B$6*IF(F247&gt;0,F247,0))/(01_Parametres!$B$4*(D247&gt;0)+01_Parametres!$B$5*(E247&gt;0)+01_Parametres!$B$6*(F247&gt;0))),IF(01_Parametres!$B$8=0,"",(01_Parametres!$B$4*D247+01_Parametres!$B$5*E247+01_Parametres!$B$6*F247)/01_Parametres!$B$8)))</x:f>
      </x:c>
      <x:c r="H247">
        <x:f>IFERROR(VLOOKUP(C247,02_Referentiels!$A$20:$D$99,3,FALSE),"")</x:f>
      </x:c>
      <x:c r="I247">
        <x:f>IFERROR(VLOOKUP(B247,02_Referentiels!$A$5:$C$16,2,FALSE),"")</x:f>
      </x:c>
      <x:c r="J247">
        <x:f>IF(A247="","",IF(OR(D247="",E247="",F247=""),1,IF(OR(D247&lt;0,D247&gt;3,E247&lt;0,E247&gt;3,F247&lt;0,F247&gt;3),1,0)))</x:f>
      </x:c>
      <x:c r="K247">
        <x:f>IF(A247="","",IF(G247="",1,0))</x:f>
      </x:c>
      <x:c r="L247">
        <x:f>IF(A247="","",IF(COUNTIFS($A$5:$A$2004,A247,$C$5:$C$2004,C247)&gt;1,1,0))</x:f>
      </x:c>
    </x:row>
    <x:row r="248">
      <x:c r="A248" s="8" t="n"/>
      <x:c r="B248" s="8" t="n"/>
      <x:c r="C248" s="8" t="n"/>
      <x:c r="D248" s="8" t="n"/>
      <x:c r="E248" s="8" t="n"/>
      <x:c r="F248" s="8" t="n"/>
      <x:c r="G248" s="7">
        <x:f>IF(A248="","",IF(01_Parametres!$B$11="Oui",IF((01_Parametres!$B$4*(D248&gt;0)+01_Parametres!$B$5*(E248&gt;0)+01_Parametres!$B$6*(F248&gt;0))=0,"",(01_Parametres!$B$4*IF(D248&gt;0,D248,0)+01_Parametres!$B$5*IF(E248&gt;0,E248,0)+01_Parametres!$B$6*IF(F248&gt;0,F248,0))/(01_Parametres!$B$4*(D248&gt;0)+01_Parametres!$B$5*(E248&gt;0)+01_Parametres!$B$6*(F248&gt;0))),IF(01_Parametres!$B$8=0,"",(01_Parametres!$B$4*D248+01_Parametres!$B$5*E248+01_Parametres!$B$6*F248)/01_Parametres!$B$8)))</x:f>
      </x:c>
      <x:c r="H248">
        <x:f>IFERROR(VLOOKUP(C248,02_Referentiels!$A$20:$D$99,3,FALSE),"")</x:f>
      </x:c>
      <x:c r="I248">
        <x:f>IFERROR(VLOOKUP(B248,02_Referentiels!$A$5:$C$16,2,FALSE),"")</x:f>
      </x:c>
      <x:c r="J248">
        <x:f>IF(A248="","",IF(OR(D248="",E248="",F248=""),1,IF(OR(D248&lt;0,D248&gt;3,E248&lt;0,E248&gt;3,F248&lt;0,F248&gt;3),1,0)))</x:f>
      </x:c>
      <x:c r="K248">
        <x:f>IF(A248="","",IF(G248="",1,0))</x:f>
      </x:c>
      <x:c r="L248">
        <x:f>IF(A248="","",IF(COUNTIFS($A$5:$A$2004,A248,$C$5:$C$2004,C248)&gt;1,1,0))</x:f>
      </x:c>
    </x:row>
    <x:row r="249">
      <x:c r="A249" s="8" t="n"/>
      <x:c r="B249" s="8" t="n"/>
      <x:c r="C249" s="8" t="n"/>
      <x:c r="D249" s="8" t="n"/>
      <x:c r="E249" s="8" t="n"/>
      <x:c r="F249" s="8" t="n"/>
      <x:c r="G249" s="7">
        <x:f>IF(A249="","",IF(01_Parametres!$B$11="Oui",IF((01_Parametres!$B$4*(D249&gt;0)+01_Parametres!$B$5*(E249&gt;0)+01_Parametres!$B$6*(F249&gt;0))=0,"",(01_Parametres!$B$4*IF(D249&gt;0,D249,0)+01_Parametres!$B$5*IF(E249&gt;0,E249,0)+01_Parametres!$B$6*IF(F249&gt;0,F249,0))/(01_Parametres!$B$4*(D249&gt;0)+01_Parametres!$B$5*(E249&gt;0)+01_Parametres!$B$6*(F249&gt;0))),IF(01_Parametres!$B$8=0,"",(01_Parametres!$B$4*D249+01_Parametres!$B$5*E249+01_Parametres!$B$6*F249)/01_Parametres!$B$8)))</x:f>
      </x:c>
      <x:c r="H249">
        <x:f>IFERROR(VLOOKUP(C249,02_Referentiels!$A$20:$D$99,3,FALSE),"")</x:f>
      </x:c>
      <x:c r="I249">
        <x:f>IFERROR(VLOOKUP(B249,02_Referentiels!$A$5:$C$16,2,FALSE),"")</x:f>
      </x:c>
      <x:c r="J249">
        <x:f>IF(A249="","",IF(OR(D249="",E249="",F249=""),1,IF(OR(D249&lt;0,D249&gt;3,E249&lt;0,E249&gt;3,F249&lt;0,F249&gt;3),1,0)))</x:f>
      </x:c>
      <x:c r="K249">
        <x:f>IF(A249="","",IF(G249="",1,0))</x:f>
      </x:c>
      <x:c r="L249">
        <x:f>IF(A249="","",IF(COUNTIFS($A$5:$A$2004,A249,$C$5:$C$2004,C249)&gt;1,1,0))</x:f>
      </x:c>
    </x:row>
    <x:row r="250">
      <x:c r="A250" s="8" t="n"/>
      <x:c r="B250" s="8" t="n"/>
      <x:c r="C250" s="8" t="n"/>
      <x:c r="D250" s="8" t="n"/>
      <x:c r="E250" s="8" t="n"/>
      <x:c r="F250" s="8" t="n"/>
      <x:c r="G250" s="7">
        <x:f>IF(A250="","",IF(01_Parametres!$B$11="Oui",IF((01_Parametres!$B$4*(D250&gt;0)+01_Parametres!$B$5*(E250&gt;0)+01_Parametres!$B$6*(F250&gt;0))=0,"",(01_Parametres!$B$4*IF(D250&gt;0,D250,0)+01_Parametres!$B$5*IF(E250&gt;0,E250,0)+01_Parametres!$B$6*IF(F250&gt;0,F250,0))/(01_Parametres!$B$4*(D250&gt;0)+01_Parametres!$B$5*(E250&gt;0)+01_Parametres!$B$6*(F250&gt;0))),IF(01_Parametres!$B$8=0,"",(01_Parametres!$B$4*D250+01_Parametres!$B$5*E250+01_Parametres!$B$6*F250)/01_Parametres!$B$8)))</x:f>
      </x:c>
      <x:c r="H250">
        <x:f>IFERROR(VLOOKUP(C250,02_Referentiels!$A$20:$D$99,3,FALSE),"")</x:f>
      </x:c>
      <x:c r="I250">
        <x:f>IFERROR(VLOOKUP(B250,02_Referentiels!$A$5:$C$16,2,FALSE),"")</x:f>
      </x:c>
      <x:c r="J250">
        <x:f>IF(A250="","",IF(OR(D250="",E250="",F250=""),1,IF(OR(D250&lt;0,D250&gt;3,E250&lt;0,E250&gt;3,F250&lt;0,F250&gt;3),1,0)))</x:f>
      </x:c>
      <x:c r="K250">
        <x:f>IF(A250="","",IF(G250="",1,0))</x:f>
      </x:c>
      <x:c r="L250">
        <x:f>IF(A250="","",IF(COUNTIFS($A$5:$A$2004,A250,$C$5:$C$2004,C250)&gt;1,1,0))</x:f>
      </x:c>
    </x:row>
    <x:row r="251">
      <x:c r="A251" s="8" t="n"/>
      <x:c r="B251" s="8" t="n"/>
      <x:c r="C251" s="8" t="n"/>
      <x:c r="D251" s="8" t="n"/>
      <x:c r="E251" s="8" t="n"/>
      <x:c r="F251" s="8" t="n"/>
      <x:c r="G251" s="7">
        <x:f>IF(A251="","",IF(01_Parametres!$B$11="Oui",IF((01_Parametres!$B$4*(D251&gt;0)+01_Parametres!$B$5*(E251&gt;0)+01_Parametres!$B$6*(F251&gt;0))=0,"",(01_Parametres!$B$4*IF(D251&gt;0,D251,0)+01_Parametres!$B$5*IF(E251&gt;0,E251,0)+01_Parametres!$B$6*IF(F251&gt;0,F251,0))/(01_Parametres!$B$4*(D251&gt;0)+01_Parametres!$B$5*(E251&gt;0)+01_Parametres!$B$6*(F251&gt;0))),IF(01_Parametres!$B$8=0,"",(01_Parametres!$B$4*D251+01_Parametres!$B$5*E251+01_Parametres!$B$6*F251)/01_Parametres!$B$8)))</x:f>
      </x:c>
      <x:c r="H251">
        <x:f>IFERROR(VLOOKUP(C251,02_Referentiels!$A$20:$D$99,3,FALSE),"")</x:f>
      </x:c>
      <x:c r="I251">
        <x:f>IFERROR(VLOOKUP(B251,02_Referentiels!$A$5:$C$16,2,FALSE),"")</x:f>
      </x:c>
      <x:c r="J251">
        <x:f>IF(A251="","",IF(OR(D251="",E251="",F251=""),1,IF(OR(D251&lt;0,D251&gt;3,E251&lt;0,E251&gt;3,F251&lt;0,F251&gt;3),1,0)))</x:f>
      </x:c>
      <x:c r="K251">
        <x:f>IF(A251="","",IF(G251="",1,0))</x:f>
      </x:c>
      <x:c r="L251">
        <x:f>IF(A251="","",IF(COUNTIFS($A$5:$A$2004,A251,$C$5:$C$2004,C251)&gt;1,1,0))</x:f>
      </x:c>
    </x:row>
    <x:row r="252">
      <x:c r="A252" s="8" t="n"/>
      <x:c r="B252" s="8" t="n"/>
      <x:c r="C252" s="8" t="n"/>
      <x:c r="D252" s="8" t="n"/>
      <x:c r="E252" s="8" t="n"/>
      <x:c r="F252" s="8" t="n"/>
      <x:c r="G252" s="7">
        <x:f>IF(A252="","",IF(01_Parametres!$B$11="Oui",IF((01_Parametres!$B$4*(D252&gt;0)+01_Parametres!$B$5*(E252&gt;0)+01_Parametres!$B$6*(F252&gt;0))=0,"",(01_Parametres!$B$4*IF(D252&gt;0,D252,0)+01_Parametres!$B$5*IF(E252&gt;0,E252,0)+01_Parametres!$B$6*IF(F252&gt;0,F252,0))/(01_Parametres!$B$4*(D252&gt;0)+01_Parametres!$B$5*(E252&gt;0)+01_Parametres!$B$6*(F252&gt;0))),IF(01_Parametres!$B$8=0,"",(01_Parametres!$B$4*D252+01_Parametres!$B$5*E252+01_Parametres!$B$6*F252)/01_Parametres!$B$8)))</x:f>
      </x:c>
      <x:c r="H252">
        <x:f>IFERROR(VLOOKUP(C252,02_Referentiels!$A$20:$D$99,3,FALSE),"")</x:f>
      </x:c>
      <x:c r="I252">
        <x:f>IFERROR(VLOOKUP(B252,02_Referentiels!$A$5:$C$16,2,FALSE),"")</x:f>
      </x:c>
      <x:c r="J252">
        <x:f>IF(A252="","",IF(OR(D252="",E252="",F252=""),1,IF(OR(D252&lt;0,D252&gt;3,E252&lt;0,E252&gt;3,F252&lt;0,F252&gt;3),1,0)))</x:f>
      </x:c>
      <x:c r="K252">
        <x:f>IF(A252="","",IF(G252="",1,0))</x:f>
      </x:c>
      <x:c r="L252">
        <x:f>IF(A252="","",IF(COUNTIFS($A$5:$A$2004,A252,$C$5:$C$2004,C252)&gt;1,1,0))</x:f>
      </x:c>
    </x:row>
    <x:row r="253">
      <x:c r="A253" s="8" t="n"/>
      <x:c r="B253" s="8" t="n"/>
      <x:c r="C253" s="8" t="n"/>
      <x:c r="D253" s="8" t="n"/>
      <x:c r="E253" s="8" t="n"/>
      <x:c r="F253" s="8" t="n"/>
      <x:c r="G253" s="7">
        <x:f>IF(A253="","",IF(01_Parametres!$B$11="Oui",IF((01_Parametres!$B$4*(D253&gt;0)+01_Parametres!$B$5*(E253&gt;0)+01_Parametres!$B$6*(F253&gt;0))=0,"",(01_Parametres!$B$4*IF(D253&gt;0,D253,0)+01_Parametres!$B$5*IF(E253&gt;0,E253,0)+01_Parametres!$B$6*IF(F253&gt;0,F253,0))/(01_Parametres!$B$4*(D253&gt;0)+01_Parametres!$B$5*(E253&gt;0)+01_Parametres!$B$6*(F253&gt;0))),IF(01_Parametres!$B$8=0,"",(01_Parametres!$B$4*D253+01_Parametres!$B$5*E253+01_Parametres!$B$6*F253)/01_Parametres!$B$8)))</x:f>
      </x:c>
      <x:c r="H253">
        <x:f>IFERROR(VLOOKUP(C253,02_Referentiels!$A$20:$D$99,3,FALSE),"")</x:f>
      </x:c>
      <x:c r="I253">
        <x:f>IFERROR(VLOOKUP(B253,02_Referentiels!$A$5:$C$16,2,FALSE),"")</x:f>
      </x:c>
      <x:c r="J253">
        <x:f>IF(A253="","",IF(OR(D253="",E253="",F253=""),1,IF(OR(D253&lt;0,D253&gt;3,E253&lt;0,E253&gt;3,F253&lt;0,F253&gt;3),1,0)))</x:f>
      </x:c>
      <x:c r="K253">
        <x:f>IF(A253="","",IF(G253="",1,0))</x:f>
      </x:c>
      <x:c r="L253">
        <x:f>IF(A253="","",IF(COUNTIFS($A$5:$A$2004,A253,$C$5:$C$2004,C253)&gt;1,1,0))</x:f>
      </x:c>
    </x:row>
    <x:row r="254">
      <x:c r="A254" s="8" t="n"/>
      <x:c r="B254" s="8" t="n"/>
      <x:c r="C254" s="8" t="n"/>
      <x:c r="D254" s="8" t="n"/>
      <x:c r="E254" s="8" t="n"/>
      <x:c r="F254" s="8" t="n"/>
      <x:c r="G254" s="7">
        <x:f>IF(A254="","",IF(01_Parametres!$B$11="Oui",IF((01_Parametres!$B$4*(D254&gt;0)+01_Parametres!$B$5*(E254&gt;0)+01_Parametres!$B$6*(F254&gt;0))=0,"",(01_Parametres!$B$4*IF(D254&gt;0,D254,0)+01_Parametres!$B$5*IF(E254&gt;0,E254,0)+01_Parametres!$B$6*IF(F254&gt;0,F254,0))/(01_Parametres!$B$4*(D254&gt;0)+01_Parametres!$B$5*(E254&gt;0)+01_Parametres!$B$6*(F254&gt;0))),IF(01_Parametres!$B$8=0,"",(01_Parametres!$B$4*D254+01_Parametres!$B$5*E254+01_Parametres!$B$6*F254)/01_Parametres!$B$8)))</x:f>
      </x:c>
      <x:c r="H254">
        <x:f>IFERROR(VLOOKUP(C254,02_Referentiels!$A$20:$D$99,3,FALSE),"")</x:f>
      </x:c>
      <x:c r="I254">
        <x:f>IFERROR(VLOOKUP(B254,02_Referentiels!$A$5:$C$16,2,FALSE),"")</x:f>
      </x:c>
      <x:c r="J254">
        <x:f>IF(A254="","",IF(OR(D254="",E254="",F254=""),1,IF(OR(D254&lt;0,D254&gt;3,E254&lt;0,E254&gt;3,F254&lt;0,F254&gt;3),1,0)))</x:f>
      </x:c>
      <x:c r="K254">
        <x:f>IF(A254="","",IF(G254="",1,0))</x:f>
      </x:c>
      <x:c r="L254">
        <x:f>IF(A254="","",IF(COUNTIFS($A$5:$A$2004,A254,$C$5:$C$2004,C254)&gt;1,1,0))</x:f>
      </x:c>
    </x:row>
    <x:row r="255">
      <x:c r="A255" s="8" t="n"/>
      <x:c r="B255" s="8" t="n"/>
      <x:c r="C255" s="8" t="n"/>
      <x:c r="D255" s="8" t="n"/>
      <x:c r="E255" s="8" t="n"/>
      <x:c r="F255" s="8" t="n"/>
      <x:c r="G255" s="7">
        <x:f>IF(A255="","",IF(01_Parametres!$B$11="Oui",IF((01_Parametres!$B$4*(D255&gt;0)+01_Parametres!$B$5*(E255&gt;0)+01_Parametres!$B$6*(F255&gt;0))=0,"",(01_Parametres!$B$4*IF(D255&gt;0,D255,0)+01_Parametres!$B$5*IF(E255&gt;0,E255,0)+01_Parametres!$B$6*IF(F255&gt;0,F255,0))/(01_Parametres!$B$4*(D255&gt;0)+01_Parametres!$B$5*(E255&gt;0)+01_Parametres!$B$6*(F255&gt;0))),IF(01_Parametres!$B$8=0,"",(01_Parametres!$B$4*D255+01_Parametres!$B$5*E255+01_Parametres!$B$6*F255)/01_Parametres!$B$8)))</x:f>
      </x:c>
      <x:c r="H255">
        <x:f>IFERROR(VLOOKUP(C255,02_Referentiels!$A$20:$D$99,3,FALSE),"")</x:f>
      </x:c>
      <x:c r="I255">
        <x:f>IFERROR(VLOOKUP(B255,02_Referentiels!$A$5:$C$16,2,FALSE),"")</x:f>
      </x:c>
      <x:c r="J255">
        <x:f>IF(A255="","",IF(OR(D255="",E255="",F255=""),1,IF(OR(D255&lt;0,D255&gt;3,E255&lt;0,E255&gt;3,F255&lt;0,F255&gt;3),1,0)))</x:f>
      </x:c>
      <x:c r="K255">
        <x:f>IF(A255="","",IF(G255="",1,0))</x:f>
      </x:c>
      <x:c r="L255">
        <x:f>IF(A255="","",IF(COUNTIFS($A$5:$A$2004,A255,$C$5:$C$2004,C255)&gt;1,1,0))</x:f>
      </x:c>
    </x:row>
    <x:row r="256">
      <x:c r="A256" s="8" t="n"/>
      <x:c r="B256" s="8" t="n"/>
      <x:c r="C256" s="8" t="n"/>
      <x:c r="D256" s="8" t="n"/>
      <x:c r="E256" s="8" t="n"/>
      <x:c r="F256" s="8" t="n"/>
      <x:c r="G256" s="7">
        <x:f>IF(A256="","",IF(01_Parametres!$B$11="Oui",IF((01_Parametres!$B$4*(D256&gt;0)+01_Parametres!$B$5*(E256&gt;0)+01_Parametres!$B$6*(F256&gt;0))=0,"",(01_Parametres!$B$4*IF(D256&gt;0,D256,0)+01_Parametres!$B$5*IF(E256&gt;0,E256,0)+01_Parametres!$B$6*IF(F256&gt;0,F256,0))/(01_Parametres!$B$4*(D256&gt;0)+01_Parametres!$B$5*(E256&gt;0)+01_Parametres!$B$6*(F256&gt;0))),IF(01_Parametres!$B$8=0,"",(01_Parametres!$B$4*D256+01_Parametres!$B$5*E256+01_Parametres!$B$6*F256)/01_Parametres!$B$8)))</x:f>
      </x:c>
      <x:c r="H256">
        <x:f>IFERROR(VLOOKUP(C256,02_Referentiels!$A$20:$D$99,3,FALSE),"")</x:f>
      </x:c>
      <x:c r="I256">
        <x:f>IFERROR(VLOOKUP(B256,02_Referentiels!$A$5:$C$16,2,FALSE),"")</x:f>
      </x:c>
      <x:c r="J256">
        <x:f>IF(A256="","",IF(OR(D256="",E256="",F256=""),1,IF(OR(D256&lt;0,D256&gt;3,E256&lt;0,E256&gt;3,F256&lt;0,F256&gt;3),1,0)))</x:f>
      </x:c>
      <x:c r="K256">
        <x:f>IF(A256="","",IF(G256="",1,0))</x:f>
      </x:c>
      <x:c r="L256">
        <x:f>IF(A256="","",IF(COUNTIFS($A$5:$A$2004,A256,$C$5:$C$2004,C256)&gt;1,1,0))</x:f>
      </x:c>
    </x:row>
    <x:row r="257">
      <x:c r="A257" s="8" t="n"/>
      <x:c r="B257" s="8" t="n"/>
      <x:c r="C257" s="8" t="n"/>
      <x:c r="D257" s="8" t="n"/>
      <x:c r="E257" s="8" t="n"/>
      <x:c r="F257" s="8" t="n"/>
      <x:c r="G257" s="7">
        <x:f>IF(A257="","",IF(01_Parametres!$B$11="Oui",IF((01_Parametres!$B$4*(D257&gt;0)+01_Parametres!$B$5*(E257&gt;0)+01_Parametres!$B$6*(F257&gt;0))=0,"",(01_Parametres!$B$4*IF(D257&gt;0,D257,0)+01_Parametres!$B$5*IF(E257&gt;0,E257,0)+01_Parametres!$B$6*IF(F257&gt;0,F257,0))/(01_Parametres!$B$4*(D257&gt;0)+01_Parametres!$B$5*(E257&gt;0)+01_Parametres!$B$6*(F257&gt;0))),IF(01_Parametres!$B$8=0,"",(01_Parametres!$B$4*D257+01_Parametres!$B$5*E257+01_Parametres!$B$6*F257)/01_Parametres!$B$8)))</x:f>
      </x:c>
      <x:c r="H257">
        <x:f>IFERROR(VLOOKUP(C257,02_Referentiels!$A$20:$D$99,3,FALSE),"")</x:f>
      </x:c>
      <x:c r="I257">
        <x:f>IFERROR(VLOOKUP(B257,02_Referentiels!$A$5:$C$16,2,FALSE),"")</x:f>
      </x:c>
      <x:c r="J257">
        <x:f>IF(A257="","",IF(OR(D257="",E257="",F257=""),1,IF(OR(D257&lt;0,D257&gt;3,E257&lt;0,E257&gt;3,F257&lt;0,F257&gt;3),1,0)))</x:f>
      </x:c>
      <x:c r="K257">
        <x:f>IF(A257="","",IF(G257="",1,0))</x:f>
      </x:c>
      <x:c r="L257">
        <x:f>IF(A257="","",IF(COUNTIFS($A$5:$A$2004,A257,$C$5:$C$2004,C257)&gt;1,1,0))</x:f>
      </x:c>
    </x:row>
    <x:row r="258">
      <x:c r="A258" s="8" t="n"/>
      <x:c r="B258" s="8" t="n"/>
      <x:c r="C258" s="8" t="n"/>
      <x:c r="D258" s="8" t="n"/>
      <x:c r="E258" s="8" t="n"/>
      <x:c r="F258" s="8" t="n"/>
      <x:c r="G258" s="7">
        <x:f>IF(A258="","",IF(01_Parametres!$B$11="Oui",IF((01_Parametres!$B$4*(D258&gt;0)+01_Parametres!$B$5*(E258&gt;0)+01_Parametres!$B$6*(F258&gt;0))=0,"",(01_Parametres!$B$4*IF(D258&gt;0,D258,0)+01_Parametres!$B$5*IF(E258&gt;0,E258,0)+01_Parametres!$B$6*IF(F258&gt;0,F258,0))/(01_Parametres!$B$4*(D258&gt;0)+01_Parametres!$B$5*(E258&gt;0)+01_Parametres!$B$6*(F258&gt;0))),IF(01_Parametres!$B$8=0,"",(01_Parametres!$B$4*D258+01_Parametres!$B$5*E258+01_Parametres!$B$6*F258)/01_Parametres!$B$8)))</x:f>
      </x:c>
      <x:c r="H258">
        <x:f>IFERROR(VLOOKUP(C258,02_Referentiels!$A$20:$D$99,3,FALSE),"")</x:f>
      </x:c>
      <x:c r="I258">
        <x:f>IFERROR(VLOOKUP(B258,02_Referentiels!$A$5:$C$16,2,FALSE),"")</x:f>
      </x:c>
      <x:c r="J258">
        <x:f>IF(A258="","",IF(OR(D258="",E258="",F258=""),1,IF(OR(D258&lt;0,D258&gt;3,E258&lt;0,E258&gt;3,F258&lt;0,F258&gt;3),1,0)))</x:f>
      </x:c>
      <x:c r="K258">
        <x:f>IF(A258="","",IF(G258="",1,0))</x:f>
      </x:c>
      <x:c r="L258">
        <x:f>IF(A258="","",IF(COUNTIFS($A$5:$A$2004,A258,$C$5:$C$2004,C258)&gt;1,1,0))</x:f>
      </x:c>
    </x:row>
    <x:row r="259">
      <x:c r="A259" s="8" t="n"/>
      <x:c r="B259" s="8" t="n"/>
      <x:c r="C259" s="8" t="n"/>
      <x:c r="D259" s="8" t="n"/>
      <x:c r="E259" s="8" t="n"/>
      <x:c r="F259" s="8" t="n"/>
      <x:c r="G259" s="7">
        <x:f>IF(A259="","",IF(01_Parametres!$B$11="Oui",IF((01_Parametres!$B$4*(D259&gt;0)+01_Parametres!$B$5*(E259&gt;0)+01_Parametres!$B$6*(F259&gt;0))=0,"",(01_Parametres!$B$4*IF(D259&gt;0,D259,0)+01_Parametres!$B$5*IF(E259&gt;0,E259,0)+01_Parametres!$B$6*IF(F259&gt;0,F259,0))/(01_Parametres!$B$4*(D259&gt;0)+01_Parametres!$B$5*(E259&gt;0)+01_Parametres!$B$6*(F259&gt;0))),IF(01_Parametres!$B$8=0,"",(01_Parametres!$B$4*D259+01_Parametres!$B$5*E259+01_Parametres!$B$6*F259)/01_Parametres!$B$8)))</x:f>
      </x:c>
      <x:c r="H259">
        <x:f>IFERROR(VLOOKUP(C259,02_Referentiels!$A$20:$D$99,3,FALSE),"")</x:f>
      </x:c>
      <x:c r="I259">
        <x:f>IFERROR(VLOOKUP(B259,02_Referentiels!$A$5:$C$16,2,FALSE),"")</x:f>
      </x:c>
      <x:c r="J259">
        <x:f>IF(A259="","",IF(OR(D259="",E259="",F259=""),1,IF(OR(D259&lt;0,D259&gt;3,E259&lt;0,E259&gt;3,F259&lt;0,F259&gt;3),1,0)))</x:f>
      </x:c>
      <x:c r="K259">
        <x:f>IF(A259="","",IF(G259="",1,0))</x:f>
      </x:c>
      <x:c r="L259">
        <x:f>IF(A259="","",IF(COUNTIFS($A$5:$A$2004,A259,$C$5:$C$2004,C259)&gt;1,1,0))</x:f>
      </x:c>
    </x:row>
    <x:row r="260">
      <x:c r="A260" s="8" t="n"/>
      <x:c r="B260" s="8" t="n"/>
      <x:c r="C260" s="8" t="n"/>
      <x:c r="D260" s="8" t="n"/>
      <x:c r="E260" s="8" t="n"/>
      <x:c r="F260" s="8" t="n"/>
      <x:c r="G260" s="7">
        <x:f>IF(A260="","",IF(01_Parametres!$B$11="Oui",IF((01_Parametres!$B$4*(D260&gt;0)+01_Parametres!$B$5*(E260&gt;0)+01_Parametres!$B$6*(F260&gt;0))=0,"",(01_Parametres!$B$4*IF(D260&gt;0,D260,0)+01_Parametres!$B$5*IF(E260&gt;0,E260,0)+01_Parametres!$B$6*IF(F260&gt;0,F260,0))/(01_Parametres!$B$4*(D260&gt;0)+01_Parametres!$B$5*(E260&gt;0)+01_Parametres!$B$6*(F260&gt;0))),IF(01_Parametres!$B$8=0,"",(01_Parametres!$B$4*D260+01_Parametres!$B$5*E260+01_Parametres!$B$6*F260)/01_Parametres!$B$8)))</x:f>
      </x:c>
      <x:c r="H260">
        <x:f>IFERROR(VLOOKUP(C260,02_Referentiels!$A$20:$D$99,3,FALSE),"")</x:f>
      </x:c>
      <x:c r="I260">
        <x:f>IFERROR(VLOOKUP(B260,02_Referentiels!$A$5:$C$16,2,FALSE),"")</x:f>
      </x:c>
      <x:c r="J260">
        <x:f>IF(A260="","",IF(OR(D260="",E260="",F260=""),1,IF(OR(D260&lt;0,D260&gt;3,E260&lt;0,E260&gt;3,F260&lt;0,F260&gt;3),1,0)))</x:f>
      </x:c>
      <x:c r="K260">
        <x:f>IF(A260="","",IF(G260="",1,0))</x:f>
      </x:c>
      <x:c r="L260">
        <x:f>IF(A260="","",IF(COUNTIFS($A$5:$A$2004,A260,$C$5:$C$2004,C260)&gt;1,1,0))</x:f>
      </x:c>
    </x:row>
    <x:row r="261">
      <x:c r="A261" s="8" t="n"/>
      <x:c r="B261" s="8" t="n"/>
      <x:c r="C261" s="8" t="n"/>
      <x:c r="D261" s="8" t="n"/>
      <x:c r="E261" s="8" t="n"/>
      <x:c r="F261" s="8" t="n"/>
      <x:c r="G261" s="7">
        <x:f>IF(A261="","",IF(01_Parametres!$B$11="Oui",IF((01_Parametres!$B$4*(D261&gt;0)+01_Parametres!$B$5*(E261&gt;0)+01_Parametres!$B$6*(F261&gt;0))=0,"",(01_Parametres!$B$4*IF(D261&gt;0,D261,0)+01_Parametres!$B$5*IF(E261&gt;0,E261,0)+01_Parametres!$B$6*IF(F261&gt;0,F261,0))/(01_Parametres!$B$4*(D261&gt;0)+01_Parametres!$B$5*(E261&gt;0)+01_Parametres!$B$6*(F261&gt;0))),IF(01_Parametres!$B$8=0,"",(01_Parametres!$B$4*D261+01_Parametres!$B$5*E261+01_Parametres!$B$6*F261)/01_Parametres!$B$8)))</x:f>
      </x:c>
      <x:c r="H261">
        <x:f>IFERROR(VLOOKUP(C261,02_Referentiels!$A$20:$D$99,3,FALSE),"")</x:f>
      </x:c>
      <x:c r="I261">
        <x:f>IFERROR(VLOOKUP(B261,02_Referentiels!$A$5:$C$16,2,FALSE),"")</x:f>
      </x:c>
      <x:c r="J261">
        <x:f>IF(A261="","",IF(OR(D261="",E261="",F261=""),1,IF(OR(D261&lt;0,D261&gt;3,E261&lt;0,E261&gt;3,F261&lt;0,F261&gt;3),1,0)))</x:f>
      </x:c>
      <x:c r="K261">
        <x:f>IF(A261="","",IF(G261="",1,0))</x:f>
      </x:c>
      <x:c r="L261">
        <x:f>IF(A261="","",IF(COUNTIFS($A$5:$A$2004,A261,$C$5:$C$2004,C261)&gt;1,1,0))</x:f>
      </x:c>
    </x:row>
    <x:row r="262">
      <x:c r="A262" s="8" t="n"/>
      <x:c r="B262" s="8" t="n"/>
      <x:c r="C262" s="8" t="n"/>
      <x:c r="D262" s="8" t="n"/>
      <x:c r="E262" s="8" t="n"/>
      <x:c r="F262" s="8" t="n"/>
      <x:c r="G262" s="7">
        <x:f>IF(A262="","",IF(01_Parametres!$B$11="Oui",IF((01_Parametres!$B$4*(D262&gt;0)+01_Parametres!$B$5*(E262&gt;0)+01_Parametres!$B$6*(F262&gt;0))=0,"",(01_Parametres!$B$4*IF(D262&gt;0,D262,0)+01_Parametres!$B$5*IF(E262&gt;0,E262,0)+01_Parametres!$B$6*IF(F262&gt;0,F262,0))/(01_Parametres!$B$4*(D262&gt;0)+01_Parametres!$B$5*(E262&gt;0)+01_Parametres!$B$6*(F262&gt;0))),IF(01_Parametres!$B$8=0,"",(01_Parametres!$B$4*D262+01_Parametres!$B$5*E262+01_Parametres!$B$6*F262)/01_Parametres!$B$8)))</x:f>
      </x:c>
      <x:c r="H262">
        <x:f>IFERROR(VLOOKUP(C262,02_Referentiels!$A$20:$D$99,3,FALSE),"")</x:f>
      </x:c>
      <x:c r="I262">
        <x:f>IFERROR(VLOOKUP(B262,02_Referentiels!$A$5:$C$16,2,FALSE),"")</x:f>
      </x:c>
      <x:c r="J262">
        <x:f>IF(A262="","",IF(OR(D262="",E262="",F262=""),1,IF(OR(D262&lt;0,D262&gt;3,E262&lt;0,E262&gt;3,F262&lt;0,F262&gt;3),1,0)))</x:f>
      </x:c>
      <x:c r="K262">
        <x:f>IF(A262="","",IF(G262="",1,0))</x:f>
      </x:c>
      <x:c r="L262">
        <x:f>IF(A262="","",IF(COUNTIFS($A$5:$A$2004,A262,$C$5:$C$2004,C262)&gt;1,1,0))</x:f>
      </x:c>
    </x:row>
    <x:row r="263">
      <x:c r="A263" s="8" t="n"/>
      <x:c r="B263" s="8" t="n"/>
      <x:c r="C263" s="8" t="n"/>
      <x:c r="D263" s="8" t="n"/>
      <x:c r="E263" s="8" t="n"/>
      <x:c r="F263" s="8" t="n"/>
      <x:c r="G263" s="7">
        <x:f>IF(A263="","",IF(01_Parametres!$B$11="Oui",IF((01_Parametres!$B$4*(D263&gt;0)+01_Parametres!$B$5*(E263&gt;0)+01_Parametres!$B$6*(F263&gt;0))=0,"",(01_Parametres!$B$4*IF(D263&gt;0,D263,0)+01_Parametres!$B$5*IF(E263&gt;0,E263,0)+01_Parametres!$B$6*IF(F263&gt;0,F263,0))/(01_Parametres!$B$4*(D263&gt;0)+01_Parametres!$B$5*(E263&gt;0)+01_Parametres!$B$6*(F263&gt;0))),IF(01_Parametres!$B$8=0,"",(01_Parametres!$B$4*D263+01_Parametres!$B$5*E263+01_Parametres!$B$6*F263)/01_Parametres!$B$8)))</x:f>
      </x:c>
      <x:c r="H263">
        <x:f>IFERROR(VLOOKUP(C263,02_Referentiels!$A$20:$D$99,3,FALSE),"")</x:f>
      </x:c>
      <x:c r="I263">
        <x:f>IFERROR(VLOOKUP(B263,02_Referentiels!$A$5:$C$16,2,FALSE),"")</x:f>
      </x:c>
      <x:c r="J263">
        <x:f>IF(A263="","",IF(OR(D263="",E263="",F263=""),1,IF(OR(D263&lt;0,D263&gt;3,E263&lt;0,E263&gt;3,F263&lt;0,F263&gt;3),1,0)))</x:f>
      </x:c>
      <x:c r="K263">
        <x:f>IF(A263="","",IF(G263="",1,0))</x:f>
      </x:c>
      <x:c r="L263">
        <x:f>IF(A263="","",IF(COUNTIFS($A$5:$A$2004,A263,$C$5:$C$2004,C263)&gt;1,1,0))</x:f>
      </x:c>
    </x:row>
    <x:row r="264">
      <x:c r="A264" s="8" t="n"/>
      <x:c r="B264" s="8" t="n"/>
      <x:c r="C264" s="8" t="n"/>
      <x:c r="D264" s="8" t="n"/>
      <x:c r="E264" s="8" t="n"/>
      <x:c r="F264" s="8" t="n"/>
      <x:c r="G264" s="7">
        <x:f>IF(A264="","",IF(01_Parametres!$B$11="Oui",IF((01_Parametres!$B$4*(D264&gt;0)+01_Parametres!$B$5*(E264&gt;0)+01_Parametres!$B$6*(F264&gt;0))=0,"",(01_Parametres!$B$4*IF(D264&gt;0,D264,0)+01_Parametres!$B$5*IF(E264&gt;0,E264,0)+01_Parametres!$B$6*IF(F264&gt;0,F264,0))/(01_Parametres!$B$4*(D264&gt;0)+01_Parametres!$B$5*(E264&gt;0)+01_Parametres!$B$6*(F264&gt;0))),IF(01_Parametres!$B$8=0,"",(01_Parametres!$B$4*D264+01_Parametres!$B$5*E264+01_Parametres!$B$6*F264)/01_Parametres!$B$8)))</x:f>
      </x:c>
      <x:c r="H264">
        <x:f>IFERROR(VLOOKUP(C264,02_Referentiels!$A$20:$D$99,3,FALSE),"")</x:f>
      </x:c>
      <x:c r="I264">
        <x:f>IFERROR(VLOOKUP(B264,02_Referentiels!$A$5:$C$16,2,FALSE),"")</x:f>
      </x:c>
      <x:c r="J264">
        <x:f>IF(A264="","",IF(OR(D264="",E264="",F264=""),1,IF(OR(D264&lt;0,D264&gt;3,E264&lt;0,E264&gt;3,F264&lt;0,F264&gt;3),1,0)))</x:f>
      </x:c>
      <x:c r="K264">
        <x:f>IF(A264="","",IF(G264="",1,0))</x:f>
      </x:c>
      <x:c r="L264">
        <x:f>IF(A264="","",IF(COUNTIFS($A$5:$A$2004,A264,$C$5:$C$2004,C264)&gt;1,1,0))</x:f>
      </x:c>
    </x:row>
    <x:row r="265">
      <x:c r="A265" s="8" t="n"/>
      <x:c r="B265" s="8" t="n"/>
      <x:c r="C265" s="8" t="n"/>
      <x:c r="D265" s="8" t="n"/>
      <x:c r="E265" s="8" t="n"/>
      <x:c r="F265" s="8" t="n"/>
      <x:c r="G265" s="7">
        <x:f>IF(A265="","",IF(01_Parametres!$B$11="Oui",IF((01_Parametres!$B$4*(D265&gt;0)+01_Parametres!$B$5*(E265&gt;0)+01_Parametres!$B$6*(F265&gt;0))=0,"",(01_Parametres!$B$4*IF(D265&gt;0,D265,0)+01_Parametres!$B$5*IF(E265&gt;0,E265,0)+01_Parametres!$B$6*IF(F265&gt;0,F265,0))/(01_Parametres!$B$4*(D265&gt;0)+01_Parametres!$B$5*(E265&gt;0)+01_Parametres!$B$6*(F265&gt;0))),IF(01_Parametres!$B$8=0,"",(01_Parametres!$B$4*D265+01_Parametres!$B$5*E265+01_Parametres!$B$6*F265)/01_Parametres!$B$8)))</x:f>
      </x:c>
      <x:c r="H265">
        <x:f>IFERROR(VLOOKUP(C265,02_Referentiels!$A$20:$D$99,3,FALSE),"")</x:f>
      </x:c>
      <x:c r="I265">
        <x:f>IFERROR(VLOOKUP(B265,02_Referentiels!$A$5:$C$16,2,FALSE),"")</x:f>
      </x:c>
      <x:c r="J265">
        <x:f>IF(A265="","",IF(OR(D265="",E265="",F265=""),1,IF(OR(D265&lt;0,D265&gt;3,E265&lt;0,E265&gt;3,F265&lt;0,F265&gt;3),1,0)))</x:f>
      </x:c>
      <x:c r="K265">
        <x:f>IF(A265="","",IF(G265="",1,0))</x:f>
      </x:c>
      <x:c r="L265">
        <x:f>IF(A265="","",IF(COUNTIFS($A$5:$A$2004,A265,$C$5:$C$2004,C265)&gt;1,1,0))</x:f>
      </x:c>
    </x:row>
    <x:row r="266">
      <x:c r="A266" s="8" t="n"/>
      <x:c r="B266" s="8" t="n"/>
      <x:c r="C266" s="8" t="n"/>
      <x:c r="D266" s="8" t="n"/>
      <x:c r="E266" s="8" t="n"/>
      <x:c r="F266" s="8" t="n"/>
      <x:c r="G266" s="7">
        <x:f>IF(A266="","",IF(01_Parametres!$B$11="Oui",IF((01_Parametres!$B$4*(D266&gt;0)+01_Parametres!$B$5*(E266&gt;0)+01_Parametres!$B$6*(F266&gt;0))=0,"",(01_Parametres!$B$4*IF(D266&gt;0,D266,0)+01_Parametres!$B$5*IF(E266&gt;0,E266,0)+01_Parametres!$B$6*IF(F266&gt;0,F266,0))/(01_Parametres!$B$4*(D266&gt;0)+01_Parametres!$B$5*(E266&gt;0)+01_Parametres!$B$6*(F266&gt;0))),IF(01_Parametres!$B$8=0,"",(01_Parametres!$B$4*D266+01_Parametres!$B$5*E266+01_Parametres!$B$6*F266)/01_Parametres!$B$8)))</x:f>
      </x:c>
      <x:c r="H266">
        <x:f>IFERROR(VLOOKUP(C266,02_Referentiels!$A$20:$D$99,3,FALSE),"")</x:f>
      </x:c>
      <x:c r="I266">
        <x:f>IFERROR(VLOOKUP(B266,02_Referentiels!$A$5:$C$16,2,FALSE),"")</x:f>
      </x:c>
      <x:c r="J266">
        <x:f>IF(A266="","",IF(OR(D266="",E266="",F266=""),1,IF(OR(D266&lt;0,D266&gt;3,E266&lt;0,E266&gt;3,F266&lt;0,F266&gt;3),1,0)))</x:f>
      </x:c>
      <x:c r="K266">
        <x:f>IF(A266="","",IF(G266="",1,0))</x:f>
      </x:c>
      <x:c r="L266">
        <x:f>IF(A266="","",IF(COUNTIFS($A$5:$A$2004,A266,$C$5:$C$2004,C266)&gt;1,1,0))</x:f>
      </x:c>
    </x:row>
    <x:row r="267">
      <x:c r="A267" s="8" t="n"/>
      <x:c r="B267" s="8" t="n"/>
      <x:c r="C267" s="8" t="n"/>
      <x:c r="D267" s="8" t="n"/>
      <x:c r="E267" s="8" t="n"/>
      <x:c r="F267" s="8" t="n"/>
      <x:c r="G267" s="7">
        <x:f>IF(A267="","",IF(01_Parametres!$B$11="Oui",IF((01_Parametres!$B$4*(D267&gt;0)+01_Parametres!$B$5*(E267&gt;0)+01_Parametres!$B$6*(F267&gt;0))=0,"",(01_Parametres!$B$4*IF(D267&gt;0,D267,0)+01_Parametres!$B$5*IF(E267&gt;0,E267,0)+01_Parametres!$B$6*IF(F267&gt;0,F267,0))/(01_Parametres!$B$4*(D267&gt;0)+01_Parametres!$B$5*(E267&gt;0)+01_Parametres!$B$6*(F267&gt;0))),IF(01_Parametres!$B$8=0,"",(01_Parametres!$B$4*D267+01_Parametres!$B$5*E267+01_Parametres!$B$6*F267)/01_Parametres!$B$8)))</x:f>
      </x:c>
      <x:c r="H267">
        <x:f>IFERROR(VLOOKUP(C267,02_Referentiels!$A$20:$D$99,3,FALSE),"")</x:f>
      </x:c>
      <x:c r="I267">
        <x:f>IFERROR(VLOOKUP(B267,02_Referentiels!$A$5:$C$16,2,FALSE),"")</x:f>
      </x:c>
      <x:c r="J267">
        <x:f>IF(A267="","",IF(OR(D267="",E267="",F267=""),1,IF(OR(D267&lt;0,D267&gt;3,E267&lt;0,E267&gt;3,F267&lt;0,F267&gt;3),1,0)))</x:f>
      </x:c>
      <x:c r="K267">
        <x:f>IF(A267="","",IF(G267="",1,0))</x:f>
      </x:c>
      <x:c r="L267">
        <x:f>IF(A267="","",IF(COUNTIFS($A$5:$A$2004,A267,$C$5:$C$2004,C267)&gt;1,1,0))</x:f>
      </x:c>
    </x:row>
    <x:row r="268">
      <x:c r="A268" s="8" t="n"/>
      <x:c r="B268" s="8" t="n"/>
      <x:c r="C268" s="8" t="n"/>
      <x:c r="D268" s="8" t="n"/>
      <x:c r="E268" s="8" t="n"/>
      <x:c r="F268" s="8" t="n"/>
      <x:c r="G268" s="7">
        <x:f>IF(A268="","",IF(01_Parametres!$B$11="Oui",IF((01_Parametres!$B$4*(D268&gt;0)+01_Parametres!$B$5*(E268&gt;0)+01_Parametres!$B$6*(F268&gt;0))=0,"",(01_Parametres!$B$4*IF(D268&gt;0,D268,0)+01_Parametres!$B$5*IF(E268&gt;0,E268,0)+01_Parametres!$B$6*IF(F268&gt;0,F268,0))/(01_Parametres!$B$4*(D268&gt;0)+01_Parametres!$B$5*(E268&gt;0)+01_Parametres!$B$6*(F268&gt;0))),IF(01_Parametres!$B$8=0,"",(01_Parametres!$B$4*D268+01_Parametres!$B$5*E268+01_Parametres!$B$6*F268)/01_Parametres!$B$8)))</x:f>
      </x:c>
      <x:c r="H268">
        <x:f>IFERROR(VLOOKUP(C268,02_Referentiels!$A$20:$D$99,3,FALSE),"")</x:f>
      </x:c>
      <x:c r="I268">
        <x:f>IFERROR(VLOOKUP(B268,02_Referentiels!$A$5:$C$16,2,FALSE),"")</x:f>
      </x:c>
      <x:c r="J268">
        <x:f>IF(A268="","",IF(OR(D268="",E268="",F268=""),1,IF(OR(D268&lt;0,D268&gt;3,E268&lt;0,E268&gt;3,F268&lt;0,F268&gt;3),1,0)))</x:f>
      </x:c>
      <x:c r="K268">
        <x:f>IF(A268="","",IF(G268="",1,0))</x:f>
      </x:c>
      <x:c r="L268">
        <x:f>IF(A268="","",IF(COUNTIFS($A$5:$A$2004,A268,$C$5:$C$2004,C268)&gt;1,1,0))</x:f>
      </x:c>
    </x:row>
    <x:row r="269">
      <x:c r="A269" s="8" t="n"/>
      <x:c r="B269" s="8" t="n"/>
      <x:c r="C269" s="8" t="n"/>
      <x:c r="D269" s="8" t="n"/>
      <x:c r="E269" s="8" t="n"/>
      <x:c r="F269" s="8" t="n"/>
      <x:c r="G269" s="7">
        <x:f>IF(A269="","",IF(01_Parametres!$B$11="Oui",IF((01_Parametres!$B$4*(D269&gt;0)+01_Parametres!$B$5*(E269&gt;0)+01_Parametres!$B$6*(F269&gt;0))=0,"",(01_Parametres!$B$4*IF(D269&gt;0,D269,0)+01_Parametres!$B$5*IF(E269&gt;0,E269,0)+01_Parametres!$B$6*IF(F269&gt;0,F269,0))/(01_Parametres!$B$4*(D269&gt;0)+01_Parametres!$B$5*(E269&gt;0)+01_Parametres!$B$6*(F269&gt;0))),IF(01_Parametres!$B$8=0,"",(01_Parametres!$B$4*D269+01_Parametres!$B$5*E269+01_Parametres!$B$6*F269)/01_Parametres!$B$8)))</x:f>
      </x:c>
      <x:c r="H269">
        <x:f>IFERROR(VLOOKUP(C269,02_Referentiels!$A$20:$D$99,3,FALSE),"")</x:f>
      </x:c>
      <x:c r="I269">
        <x:f>IFERROR(VLOOKUP(B269,02_Referentiels!$A$5:$C$16,2,FALSE),"")</x:f>
      </x:c>
      <x:c r="J269">
        <x:f>IF(A269="","",IF(OR(D269="",E269="",F269=""),1,IF(OR(D269&lt;0,D269&gt;3,E269&lt;0,E269&gt;3,F269&lt;0,F269&gt;3),1,0)))</x:f>
      </x:c>
      <x:c r="K269">
        <x:f>IF(A269="","",IF(G269="",1,0))</x:f>
      </x:c>
      <x:c r="L269">
        <x:f>IF(A269="","",IF(COUNTIFS($A$5:$A$2004,A269,$C$5:$C$2004,C269)&gt;1,1,0))</x:f>
      </x:c>
    </x:row>
    <x:row r="270">
      <x:c r="A270" s="8" t="n"/>
      <x:c r="B270" s="8" t="n"/>
      <x:c r="C270" s="8" t="n"/>
      <x:c r="D270" s="8" t="n"/>
      <x:c r="E270" s="8" t="n"/>
      <x:c r="F270" s="8" t="n"/>
      <x:c r="G270" s="7">
        <x:f>IF(A270="","",IF(01_Parametres!$B$11="Oui",IF((01_Parametres!$B$4*(D270&gt;0)+01_Parametres!$B$5*(E270&gt;0)+01_Parametres!$B$6*(F270&gt;0))=0,"",(01_Parametres!$B$4*IF(D270&gt;0,D270,0)+01_Parametres!$B$5*IF(E270&gt;0,E270,0)+01_Parametres!$B$6*IF(F270&gt;0,F270,0))/(01_Parametres!$B$4*(D270&gt;0)+01_Parametres!$B$5*(E270&gt;0)+01_Parametres!$B$6*(F270&gt;0))),IF(01_Parametres!$B$8=0,"",(01_Parametres!$B$4*D270+01_Parametres!$B$5*E270+01_Parametres!$B$6*F270)/01_Parametres!$B$8)))</x:f>
      </x:c>
      <x:c r="H270">
        <x:f>IFERROR(VLOOKUP(C270,02_Referentiels!$A$20:$D$99,3,FALSE),"")</x:f>
      </x:c>
      <x:c r="I270">
        <x:f>IFERROR(VLOOKUP(B270,02_Referentiels!$A$5:$C$16,2,FALSE),"")</x:f>
      </x:c>
      <x:c r="J270">
        <x:f>IF(A270="","",IF(OR(D270="",E270="",F270=""),1,IF(OR(D270&lt;0,D270&gt;3,E270&lt;0,E270&gt;3,F270&lt;0,F270&gt;3),1,0)))</x:f>
      </x:c>
      <x:c r="K270">
        <x:f>IF(A270="","",IF(G270="",1,0))</x:f>
      </x:c>
      <x:c r="L270">
        <x:f>IF(A270="","",IF(COUNTIFS($A$5:$A$2004,A270,$C$5:$C$2004,C270)&gt;1,1,0))</x:f>
      </x:c>
    </x:row>
    <x:row r="271">
      <x:c r="A271" s="8" t="n"/>
      <x:c r="B271" s="8" t="n"/>
      <x:c r="C271" s="8" t="n"/>
      <x:c r="D271" s="8" t="n"/>
      <x:c r="E271" s="8" t="n"/>
      <x:c r="F271" s="8" t="n"/>
      <x:c r="G271" s="7">
        <x:f>IF(A271="","",IF(01_Parametres!$B$11="Oui",IF((01_Parametres!$B$4*(D271&gt;0)+01_Parametres!$B$5*(E271&gt;0)+01_Parametres!$B$6*(F271&gt;0))=0,"",(01_Parametres!$B$4*IF(D271&gt;0,D271,0)+01_Parametres!$B$5*IF(E271&gt;0,E271,0)+01_Parametres!$B$6*IF(F271&gt;0,F271,0))/(01_Parametres!$B$4*(D271&gt;0)+01_Parametres!$B$5*(E271&gt;0)+01_Parametres!$B$6*(F271&gt;0))),IF(01_Parametres!$B$8=0,"",(01_Parametres!$B$4*D271+01_Parametres!$B$5*E271+01_Parametres!$B$6*F271)/01_Parametres!$B$8)))</x:f>
      </x:c>
      <x:c r="H271">
        <x:f>IFERROR(VLOOKUP(C271,02_Referentiels!$A$20:$D$99,3,FALSE),"")</x:f>
      </x:c>
      <x:c r="I271">
        <x:f>IFERROR(VLOOKUP(B271,02_Referentiels!$A$5:$C$16,2,FALSE),"")</x:f>
      </x:c>
      <x:c r="J271">
        <x:f>IF(A271="","",IF(OR(D271="",E271="",F271=""),1,IF(OR(D271&lt;0,D271&gt;3,E271&lt;0,E271&gt;3,F271&lt;0,F271&gt;3),1,0)))</x:f>
      </x:c>
      <x:c r="K271">
        <x:f>IF(A271="","",IF(G271="",1,0))</x:f>
      </x:c>
      <x:c r="L271">
        <x:f>IF(A271="","",IF(COUNTIFS($A$5:$A$2004,A271,$C$5:$C$2004,C271)&gt;1,1,0))</x:f>
      </x:c>
    </x:row>
    <x:row r="272">
      <x:c r="A272" s="8" t="n"/>
      <x:c r="B272" s="8" t="n"/>
      <x:c r="C272" s="8" t="n"/>
      <x:c r="D272" s="8" t="n"/>
      <x:c r="E272" s="8" t="n"/>
      <x:c r="F272" s="8" t="n"/>
      <x:c r="G272" s="7">
        <x:f>IF(A272="","",IF(01_Parametres!$B$11="Oui",IF((01_Parametres!$B$4*(D272&gt;0)+01_Parametres!$B$5*(E272&gt;0)+01_Parametres!$B$6*(F272&gt;0))=0,"",(01_Parametres!$B$4*IF(D272&gt;0,D272,0)+01_Parametres!$B$5*IF(E272&gt;0,E272,0)+01_Parametres!$B$6*IF(F272&gt;0,F272,0))/(01_Parametres!$B$4*(D272&gt;0)+01_Parametres!$B$5*(E272&gt;0)+01_Parametres!$B$6*(F272&gt;0))),IF(01_Parametres!$B$8=0,"",(01_Parametres!$B$4*D272+01_Parametres!$B$5*E272+01_Parametres!$B$6*F272)/01_Parametres!$B$8)))</x:f>
      </x:c>
      <x:c r="H272">
        <x:f>IFERROR(VLOOKUP(C272,02_Referentiels!$A$20:$D$99,3,FALSE),"")</x:f>
      </x:c>
      <x:c r="I272">
        <x:f>IFERROR(VLOOKUP(B272,02_Referentiels!$A$5:$C$16,2,FALSE),"")</x:f>
      </x:c>
      <x:c r="J272">
        <x:f>IF(A272="","",IF(OR(D272="",E272="",F272=""),1,IF(OR(D272&lt;0,D272&gt;3,E272&lt;0,E272&gt;3,F272&lt;0,F272&gt;3),1,0)))</x:f>
      </x:c>
      <x:c r="K272">
        <x:f>IF(A272="","",IF(G272="",1,0))</x:f>
      </x:c>
      <x:c r="L272">
        <x:f>IF(A272="","",IF(COUNTIFS($A$5:$A$2004,A272,$C$5:$C$2004,C272)&gt;1,1,0))</x:f>
      </x:c>
    </x:row>
    <x:row r="273">
      <x:c r="A273" s="8" t="n"/>
      <x:c r="B273" s="8" t="n"/>
      <x:c r="C273" s="8" t="n"/>
      <x:c r="D273" s="8" t="n"/>
      <x:c r="E273" s="8" t="n"/>
      <x:c r="F273" s="8" t="n"/>
      <x:c r="G273" s="7">
        <x:f>IF(A273="","",IF(01_Parametres!$B$11="Oui",IF((01_Parametres!$B$4*(D273&gt;0)+01_Parametres!$B$5*(E273&gt;0)+01_Parametres!$B$6*(F273&gt;0))=0,"",(01_Parametres!$B$4*IF(D273&gt;0,D273,0)+01_Parametres!$B$5*IF(E273&gt;0,E273,0)+01_Parametres!$B$6*IF(F273&gt;0,F273,0))/(01_Parametres!$B$4*(D273&gt;0)+01_Parametres!$B$5*(E273&gt;0)+01_Parametres!$B$6*(F273&gt;0))),IF(01_Parametres!$B$8=0,"",(01_Parametres!$B$4*D273+01_Parametres!$B$5*E273+01_Parametres!$B$6*F273)/01_Parametres!$B$8)))</x:f>
      </x:c>
      <x:c r="H273">
        <x:f>IFERROR(VLOOKUP(C273,02_Referentiels!$A$20:$D$99,3,FALSE),"")</x:f>
      </x:c>
      <x:c r="I273">
        <x:f>IFERROR(VLOOKUP(B273,02_Referentiels!$A$5:$C$16,2,FALSE),"")</x:f>
      </x:c>
      <x:c r="J273">
        <x:f>IF(A273="","",IF(OR(D273="",E273="",F273=""),1,IF(OR(D273&lt;0,D273&gt;3,E273&lt;0,E273&gt;3,F273&lt;0,F273&gt;3),1,0)))</x:f>
      </x:c>
      <x:c r="K273">
        <x:f>IF(A273="","",IF(G273="",1,0))</x:f>
      </x:c>
      <x:c r="L273">
        <x:f>IF(A273="","",IF(COUNTIFS($A$5:$A$2004,A273,$C$5:$C$2004,C273)&gt;1,1,0))</x:f>
      </x:c>
    </x:row>
    <x:row r="274">
      <x:c r="A274" s="8" t="n"/>
      <x:c r="B274" s="8" t="n"/>
      <x:c r="C274" s="8" t="n"/>
      <x:c r="D274" s="8" t="n"/>
      <x:c r="E274" s="8" t="n"/>
      <x:c r="F274" s="8" t="n"/>
      <x:c r="G274" s="7">
        <x:f>IF(A274="","",IF(01_Parametres!$B$11="Oui",IF((01_Parametres!$B$4*(D274&gt;0)+01_Parametres!$B$5*(E274&gt;0)+01_Parametres!$B$6*(F274&gt;0))=0,"",(01_Parametres!$B$4*IF(D274&gt;0,D274,0)+01_Parametres!$B$5*IF(E274&gt;0,E274,0)+01_Parametres!$B$6*IF(F274&gt;0,F274,0))/(01_Parametres!$B$4*(D274&gt;0)+01_Parametres!$B$5*(E274&gt;0)+01_Parametres!$B$6*(F274&gt;0))),IF(01_Parametres!$B$8=0,"",(01_Parametres!$B$4*D274+01_Parametres!$B$5*E274+01_Parametres!$B$6*F274)/01_Parametres!$B$8)))</x:f>
      </x:c>
      <x:c r="H274">
        <x:f>IFERROR(VLOOKUP(C274,02_Referentiels!$A$20:$D$99,3,FALSE),"")</x:f>
      </x:c>
      <x:c r="I274">
        <x:f>IFERROR(VLOOKUP(B274,02_Referentiels!$A$5:$C$16,2,FALSE),"")</x:f>
      </x:c>
      <x:c r="J274">
        <x:f>IF(A274="","",IF(OR(D274="",E274="",F274=""),1,IF(OR(D274&lt;0,D274&gt;3,E274&lt;0,E274&gt;3,F274&lt;0,F274&gt;3),1,0)))</x:f>
      </x:c>
      <x:c r="K274">
        <x:f>IF(A274="","",IF(G274="",1,0))</x:f>
      </x:c>
      <x:c r="L274">
        <x:f>IF(A274="","",IF(COUNTIFS($A$5:$A$2004,A274,$C$5:$C$2004,C274)&gt;1,1,0))</x:f>
      </x:c>
    </x:row>
    <x:row r="275">
      <x:c r="A275" s="8" t="n"/>
      <x:c r="B275" s="8" t="n"/>
      <x:c r="C275" s="8" t="n"/>
      <x:c r="D275" s="8" t="n"/>
      <x:c r="E275" s="8" t="n"/>
      <x:c r="F275" s="8" t="n"/>
      <x:c r="G275" s="7">
        <x:f>IF(A275="","",IF(01_Parametres!$B$11="Oui",IF((01_Parametres!$B$4*(D275&gt;0)+01_Parametres!$B$5*(E275&gt;0)+01_Parametres!$B$6*(F275&gt;0))=0,"",(01_Parametres!$B$4*IF(D275&gt;0,D275,0)+01_Parametres!$B$5*IF(E275&gt;0,E275,0)+01_Parametres!$B$6*IF(F275&gt;0,F275,0))/(01_Parametres!$B$4*(D275&gt;0)+01_Parametres!$B$5*(E275&gt;0)+01_Parametres!$B$6*(F275&gt;0))),IF(01_Parametres!$B$8=0,"",(01_Parametres!$B$4*D275+01_Parametres!$B$5*E275+01_Parametres!$B$6*F275)/01_Parametres!$B$8)))</x:f>
      </x:c>
      <x:c r="H275">
        <x:f>IFERROR(VLOOKUP(C275,02_Referentiels!$A$20:$D$99,3,FALSE),"")</x:f>
      </x:c>
      <x:c r="I275">
        <x:f>IFERROR(VLOOKUP(B275,02_Referentiels!$A$5:$C$16,2,FALSE),"")</x:f>
      </x:c>
      <x:c r="J275">
        <x:f>IF(A275="","",IF(OR(D275="",E275="",F275=""),1,IF(OR(D275&lt;0,D275&gt;3,E275&lt;0,E275&gt;3,F275&lt;0,F275&gt;3),1,0)))</x:f>
      </x:c>
      <x:c r="K275">
        <x:f>IF(A275="","",IF(G275="",1,0))</x:f>
      </x:c>
      <x:c r="L275">
        <x:f>IF(A275="","",IF(COUNTIFS($A$5:$A$2004,A275,$C$5:$C$2004,C275)&gt;1,1,0))</x:f>
      </x:c>
    </x:row>
    <x:row r="276">
      <x:c r="A276" s="8" t="n"/>
      <x:c r="B276" s="8" t="n"/>
      <x:c r="C276" s="8" t="n"/>
      <x:c r="D276" s="8" t="n"/>
      <x:c r="E276" s="8" t="n"/>
      <x:c r="F276" s="8" t="n"/>
      <x:c r="G276" s="7">
        <x:f>IF(A276="","",IF(01_Parametres!$B$11="Oui",IF((01_Parametres!$B$4*(D276&gt;0)+01_Parametres!$B$5*(E276&gt;0)+01_Parametres!$B$6*(F276&gt;0))=0,"",(01_Parametres!$B$4*IF(D276&gt;0,D276,0)+01_Parametres!$B$5*IF(E276&gt;0,E276,0)+01_Parametres!$B$6*IF(F276&gt;0,F276,0))/(01_Parametres!$B$4*(D276&gt;0)+01_Parametres!$B$5*(E276&gt;0)+01_Parametres!$B$6*(F276&gt;0))),IF(01_Parametres!$B$8=0,"",(01_Parametres!$B$4*D276+01_Parametres!$B$5*E276+01_Parametres!$B$6*F276)/01_Parametres!$B$8)))</x:f>
      </x:c>
      <x:c r="H276">
        <x:f>IFERROR(VLOOKUP(C276,02_Referentiels!$A$20:$D$99,3,FALSE),"")</x:f>
      </x:c>
      <x:c r="I276">
        <x:f>IFERROR(VLOOKUP(B276,02_Referentiels!$A$5:$C$16,2,FALSE),"")</x:f>
      </x:c>
      <x:c r="J276">
        <x:f>IF(A276="","",IF(OR(D276="",E276="",F276=""),1,IF(OR(D276&lt;0,D276&gt;3,E276&lt;0,E276&gt;3,F276&lt;0,F276&gt;3),1,0)))</x:f>
      </x:c>
      <x:c r="K276">
        <x:f>IF(A276="","",IF(G276="",1,0))</x:f>
      </x:c>
      <x:c r="L276">
        <x:f>IF(A276="","",IF(COUNTIFS($A$5:$A$2004,A276,$C$5:$C$2004,C276)&gt;1,1,0))</x:f>
      </x:c>
    </x:row>
    <x:row r="277">
      <x:c r="A277" s="8" t="n"/>
      <x:c r="B277" s="8" t="n"/>
      <x:c r="C277" s="8" t="n"/>
      <x:c r="D277" s="8" t="n"/>
      <x:c r="E277" s="8" t="n"/>
      <x:c r="F277" s="8" t="n"/>
      <x:c r="G277" s="7">
        <x:f>IF(A277="","",IF(01_Parametres!$B$11="Oui",IF((01_Parametres!$B$4*(D277&gt;0)+01_Parametres!$B$5*(E277&gt;0)+01_Parametres!$B$6*(F277&gt;0))=0,"",(01_Parametres!$B$4*IF(D277&gt;0,D277,0)+01_Parametres!$B$5*IF(E277&gt;0,E277,0)+01_Parametres!$B$6*IF(F277&gt;0,F277,0))/(01_Parametres!$B$4*(D277&gt;0)+01_Parametres!$B$5*(E277&gt;0)+01_Parametres!$B$6*(F277&gt;0))),IF(01_Parametres!$B$8=0,"",(01_Parametres!$B$4*D277+01_Parametres!$B$5*E277+01_Parametres!$B$6*F277)/01_Parametres!$B$8)))</x:f>
      </x:c>
      <x:c r="H277">
        <x:f>IFERROR(VLOOKUP(C277,02_Referentiels!$A$20:$D$99,3,FALSE),"")</x:f>
      </x:c>
      <x:c r="I277">
        <x:f>IFERROR(VLOOKUP(B277,02_Referentiels!$A$5:$C$16,2,FALSE),"")</x:f>
      </x:c>
      <x:c r="J277">
        <x:f>IF(A277="","",IF(OR(D277="",E277="",F277=""),1,IF(OR(D277&lt;0,D277&gt;3,E277&lt;0,E277&gt;3,F277&lt;0,F277&gt;3),1,0)))</x:f>
      </x:c>
      <x:c r="K277">
        <x:f>IF(A277="","",IF(G277="",1,0))</x:f>
      </x:c>
      <x:c r="L277">
        <x:f>IF(A277="","",IF(COUNTIFS($A$5:$A$2004,A277,$C$5:$C$2004,C277)&gt;1,1,0))</x:f>
      </x:c>
    </x:row>
    <x:row r="278">
      <x:c r="A278" s="8" t="n"/>
      <x:c r="B278" s="8" t="n"/>
      <x:c r="C278" s="8" t="n"/>
      <x:c r="D278" s="8" t="n"/>
      <x:c r="E278" s="8" t="n"/>
      <x:c r="F278" s="8" t="n"/>
      <x:c r="G278" s="7">
        <x:f>IF(A278="","",IF(01_Parametres!$B$11="Oui",IF((01_Parametres!$B$4*(D278&gt;0)+01_Parametres!$B$5*(E278&gt;0)+01_Parametres!$B$6*(F278&gt;0))=0,"",(01_Parametres!$B$4*IF(D278&gt;0,D278,0)+01_Parametres!$B$5*IF(E278&gt;0,E278,0)+01_Parametres!$B$6*IF(F278&gt;0,F278,0))/(01_Parametres!$B$4*(D278&gt;0)+01_Parametres!$B$5*(E278&gt;0)+01_Parametres!$B$6*(F278&gt;0))),IF(01_Parametres!$B$8=0,"",(01_Parametres!$B$4*D278+01_Parametres!$B$5*E278+01_Parametres!$B$6*F278)/01_Parametres!$B$8)))</x:f>
      </x:c>
      <x:c r="H278">
        <x:f>IFERROR(VLOOKUP(C278,02_Referentiels!$A$20:$D$99,3,FALSE),"")</x:f>
      </x:c>
      <x:c r="I278">
        <x:f>IFERROR(VLOOKUP(B278,02_Referentiels!$A$5:$C$16,2,FALSE),"")</x:f>
      </x:c>
      <x:c r="J278">
        <x:f>IF(A278="","",IF(OR(D278="",E278="",F278=""),1,IF(OR(D278&lt;0,D278&gt;3,E278&lt;0,E278&gt;3,F278&lt;0,F278&gt;3),1,0)))</x:f>
      </x:c>
      <x:c r="K278">
        <x:f>IF(A278="","",IF(G278="",1,0))</x:f>
      </x:c>
      <x:c r="L278">
        <x:f>IF(A278="","",IF(COUNTIFS($A$5:$A$2004,A278,$C$5:$C$2004,C278)&gt;1,1,0))</x:f>
      </x:c>
    </x:row>
    <x:row r="279">
      <x:c r="A279" s="8" t="n"/>
      <x:c r="B279" s="8" t="n"/>
      <x:c r="C279" s="8" t="n"/>
      <x:c r="D279" s="8" t="n"/>
      <x:c r="E279" s="8" t="n"/>
      <x:c r="F279" s="8" t="n"/>
      <x:c r="G279" s="7">
        <x:f>IF(A279="","",IF(01_Parametres!$B$11="Oui",IF((01_Parametres!$B$4*(D279&gt;0)+01_Parametres!$B$5*(E279&gt;0)+01_Parametres!$B$6*(F279&gt;0))=0,"",(01_Parametres!$B$4*IF(D279&gt;0,D279,0)+01_Parametres!$B$5*IF(E279&gt;0,E279,0)+01_Parametres!$B$6*IF(F279&gt;0,F279,0))/(01_Parametres!$B$4*(D279&gt;0)+01_Parametres!$B$5*(E279&gt;0)+01_Parametres!$B$6*(F279&gt;0))),IF(01_Parametres!$B$8=0,"",(01_Parametres!$B$4*D279+01_Parametres!$B$5*E279+01_Parametres!$B$6*F279)/01_Parametres!$B$8)))</x:f>
      </x:c>
      <x:c r="H279">
        <x:f>IFERROR(VLOOKUP(C279,02_Referentiels!$A$20:$D$99,3,FALSE),"")</x:f>
      </x:c>
      <x:c r="I279">
        <x:f>IFERROR(VLOOKUP(B279,02_Referentiels!$A$5:$C$16,2,FALSE),"")</x:f>
      </x:c>
      <x:c r="J279">
        <x:f>IF(A279="","",IF(OR(D279="",E279="",F279=""),1,IF(OR(D279&lt;0,D279&gt;3,E279&lt;0,E279&gt;3,F279&lt;0,F279&gt;3),1,0)))</x:f>
      </x:c>
      <x:c r="K279">
        <x:f>IF(A279="","",IF(G279="",1,0))</x:f>
      </x:c>
      <x:c r="L279">
        <x:f>IF(A279="","",IF(COUNTIFS($A$5:$A$2004,A279,$C$5:$C$2004,C279)&gt;1,1,0))</x:f>
      </x:c>
    </x:row>
    <x:row r="280">
      <x:c r="A280" s="8" t="n"/>
      <x:c r="B280" s="8" t="n"/>
      <x:c r="C280" s="8" t="n"/>
      <x:c r="D280" s="8" t="n"/>
      <x:c r="E280" s="8" t="n"/>
      <x:c r="F280" s="8" t="n"/>
      <x:c r="G280" s="7">
        <x:f>IF(A280="","",IF(01_Parametres!$B$11="Oui",IF((01_Parametres!$B$4*(D280&gt;0)+01_Parametres!$B$5*(E280&gt;0)+01_Parametres!$B$6*(F280&gt;0))=0,"",(01_Parametres!$B$4*IF(D280&gt;0,D280,0)+01_Parametres!$B$5*IF(E280&gt;0,E280,0)+01_Parametres!$B$6*IF(F280&gt;0,F280,0))/(01_Parametres!$B$4*(D280&gt;0)+01_Parametres!$B$5*(E280&gt;0)+01_Parametres!$B$6*(F280&gt;0))),IF(01_Parametres!$B$8=0,"",(01_Parametres!$B$4*D280+01_Parametres!$B$5*E280+01_Parametres!$B$6*F280)/01_Parametres!$B$8)))</x:f>
      </x:c>
      <x:c r="H280">
        <x:f>IFERROR(VLOOKUP(C280,02_Referentiels!$A$20:$D$99,3,FALSE),"")</x:f>
      </x:c>
      <x:c r="I280">
        <x:f>IFERROR(VLOOKUP(B280,02_Referentiels!$A$5:$C$16,2,FALSE),"")</x:f>
      </x:c>
      <x:c r="J280">
        <x:f>IF(A280="","",IF(OR(D280="",E280="",F280=""),1,IF(OR(D280&lt;0,D280&gt;3,E280&lt;0,E280&gt;3,F280&lt;0,F280&gt;3),1,0)))</x:f>
      </x:c>
      <x:c r="K280">
        <x:f>IF(A280="","",IF(G280="",1,0))</x:f>
      </x:c>
      <x:c r="L280">
        <x:f>IF(A280="","",IF(COUNTIFS($A$5:$A$2004,A280,$C$5:$C$2004,C280)&gt;1,1,0))</x:f>
      </x:c>
    </x:row>
    <x:row r="281">
      <x:c r="A281" s="8" t="n"/>
      <x:c r="B281" s="8" t="n"/>
      <x:c r="C281" s="8" t="n"/>
      <x:c r="D281" s="8" t="n"/>
      <x:c r="E281" s="8" t="n"/>
      <x:c r="F281" s="8" t="n"/>
      <x:c r="G281" s="7">
        <x:f>IF(A281="","",IF(01_Parametres!$B$11="Oui",IF((01_Parametres!$B$4*(D281&gt;0)+01_Parametres!$B$5*(E281&gt;0)+01_Parametres!$B$6*(F281&gt;0))=0,"",(01_Parametres!$B$4*IF(D281&gt;0,D281,0)+01_Parametres!$B$5*IF(E281&gt;0,E281,0)+01_Parametres!$B$6*IF(F281&gt;0,F281,0))/(01_Parametres!$B$4*(D281&gt;0)+01_Parametres!$B$5*(E281&gt;0)+01_Parametres!$B$6*(F281&gt;0))),IF(01_Parametres!$B$8=0,"",(01_Parametres!$B$4*D281+01_Parametres!$B$5*E281+01_Parametres!$B$6*F281)/01_Parametres!$B$8)))</x:f>
      </x:c>
      <x:c r="H281">
        <x:f>IFERROR(VLOOKUP(C281,02_Referentiels!$A$20:$D$99,3,FALSE),"")</x:f>
      </x:c>
      <x:c r="I281">
        <x:f>IFERROR(VLOOKUP(B281,02_Referentiels!$A$5:$C$16,2,FALSE),"")</x:f>
      </x:c>
      <x:c r="J281">
        <x:f>IF(A281="","",IF(OR(D281="",E281="",F281=""),1,IF(OR(D281&lt;0,D281&gt;3,E281&lt;0,E281&gt;3,F281&lt;0,F281&gt;3),1,0)))</x:f>
      </x:c>
      <x:c r="K281">
        <x:f>IF(A281="","",IF(G281="",1,0))</x:f>
      </x:c>
      <x:c r="L281">
        <x:f>IF(A281="","",IF(COUNTIFS($A$5:$A$2004,A281,$C$5:$C$2004,C281)&gt;1,1,0))</x:f>
      </x:c>
    </x:row>
    <x:row r="282">
      <x:c r="A282" s="8" t="n"/>
      <x:c r="B282" s="8" t="n"/>
      <x:c r="C282" s="8" t="n"/>
      <x:c r="D282" s="8" t="n"/>
      <x:c r="E282" s="8" t="n"/>
      <x:c r="F282" s="8" t="n"/>
      <x:c r="G282" s="7">
        <x:f>IF(A282="","",IF(01_Parametres!$B$11="Oui",IF((01_Parametres!$B$4*(D282&gt;0)+01_Parametres!$B$5*(E282&gt;0)+01_Parametres!$B$6*(F282&gt;0))=0,"",(01_Parametres!$B$4*IF(D282&gt;0,D282,0)+01_Parametres!$B$5*IF(E282&gt;0,E282,0)+01_Parametres!$B$6*IF(F282&gt;0,F282,0))/(01_Parametres!$B$4*(D282&gt;0)+01_Parametres!$B$5*(E282&gt;0)+01_Parametres!$B$6*(F282&gt;0))),IF(01_Parametres!$B$8=0,"",(01_Parametres!$B$4*D282+01_Parametres!$B$5*E282+01_Parametres!$B$6*F282)/01_Parametres!$B$8)))</x:f>
      </x:c>
      <x:c r="H282">
        <x:f>IFERROR(VLOOKUP(C282,02_Referentiels!$A$20:$D$99,3,FALSE),"")</x:f>
      </x:c>
      <x:c r="I282">
        <x:f>IFERROR(VLOOKUP(B282,02_Referentiels!$A$5:$C$16,2,FALSE),"")</x:f>
      </x:c>
      <x:c r="J282">
        <x:f>IF(A282="","",IF(OR(D282="",E282="",F282=""),1,IF(OR(D282&lt;0,D282&gt;3,E282&lt;0,E282&gt;3,F282&lt;0,F282&gt;3),1,0)))</x:f>
      </x:c>
      <x:c r="K282">
        <x:f>IF(A282="","",IF(G282="",1,0))</x:f>
      </x:c>
      <x:c r="L282">
        <x:f>IF(A282="","",IF(COUNTIFS($A$5:$A$2004,A282,$C$5:$C$2004,C282)&gt;1,1,0))</x:f>
      </x:c>
    </x:row>
    <x:row r="283">
      <x:c r="A283" s="8" t="n"/>
      <x:c r="B283" s="8" t="n"/>
      <x:c r="C283" s="8" t="n"/>
      <x:c r="D283" s="8" t="n"/>
      <x:c r="E283" s="8" t="n"/>
      <x:c r="F283" s="8" t="n"/>
      <x:c r="G283" s="7">
        <x:f>IF(A283="","",IF(01_Parametres!$B$11="Oui",IF((01_Parametres!$B$4*(D283&gt;0)+01_Parametres!$B$5*(E283&gt;0)+01_Parametres!$B$6*(F283&gt;0))=0,"",(01_Parametres!$B$4*IF(D283&gt;0,D283,0)+01_Parametres!$B$5*IF(E283&gt;0,E283,0)+01_Parametres!$B$6*IF(F283&gt;0,F283,0))/(01_Parametres!$B$4*(D283&gt;0)+01_Parametres!$B$5*(E283&gt;0)+01_Parametres!$B$6*(F283&gt;0))),IF(01_Parametres!$B$8=0,"",(01_Parametres!$B$4*D283+01_Parametres!$B$5*E283+01_Parametres!$B$6*F283)/01_Parametres!$B$8)))</x:f>
      </x:c>
      <x:c r="H283">
        <x:f>IFERROR(VLOOKUP(C283,02_Referentiels!$A$20:$D$99,3,FALSE),"")</x:f>
      </x:c>
      <x:c r="I283">
        <x:f>IFERROR(VLOOKUP(B283,02_Referentiels!$A$5:$C$16,2,FALSE),"")</x:f>
      </x:c>
      <x:c r="J283">
        <x:f>IF(A283="","",IF(OR(D283="",E283="",F283=""),1,IF(OR(D283&lt;0,D283&gt;3,E283&lt;0,E283&gt;3,F283&lt;0,F283&gt;3),1,0)))</x:f>
      </x:c>
      <x:c r="K283">
        <x:f>IF(A283="","",IF(G283="",1,0))</x:f>
      </x:c>
      <x:c r="L283">
        <x:f>IF(A283="","",IF(COUNTIFS($A$5:$A$2004,A283,$C$5:$C$2004,C283)&gt;1,1,0))</x:f>
      </x:c>
    </x:row>
    <x:row r="284">
      <x:c r="A284" s="8" t="n"/>
      <x:c r="B284" s="8" t="n"/>
      <x:c r="C284" s="8" t="n"/>
      <x:c r="D284" s="8" t="n"/>
      <x:c r="E284" s="8" t="n"/>
      <x:c r="F284" s="8" t="n"/>
      <x:c r="G284" s="7">
        <x:f>IF(A284="","",IF(01_Parametres!$B$11="Oui",IF((01_Parametres!$B$4*(D284&gt;0)+01_Parametres!$B$5*(E284&gt;0)+01_Parametres!$B$6*(F284&gt;0))=0,"",(01_Parametres!$B$4*IF(D284&gt;0,D284,0)+01_Parametres!$B$5*IF(E284&gt;0,E284,0)+01_Parametres!$B$6*IF(F284&gt;0,F284,0))/(01_Parametres!$B$4*(D284&gt;0)+01_Parametres!$B$5*(E284&gt;0)+01_Parametres!$B$6*(F284&gt;0))),IF(01_Parametres!$B$8=0,"",(01_Parametres!$B$4*D284+01_Parametres!$B$5*E284+01_Parametres!$B$6*F284)/01_Parametres!$B$8)))</x:f>
      </x:c>
      <x:c r="H284">
        <x:f>IFERROR(VLOOKUP(C284,02_Referentiels!$A$20:$D$99,3,FALSE),"")</x:f>
      </x:c>
      <x:c r="I284">
        <x:f>IFERROR(VLOOKUP(B284,02_Referentiels!$A$5:$C$16,2,FALSE),"")</x:f>
      </x:c>
      <x:c r="J284">
        <x:f>IF(A284="","",IF(OR(D284="",E284="",F284=""),1,IF(OR(D284&lt;0,D284&gt;3,E284&lt;0,E284&gt;3,F284&lt;0,F284&gt;3),1,0)))</x:f>
      </x:c>
      <x:c r="K284">
        <x:f>IF(A284="","",IF(G284="",1,0))</x:f>
      </x:c>
      <x:c r="L284">
        <x:f>IF(A284="","",IF(COUNTIFS($A$5:$A$2004,A284,$C$5:$C$2004,C284)&gt;1,1,0))</x:f>
      </x:c>
    </x:row>
    <x:row r="285">
      <x:c r="A285" s="8" t="n"/>
      <x:c r="B285" s="8" t="n"/>
      <x:c r="C285" s="8" t="n"/>
      <x:c r="D285" s="8" t="n"/>
      <x:c r="E285" s="8" t="n"/>
      <x:c r="F285" s="8" t="n"/>
      <x:c r="G285" s="7">
        <x:f>IF(A285="","",IF(01_Parametres!$B$11="Oui",IF((01_Parametres!$B$4*(D285&gt;0)+01_Parametres!$B$5*(E285&gt;0)+01_Parametres!$B$6*(F285&gt;0))=0,"",(01_Parametres!$B$4*IF(D285&gt;0,D285,0)+01_Parametres!$B$5*IF(E285&gt;0,E285,0)+01_Parametres!$B$6*IF(F285&gt;0,F285,0))/(01_Parametres!$B$4*(D285&gt;0)+01_Parametres!$B$5*(E285&gt;0)+01_Parametres!$B$6*(F285&gt;0))),IF(01_Parametres!$B$8=0,"",(01_Parametres!$B$4*D285+01_Parametres!$B$5*E285+01_Parametres!$B$6*F285)/01_Parametres!$B$8)))</x:f>
      </x:c>
      <x:c r="H285">
        <x:f>IFERROR(VLOOKUP(C285,02_Referentiels!$A$20:$D$99,3,FALSE),"")</x:f>
      </x:c>
      <x:c r="I285">
        <x:f>IFERROR(VLOOKUP(B285,02_Referentiels!$A$5:$C$16,2,FALSE),"")</x:f>
      </x:c>
      <x:c r="J285">
        <x:f>IF(A285="","",IF(OR(D285="",E285="",F285=""),1,IF(OR(D285&lt;0,D285&gt;3,E285&lt;0,E285&gt;3,F285&lt;0,F285&gt;3),1,0)))</x:f>
      </x:c>
      <x:c r="K285">
        <x:f>IF(A285="","",IF(G285="",1,0))</x:f>
      </x:c>
      <x:c r="L285">
        <x:f>IF(A285="","",IF(COUNTIFS($A$5:$A$2004,A285,$C$5:$C$2004,C285)&gt;1,1,0))</x:f>
      </x:c>
    </x:row>
    <x:row r="286">
      <x:c r="A286" s="8" t="n"/>
      <x:c r="B286" s="8" t="n"/>
      <x:c r="C286" s="8" t="n"/>
      <x:c r="D286" s="8" t="n"/>
      <x:c r="E286" s="8" t="n"/>
      <x:c r="F286" s="8" t="n"/>
      <x:c r="G286" s="7">
        <x:f>IF(A286="","",IF(01_Parametres!$B$11="Oui",IF((01_Parametres!$B$4*(D286&gt;0)+01_Parametres!$B$5*(E286&gt;0)+01_Parametres!$B$6*(F286&gt;0))=0,"",(01_Parametres!$B$4*IF(D286&gt;0,D286,0)+01_Parametres!$B$5*IF(E286&gt;0,E286,0)+01_Parametres!$B$6*IF(F286&gt;0,F286,0))/(01_Parametres!$B$4*(D286&gt;0)+01_Parametres!$B$5*(E286&gt;0)+01_Parametres!$B$6*(F286&gt;0))),IF(01_Parametres!$B$8=0,"",(01_Parametres!$B$4*D286+01_Parametres!$B$5*E286+01_Parametres!$B$6*F286)/01_Parametres!$B$8)))</x:f>
      </x:c>
      <x:c r="H286">
        <x:f>IFERROR(VLOOKUP(C286,02_Referentiels!$A$20:$D$99,3,FALSE),"")</x:f>
      </x:c>
      <x:c r="I286">
        <x:f>IFERROR(VLOOKUP(B286,02_Referentiels!$A$5:$C$16,2,FALSE),"")</x:f>
      </x:c>
      <x:c r="J286">
        <x:f>IF(A286="","",IF(OR(D286="",E286="",F286=""),1,IF(OR(D286&lt;0,D286&gt;3,E286&lt;0,E286&gt;3,F286&lt;0,F286&gt;3),1,0)))</x:f>
      </x:c>
      <x:c r="K286">
        <x:f>IF(A286="","",IF(G286="",1,0))</x:f>
      </x:c>
      <x:c r="L286">
        <x:f>IF(A286="","",IF(COUNTIFS($A$5:$A$2004,A286,$C$5:$C$2004,C286)&gt;1,1,0))</x:f>
      </x:c>
    </x:row>
    <x:row r="287">
      <x:c r="A287" s="8" t="n"/>
      <x:c r="B287" s="8" t="n"/>
      <x:c r="C287" s="8" t="n"/>
      <x:c r="D287" s="8" t="n"/>
      <x:c r="E287" s="8" t="n"/>
      <x:c r="F287" s="8" t="n"/>
      <x:c r="G287" s="7">
        <x:f>IF(A287="","",IF(01_Parametres!$B$11="Oui",IF((01_Parametres!$B$4*(D287&gt;0)+01_Parametres!$B$5*(E287&gt;0)+01_Parametres!$B$6*(F287&gt;0))=0,"",(01_Parametres!$B$4*IF(D287&gt;0,D287,0)+01_Parametres!$B$5*IF(E287&gt;0,E287,0)+01_Parametres!$B$6*IF(F287&gt;0,F287,0))/(01_Parametres!$B$4*(D287&gt;0)+01_Parametres!$B$5*(E287&gt;0)+01_Parametres!$B$6*(F287&gt;0))),IF(01_Parametres!$B$8=0,"",(01_Parametres!$B$4*D287+01_Parametres!$B$5*E287+01_Parametres!$B$6*F287)/01_Parametres!$B$8)))</x:f>
      </x:c>
      <x:c r="H287">
        <x:f>IFERROR(VLOOKUP(C287,02_Referentiels!$A$20:$D$99,3,FALSE),"")</x:f>
      </x:c>
      <x:c r="I287">
        <x:f>IFERROR(VLOOKUP(B287,02_Referentiels!$A$5:$C$16,2,FALSE),"")</x:f>
      </x:c>
      <x:c r="J287">
        <x:f>IF(A287="","",IF(OR(D287="",E287="",F287=""),1,IF(OR(D287&lt;0,D287&gt;3,E287&lt;0,E287&gt;3,F287&lt;0,F287&gt;3),1,0)))</x:f>
      </x:c>
      <x:c r="K287">
        <x:f>IF(A287="","",IF(G287="",1,0))</x:f>
      </x:c>
      <x:c r="L287">
        <x:f>IF(A287="","",IF(COUNTIFS($A$5:$A$2004,A287,$C$5:$C$2004,C287)&gt;1,1,0))</x:f>
      </x:c>
    </x:row>
    <x:row r="288">
      <x:c r="A288" s="8" t="n"/>
      <x:c r="B288" s="8" t="n"/>
      <x:c r="C288" s="8" t="n"/>
      <x:c r="D288" s="8" t="n"/>
      <x:c r="E288" s="8" t="n"/>
      <x:c r="F288" s="8" t="n"/>
      <x:c r="G288" s="7">
        <x:f>IF(A288="","",IF(01_Parametres!$B$11="Oui",IF((01_Parametres!$B$4*(D288&gt;0)+01_Parametres!$B$5*(E288&gt;0)+01_Parametres!$B$6*(F288&gt;0))=0,"",(01_Parametres!$B$4*IF(D288&gt;0,D288,0)+01_Parametres!$B$5*IF(E288&gt;0,E288,0)+01_Parametres!$B$6*IF(F288&gt;0,F288,0))/(01_Parametres!$B$4*(D288&gt;0)+01_Parametres!$B$5*(E288&gt;0)+01_Parametres!$B$6*(F288&gt;0))),IF(01_Parametres!$B$8=0,"",(01_Parametres!$B$4*D288+01_Parametres!$B$5*E288+01_Parametres!$B$6*F288)/01_Parametres!$B$8)))</x:f>
      </x:c>
      <x:c r="H288">
        <x:f>IFERROR(VLOOKUP(C288,02_Referentiels!$A$20:$D$99,3,FALSE),"")</x:f>
      </x:c>
      <x:c r="I288">
        <x:f>IFERROR(VLOOKUP(B288,02_Referentiels!$A$5:$C$16,2,FALSE),"")</x:f>
      </x:c>
      <x:c r="J288">
        <x:f>IF(A288="","",IF(OR(D288="",E288="",F288=""),1,IF(OR(D288&lt;0,D288&gt;3,E288&lt;0,E288&gt;3,F288&lt;0,F288&gt;3),1,0)))</x:f>
      </x:c>
      <x:c r="K288">
        <x:f>IF(A288="","",IF(G288="",1,0))</x:f>
      </x:c>
      <x:c r="L288">
        <x:f>IF(A288="","",IF(COUNTIFS($A$5:$A$2004,A288,$C$5:$C$2004,C288)&gt;1,1,0))</x:f>
      </x:c>
    </x:row>
    <x:row r="289">
      <x:c r="A289" s="8" t="n"/>
      <x:c r="B289" s="8" t="n"/>
      <x:c r="C289" s="8" t="n"/>
      <x:c r="D289" s="8" t="n"/>
      <x:c r="E289" s="8" t="n"/>
      <x:c r="F289" s="8" t="n"/>
      <x:c r="G289" s="7">
        <x:f>IF(A289="","",IF(01_Parametres!$B$11="Oui",IF((01_Parametres!$B$4*(D289&gt;0)+01_Parametres!$B$5*(E289&gt;0)+01_Parametres!$B$6*(F289&gt;0))=0,"",(01_Parametres!$B$4*IF(D289&gt;0,D289,0)+01_Parametres!$B$5*IF(E289&gt;0,E289,0)+01_Parametres!$B$6*IF(F289&gt;0,F289,0))/(01_Parametres!$B$4*(D289&gt;0)+01_Parametres!$B$5*(E289&gt;0)+01_Parametres!$B$6*(F289&gt;0))),IF(01_Parametres!$B$8=0,"",(01_Parametres!$B$4*D289+01_Parametres!$B$5*E289+01_Parametres!$B$6*F289)/01_Parametres!$B$8)))</x:f>
      </x:c>
      <x:c r="H289">
        <x:f>IFERROR(VLOOKUP(C289,02_Referentiels!$A$20:$D$99,3,FALSE),"")</x:f>
      </x:c>
      <x:c r="I289">
        <x:f>IFERROR(VLOOKUP(B289,02_Referentiels!$A$5:$C$16,2,FALSE),"")</x:f>
      </x:c>
      <x:c r="J289">
        <x:f>IF(A289="","",IF(OR(D289="",E289="",F289=""),1,IF(OR(D289&lt;0,D289&gt;3,E289&lt;0,E289&gt;3,F289&lt;0,F289&gt;3),1,0)))</x:f>
      </x:c>
      <x:c r="K289">
        <x:f>IF(A289="","",IF(G289="",1,0))</x:f>
      </x:c>
      <x:c r="L289">
        <x:f>IF(A289="","",IF(COUNTIFS($A$5:$A$2004,A289,$C$5:$C$2004,C289)&gt;1,1,0))</x:f>
      </x:c>
    </x:row>
    <x:row r="290">
      <x:c r="A290" s="8" t="n"/>
      <x:c r="B290" s="8" t="n"/>
      <x:c r="C290" s="8" t="n"/>
      <x:c r="D290" s="8" t="n"/>
      <x:c r="E290" s="8" t="n"/>
      <x:c r="F290" s="8" t="n"/>
      <x:c r="G290" s="7">
        <x:f>IF(A290="","",IF(01_Parametres!$B$11="Oui",IF((01_Parametres!$B$4*(D290&gt;0)+01_Parametres!$B$5*(E290&gt;0)+01_Parametres!$B$6*(F290&gt;0))=0,"",(01_Parametres!$B$4*IF(D290&gt;0,D290,0)+01_Parametres!$B$5*IF(E290&gt;0,E290,0)+01_Parametres!$B$6*IF(F290&gt;0,F290,0))/(01_Parametres!$B$4*(D290&gt;0)+01_Parametres!$B$5*(E290&gt;0)+01_Parametres!$B$6*(F290&gt;0))),IF(01_Parametres!$B$8=0,"",(01_Parametres!$B$4*D290+01_Parametres!$B$5*E290+01_Parametres!$B$6*F290)/01_Parametres!$B$8)))</x:f>
      </x:c>
      <x:c r="H290">
        <x:f>IFERROR(VLOOKUP(C290,02_Referentiels!$A$20:$D$99,3,FALSE),"")</x:f>
      </x:c>
      <x:c r="I290">
        <x:f>IFERROR(VLOOKUP(B290,02_Referentiels!$A$5:$C$16,2,FALSE),"")</x:f>
      </x:c>
      <x:c r="J290">
        <x:f>IF(A290="","",IF(OR(D290="",E290="",F290=""),1,IF(OR(D290&lt;0,D290&gt;3,E290&lt;0,E290&gt;3,F290&lt;0,F290&gt;3),1,0)))</x:f>
      </x:c>
      <x:c r="K290">
        <x:f>IF(A290="","",IF(G290="",1,0))</x:f>
      </x:c>
      <x:c r="L290">
        <x:f>IF(A290="","",IF(COUNTIFS($A$5:$A$2004,A290,$C$5:$C$2004,C290)&gt;1,1,0))</x:f>
      </x:c>
    </x:row>
    <x:row r="291">
      <x:c r="A291" s="8" t="n"/>
      <x:c r="B291" s="8" t="n"/>
      <x:c r="C291" s="8" t="n"/>
      <x:c r="D291" s="8" t="n"/>
      <x:c r="E291" s="8" t="n"/>
      <x:c r="F291" s="8" t="n"/>
      <x:c r="G291" s="7">
        <x:f>IF(A291="","",IF(01_Parametres!$B$11="Oui",IF((01_Parametres!$B$4*(D291&gt;0)+01_Parametres!$B$5*(E291&gt;0)+01_Parametres!$B$6*(F291&gt;0))=0,"",(01_Parametres!$B$4*IF(D291&gt;0,D291,0)+01_Parametres!$B$5*IF(E291&gt;0,E291,0)+01_Parametres!$B$6*IF(F291&gt;0,F291,0))/(01_Parametres!$B$4*(D291&gt;0)+01_Parametres!$B$5*(E291&gt;0)+01_Parametres!$B$6*(F291&gt;0))),IF(01_Parametres!$B$8=0,"",(01_Parametres!$B$4*D291+01_Parametres!$B$5*E291+01_Parametres!$B$6*F291)/01_Parametres!$B$8)))</x:f>
      </x:c>
      <x:c r="H291">
        <x:f>IFERROR(VLOOKUP(C291,02_Referentiels!$A$20:$D$99,3,FALSE),"")</x:f>
      </x:c>
      <x:c r="I291">
        <x:f>IFERROR(VLOOKUP(B291,02_Referentiels!$A$5:$C$16,2,FALSE),"")</x:f>
      </x:c>
      <x:c r="J291">
        <x:f>IF(A291="","",IF(OR(D291="",E291="",F291=""),1,IF(OR(D291&lt;0,D291&gt;3,E291&lt;0,E291&gt;3,F291&lt;0,F291&gt;3),1,0)))</x:f>
      </x:c>
      <x:c r="K291">
        <x:f>IF(A291="","",IF(G291="",1,0))</x:f>
      </x:c>
      <x:c r="L291">
        <x:f>IF(A291="","",IF(COUNTIFS($A$5:$A$2004,A291,$C$5:$C$2004,C291)&gt;1,1,0))</x:f>
      </x:c>
    </x:row>
    <x:row r="292">
      <x:c r="A292" s="8" t="n"/>
      <x:c r="B292" s="8" t="n"/>
      <x:c r="C292" s="8" t="n"/>
      <x:c r="D292" s="8" t="n"/>
      <x:c r="E292" s="8" t="n"/>
      <x:c r="F292" s="8" t="n"/>
      <x:c r="G292" s="7">
        <x:f>IF(A292="","",IF(01_Parametres!$B$11="Oui",IF((01_Parametres!$B$4*(D292&gt;0)+01_Parametres!$B$5*(E292&gt;0)+01_Parametres!$B$6*(F292&gt;0))=0,"",(01_Parametres!$B$4*IF(D292&gt;0,D292,0)+01_Parametres!$B$5*IF(E292&gt;0,E292,0)+01_Parametres!$B$6*IF(F292&gt;0,F292,0))/(01_Parametres!$B$4*(D292&gt;0)+01_Parametres!$B$5*(E292&gt;0)+01_Parametres!$B$6*(F292&gt;0))),IF(01_Parametres!$B$8=0,"",(01_Parametres!$B$4*D292+01_Parametres!$B$5*E292+01_Parametres!$B$6*F292)/01_Parametres!$B$8)))</x:f>
      </x:c>
      <x:c r="H292">
        <x:f>IFERROR(VLOOKUP(C292,02_Referentiels!$A$20:$D$99,3,FALSE),"")</x:f>
      </x:c>
      <x:c r="I292">
        <x:f>IFERROR(VLOOKUP(B292,02_Referentiels!$A$5:$C$16,2,FALSE),"")</x:f>
      </x:c>
      <x:c r="J292">
        <x:f>IF(A292="","",IF(OR(D292="",E292="",F292=""),1,IF(OR(D292&lt;0,D292&gt;3,E292&lt;0,E292&gt;3,F292&lt;0,F292&gt;3),1,0)))</x:f>
      </x:c>
      <x:c r="K292">
        <x:f>IF(A292="","",IF(G292="",1,0))</x:f>
      </x:c>
      <x:c r="L292">
        <x:f>IF(A292="","",IF(COUNTIFS($A$5:$A$2004,A292,$C$5:$C$2004,C292)&gt;1,1,0))</x:f>
      </x:c>
    </x:row>
    <x:row r="293">
      <x:c r="A293" s="8" t="n"/>
      <x:c r="B293" s="8" t="n"/>
      <x:c r="C293" s="8" t="n"/>
      <x:c r="D293" s="8" t="n"/>
      <x:c r="E293" s="8" t="n"/>
      <x:c r="F293" s="8" t="n"/>
      <x:c r="G293" s="7">
        <x:f>IF(A293="","",IF(01_Parametres!$B$11="Oui",IF((01_Parametres!$B$4*(D293&gt;0)+01_Parametres!$B$5*(E293&gt;0)+01_Parametres!$B$6*(F293&gt;0))=0,"",(01_Parametres!$B$4*IF(D293&gt;0,D293,0)+01_Parametres!$B$5*IF(E293&gt;0,E293,0)+01_Parametres!$B$6*IF(F293&gt;0,F293,0))/(01_Parametres!$B$4*(D293&gt;0)+01_Parametres!$B$5*(E293&gt;0)+01_Parametres!$B$6*(F293&gt;0))),IF(01_Parametres!$B$8=0,"",(01_Parametres!$B$4*D293+01_Parametres!$B$5*E293+01_Parametres!$B$6*F293)/01_Parametres!$B$8)))</x:f>
      </x:c>
      <x:c r="H293">
        <x:f>IFERROR(VLOOKUP(C293,02_Referentiels!$A$20:$D$99,3,FALSE),"")</x:f>
      </x:c>
      <x:c r="I293">
        <x:f>IFERROR(VLOOKUP(B293,02_Referentiels!$A$5:$C$16,2,FALSE),"")</x:f>
      </x:c>
      <x:c r="J293">
        <x:f>IF(A293="","",IF(OR(D293="",E293="",F293=""),1,IF(OR(D293&lt;0,D293&gt;3,E293&lt;0,E293&gt;3,F293&lt;0,F293&gt;3),1,0)))</x:f>
      </x:c>
      <x:c r="K293">
        <x:f>IF(A293="","",IF(G293="",1,0))</x:f>
      </x:c>
      <x:c r="L293">
        <x:f>IF(A293="","",IF(COUNTIFS($A$5:$A$2004,A293,$C$5:$C$2004,C293)&gt;1,1,0))</x:f>
      </x:c>
    </x:row>
    <x:row r="294">
      <x:c r="A294" s="8" t="n"/>
      <x:c r="B294" s="8" t="n"/>
      <x:c r="C294" s="8" t="n"/>
      <x:c r="D294" s="8" t="n"/>
      <x:c r="E294" s="8" t="n"/>
      <x:c r="F294" s="8" t="n"/>
      <x:c r="G294" s="7">
        <x:f>IF(A294="","",IF(01_Parametres!$B$11="Oui",IF((01_Parametres!$B$4*(D294&gt;0)+01_Parametres!$B$5*(E294&gt;0)+01_Parametres!$B$6*(F294&gt;0))=0,"",(01_Parametres!$B$4*IF(D294&gt;0,D294,0)+01_Parametres!$B$5*IF(E294&gt;0,E294,0)+01_Parametres!$B$6*IF(F294&gt;0,F294,0))/(01_Parametres!$B$4*(D294&gt;0)+01_Parametres!$B$5*(E294&gt;0)+01_Parametres!$B$6*(F294&gt;0))),IF(01_Parametres!$B$8=0,"",(01_Parametres!$B$4*D294+01_Parametres!$B$5*E294+01_Parametres!$B$6*F294)/01_Parametres!$B$8)))</x:f>
      </x:c>
      <x:c r="H294">
        <x:f>IFERROR(VLOOKUP(C294,02_Referentiels!$A$20:$D$99,3,FALSE),"")</x:f>
      </x:c>
      <x:c r="I294">
        <x:f>IFERROR(VLOOKUP(B294,02_Referentiels!$A$5:$C$16,2,FALSE),"")</x:f>
      </x:c>
      <x:c r="J294">
        <x:f>IF(A294="","",IF(OR(D294="",E294="",F294=""),1,IF(OR(D294&lt;0,D294&gt;3,E294&lt;0,E294&gt;3,F294&lt;0,F294&gt;3),1,0)))</x:f>
      </x:c>
      <x:c r="K294">
        <x:f>IF(A294="","",IF(G294="",1,0))</x:f>
      </x:c>
      <x:c r="L294">
        <x:f>IF(A294="","",IF(COUNTIFS($A$5:$A$2004,A294,$C$5:$C$2004,C294)&gt;1,1,0))</x:f>
      </x:c>
    </x:row>
    <x:row r="295">
      <x:c r="A295" s="8" t="n"/>
      <x:c r="B295" s="8" t="n"/>
      <x:c r="C295" s="8" t="n"/>
      <x:c r="D295" s="8" t="n"/>
      <x:c r="E295" s="8" t="n"/>
      <x:c r="F295" s="8" t="n"/>
      <x:c r="G295" s="7">
        <x:f>IF(A295="","",IF(01_Parametres!$B$11="Oui",IF((01_Parametres!$B$4*(D295&gt;0)+01_Parametres!$B$5*(E295&gt;0)+01_Parametres!$B$6*(F295&gt;0))=0,"",(01_Parametres!$B$4*IF(D295&gt;0,D295,0)+01_Parametres!$B$5*IF(E295&gt;0,E295,0)+01_Parametres!$B$6*IF(F295&gt;0,F295,0))/(01_Parametres!$B$4*(D295&gt;0)+01_Parametres!$B$5*(E295&gt;0)+01_Parametres!$B$6*(F295&gt;0))),IF(01_Parametres!$B$8=0,"",(01_Parametres!$B$4*D295+01_Parametres!$B$5*E295+01_Parametres!$B$6*F295)/01_Parametres!$B$8)))</x:f>
      </x:c>
      <x:c r="H295">
        <x:f>IFERROR(VLOOKUP(C295,02_Referentiels!$A$20:$D$99,3,FALSE),"")</x:f>
      </x:c>
      <x:c r="I295">
        <x:f>IFERROR(VLOOKUP(B295,02_Referentiels!$A$5:$C$16,2,FALSE),"")</x:f>
      </x:c>
      <x:c r="J295">
        <x:f>IF(A295="","",IF(OR(D295="",E295="",F295=""),1,IF(OR(D295&lt;0,D295&gt;3,E295&lt;0,E295&gt;3,F295&lt;0,F295&gt;3),1,0)))</x:f>
      </x:c>
      <x:c r="K295">
        <x:f>IF(A295="","",IF(G295="",1,0))</x:f>
      </x:c>
      <x:c r="L295">
        <x:f>IF(A295="","",IF(COUNTIFS($A$5:$A$2004,A295,$C$5:$C$2004,C295)&gt;1,1,0))</x:f>
      </x:c>
    </x:row>
    <x:row r="296">
      <x:c r="A296" s="8" t="n"/>
      <x:c r="B296" s="8" t="n"/>
      <x:c r="C296" s="8" t="n"/>
      <x:c r="D296" s="8" t="n"/>
      <x:c r="E296" s="8" t="n"/>
      <x:c r="F296" s="8" t="n"/>
      <x:c r="G296" s="7">
        <x:f>IF(A296="","",IF(01_Parametres!$B$11="Oui",IF((01_Parametres!$B$4*(D296&gt;0)+01_Parametres!$B$5*(E296&gt;0)+01_Parametres!$B$6*(F296&gt;0))=0,"",(01_Parametres!$B$4*IF(D296&gt;0,D296,0)+01_Parametres!$B$5*IF(E296&gt;0,E296,0)+01_Parametres!$B$6*IF(F296&gt;0,F296,0))/(01_Parametres!$B$4*(D296&gt;0)+01_Parametres!$B$5*(E296&gt;0)+01_Parametres!$B$6*(F296&gt;0))),IF(01_Parametres!$B$8=0,"",(01_Parametres!$B$4*D296+01_Parametres!$B$5*E296+01_Parametres!$B$6*F296)/01_Parametres!$B$8)))</x:f>
      </x:c>
      <x:c r="H296">
        <x:f>IFERROR(VLOOKUP(C296,02_Referentiels!$A$20:$D$99,3,FALSE),"")</x:f>
      </x:c>
      <x:c r="I296">
        <x:f>IFERROR(VLOOKUP(B296,02_Referentiels!$A$5:$C$16,2,FALSE),"")</x:f>
      </x:c>
      <x:c r="J296">
        <x:f>IF(A296="","",IF(OR(D296="",E296="",F296=""),1,IF(OR(D296&lt;0,D296&gt;3,E296&lt;0,E296&gt;3,F296&lt;0,F296&gt;3),1,0)))</x:f>
      </x:c>
      <x:c r="K296">
        <x:f>IF(A296="","",IF(G296="",1,0))</x:f>
      </x:c>
      <x:c r="L296">
        <x:f>IF(A296="","",IF(COUNTIFS($A$5:$A$2004,A296,$C$5:$C$2004,C296)&gt;1,1,0))</x:f>
      </x:c>
    </x:row>
    <x:row r="297">
      <x:c r="A297" s="8" t="n"/>
      <x:c r="B297" s="8" t="n"/>
      <x:c r="C297" s="8" t="n"/>
      <x:c r="D297" s="8" t="n"/>
      <x:c r="E297" s="8" t="n"/>
      <x:c r="F297" s="8" t="n"/>
      <x:c r="G297" s="7">
        <x:f>IF(A297="","",IF(01_Parametres!$B$11="Oui",IF((01_Parametres!$B$4*(D297&gt;0)+01_Parametres!$B$5*(E297&gt;0)+01_Parametres!$B$6*(F297&gt;0))=0,"",(01_Parametres!$B$4*IF(D297&gt;0,D297,0)+01_Parametres!$B$5*IF(E297&gt;0,E297,0)+01_Parametres!$B$6*IF(F297&gt;0,F297,0))/(01_Parametres!$B$4*(D297&gt;0)+01_Parametres!$B$5*(E297&gt;0)+01_Parametres!$B$6*(F297&gt;0))),IF(01_Parametres!$B$8=0,"",(01_Parametres!$B$4*D297+01_Parametres!$B$5*E297+01_Parametres!$B$6*F297)/01_Parametres!$B$8)))</x:f>
      </x:c>
      <x:c r="H297">
        <x:f>IFERROR(VLOOKUP(C297,02_Referentiels!$A$20:$D$99,3,FALSE),"")</x:f>
      </x:c>
      <x:c r="I297">
        <x:f>IFERROR(VLOOKUP(B297,02_Referentiels!$A$5:$C$16,2,FALSE),"")</x:f>
      </x:c>
      <x:c r="J297">
        <x:f>IF(A297="","",IF(OR(D297="",E297="",F297=""),1,IF(OR(D297&lt;0,D297&gt;3,E297&lt;0,E297&gt;3,F297&lt;0,F297&gt;3),1,0)))</x:f>
      </x:c>
      <x:c r="K297">
        <x:f>IF(A297="","",IF(G297="",1,0))</x:f>
      </x:c>
      <x:c r="L297">
        <x:f>IF(A297="","",IF(COUNTIFS($A$5:$A$2004,A297,$C$5:$C$2004,C297)&gt;1,1,0))</x:f>
      </x:c>
    </x:row>
    <x:row r="298">
      <x:c r="A298" s="8" t="n"/>
      <x:c r="B298" s="8" t="n"/>
      <x:c r="C298" s="8" t="n"/>
      <x:c r="D298" s="8" t="n"/>
      <x:c r="E298" s="8" t="n"/>
      <x:c r="F298" s="8" t="n"/>
      <x:c r="G298" s="7">
        <x:f>IF(A298="","",IF(01_Parametres!$B$11="Oui",IF((01_Parametres!$B$4*(D298&gt;0)+01_Parametres!$B$5*(E298&gt;0)+01_Parametres!$B$6*(F298&gt;0))=0,"",(01_Parametres!$B$4*IF(D298&gt;0,D298,0)+01_Parametres!$B$5*IF(E298&gt;0,E298,0)+01_Parametres!$B$6*IF(F298&gt;0,F298,0))/(01_Parametres!$B$4*(D298&gt;0)+01_Parametres!$B$5*(E298&gt;0)+01_Parametres!$B$6*(F298&gt;0))),IF(01_Parametres!$B$8=0,"",(01_Parametres!$B$4*D298+01_Parametres!$B$5*E298+01_Parametres!$B$6*F298)/01_Parametres!$B$8)))</x:f>
      </x:c>
      <x:c r="H298">
        <x:f>IFERROR(VLOOKUP(C298,02_Referentiels!$A$20:$D$99,3,FALSE),"")</x:f>
      </x:c>
      <x:c r="I298">
        <x:f>IFERROR(VLOOKUP(B298,02_Referentiels!$A$5:$C$16,2,FALSE),"")</x:f>
      </x:c>
      <x:c r="J298">
        <x:f>IF(A298="","",IF(OR(D298="",E298="",F298=""),1,IF(OR(D298&lt;0,D298&gt;3,E298&lt;0,E298&gt;3,F298&lt;0,F298&gt;3),1,0)))</x:f>
      </x:c>
      <x:c r="K298">
        <x:f>IF(A298="","",IF(G298="",1,0))</x:f>
      </x:c>
      <x:c r="L298">
        <x:f>IF(A298="","",IF(COUNTIFS($A$5:$A$2004,A298,$C$5:$C$2004,C298)&gt;1,1,0))</x:f>
      </x:c>
    </x:row>
    <x:row r="299">
      <x:c r="A299" s="8" t="n"/>
      <x:c r="B299" s="8" t="n"/>
      <x:c r="C299" s="8" t="n"/>
      <x:c r="D299" s="8" t="n"/>
      <x:c r="E299" s="8" t="n"/>
      <x:c r="F299" s="8" t="n"/>
      <x:c r="G299" s="7">
        <x:f>IF(A299="","",IF(01_Parametres!$B$11="Oui",IF((01_Parametres!$B$4*(D299&gt;0)+01_Parametres!$B$5*(E299&gt;0)+01_Parametres!$B$6*(F299&gt;0))=0,"",(01_Parametres!$B$4*IF(D299&gt;0,D299,0)+01_Parametres!$B$5*IF(E299&gt;0,E299,0)+01_Parametres!$B$6*IF(F299&gt;0,F299,0))/(01_Parametres!$B$4*(D299&gt;0)+01_Parametres!$B$5*(E299&gt;0)+01_Parametres!$B$6*(F299&gt;0))),IF(01_Parametres!$B$8=0,"",(01_Parametres!$B$4*D299+01_Parametres!$B$5*E299+01_Parametres!$B$6*F299)/01_Parametres!$B$8)))</x:f>
      </x:c>
      <x:c r="H299">
        <x:f>IFERROR(VLOOKUP(C299,02_Referentiels!$A$20:$D$99,3,FALSE),"")</x:f>
      </x:c>
      <x:c r="I299">
        <x:f>IFERROR(VLOOKUP(B299,02_Referentiels!$A$5:$C$16,2,FALSE),"")</x:f>
      </x:c>
      <x:c r="J299">
        <x:f>IF(A299="","",IF(OR(D299="",E299="",F299=""),1,IF(OR(D299&lt;0,D299&gt;3,E299&lt;0,E299&gt;3,F299&lt;0,F299&gt;3),1,0)))</x:f>
      </x:c>
      <x:c r="K299">
        <x:f>IF(A299="","",IF(G299="",1,0))</x:f>
      </x:c>
      <x:c r="L299">
        <x:f>IF(A299="","",IF(COUNTIFS($A$5:$A$2004,A299,$C$5:$C$2004,C299)&gt;1,1,0))</x:f>
      </x:c>
    </x:row>
    <x:row r="300">
      <x:c r="A300" s="8" t="n"/>
      <x:c r="B300" s="8" t="n"/>
      <x:c r="C300" s="8" t="n"/>
      <x:c r="D300" s="8" t="n"/>
      <x:c r="E300" s="8" t="n"/>
      <x:c r="F300" s="8" t="n"/>
      <x:c r="G300" s="7">
        <x:f>IF(A300="","",IF(01_Parametres!$B$11="Oui",IF((01_Parametres!$B$4*(D300&gt;0)+01_Parametres!$B$5*(E300&gt;0)+01_Parametres!$B$6*(F300&gt;0))=0,"",(01_Parametres!$B$4*IF(D300&gt;0,D300,0)+01_Parametres!$B$5*IF(E300&gt;0,E300,0)+01_Parametres!$B$6*IF(F300&gt;0,F300,0))/(01_Parametres!$B$4*(D300&gt;0)+01_Parametres!$B$5*(E300&gt;0)+01_Parametres!$B$6*(F300&gt;0))),IF(01_Parametres!$B$8=0,"",(01_Parametres!$B$4*D300+01_Parametres!$B$5*E300+01_Parametres!$B$6*F300)/01_Parametres!$B$8)))</x:f>
      </x:c>
      <x:c r="H300">
        <x:f>IFERROR(VLOOKUP(C300,02_Referentiels!$A$20:$D$99,3,FALSE),"")</x:f>
      </x:c>
      <x:c r="I300">
        <x:f>IFERROR(VLOOKUP(B300,02_Referentiels!$A$5:$C$16,2,FALSE),"")</x:f>
      </x:c>
      <x:c r="J300">
        <x:f>IF(A300="","",IF(OR(D300="",E300="",F300=""),1,IF(OR(D300&lt;0,D300&gt;3,E300&lt;0,E300&gt;3,F300&lt;0,F300&gt;3),1,0)))</x:f>
      </x:c>
      <x:c r="K300">
        <x:f>IF(A300="","",IF(G300="",1,0))</x:f>
      </x:c>
      <x:c r="L300">
        <x:f>IF(A300="","",IF(COUNTIFS($A$5:$A$2004,A300,$C$5:$C$2004,C300)&gt;1,1,0))</x:f>
      </x:c>
    </x:row>
    <x:row r="301">
      <x:c r="A301" s="8" t="n"/>
      <x:c r="B301" s="8" t="n"/>
      <x:c r="C301" s="8" t="n"/>
      <x:c r="D301" s="8" t="n"/>
      <x:c r="E301" s="8" t="n"/>
      <x:c r="F301" s="8" t="n"/>
      <x:c r="G301" s="7">
        <x:f>IF(A301="","",IF(01_Parametres!$B$11="Oui",IF((01_Parametres!$B$4*(D301&gt;0)+01_Parametres!$B$5*(E301&gt;0)+01_Parametres!$B$6*(F301&gt;0))=0,"",(01_Parametres!$B$4*IF(D301&gt;0,D301,0)+01_Parametres!$B$5*IF(E301&gt;0,E301,0)+01_Parametres!$B$6*IF(F301&gt;0,F301,0))/(01_Parametres!$B$4*(D301&gt;0)+01_Parametres!$B$5*(E301&gt;0)+01_Parametres!$B$6*(F301&gt;0))),IF(01_Parametres!$B$8=0,"",(01_Parametres!$B$4*D301+01_Parametres!$B$5*E301+01_Parametres!$B$6*F301)/01_Parametres!$B$8)))</x:f>
      </x:c>
      <x:c r="H301">
        <x:f>IFERROR(VLOOKUP(C301,02_Referentiels!$A$20:$D$99,3,FALSE),"")</x:f>
      </x:c>
      <x:c r="I301">
        <x:f>IFERROR(VLOOKUP(B301,02_Referentiels!$A$5:$C$16,2,FALSE),"")</x:f>
      </x:c>
      <x:c r="J301">
        <x:f>IF(A301="","",IF(OR(D301="",E301="",F301=""),1,IF(OR(D301&lt;0,D301&gt;3,E301&lt;0,E301&gt;3,F301&lt;0,F301&gt;3),1,0)))</x:f>
      </x:c>
      <x:c r="K301">
        <x:f>IF(A301="","",IF(G301="",1,0))</x:f>
      </x:c>
      <x:c r="L301">
        <x:f>IF(A301="","",IF(COUNTIFS($A$5:$A$2004,A301,$C$5:$C$2004,C301)&gt;1,1,0))</x:f>
      </x:c>
    </x:row>
    <x:row r="302">
      <x:c r="A302" s="8" t="n"/>
      <x:c r="B302" s="8" t="n"/>
      <x:c r="C302" s="8" t="n"/>
      <x:c r="D302" s="8" t="n"/>
      <x:c r="E302" s="8" t="n"/>
      <x:c r="F302" s="8" t="n"/>
      <x:c r="G302" s="7">
        <x:f>IF(A302="","",IF(01_Parametres!$B$11="Oui",IF((01_Parametres!$B$4*(D302&gt;0)+01_Parametres!$B$5*(E302&gt;0)+01_Parametres!$B$6*(F302&gt;0))=0,"",(01_Parametres!$B$4*IF(D302&gt;0,D302,0)+01_Parametres!$B$5*IF(E302&gt;0,E302,0)+01_Parametres!$B$6*IF(F302&gt;0,F302,0))/(01_Parametres!$B$4*(D302&gt;0)+01_Parametres!$B$5*(E302&gt;0)+01_Parametres!$B$6*(F302&gt;0))),IF(01_Parametres!$B$8=0,"",(01_Parametres!$B$4*D302+01_Parametres!$B$5*E302+01_Parametres!$B$6*F302)/01_Parametres!$B$8)))</x:f>
      </x:c>
      <x:c r="H302">
        <x:f>IFERROR(VLOOKUP(C302,02_Referentiels!$A$20:$D$99,3,FALSE),"")</x:f>
      </x:c>
      <x:c r="I302">
        <x:f>IFERROR(VLOOKUP(B302,02_Referentiels!$A$5:$C$16,2,FALSE),"")</x:f>
      </x:c>
      <x:c r="J302">
        <x:f>IF(A302="","",IF(OR(D302="",E302="",F302=""),1,IF(OR(D302&lt;0,D302&gt;3,E302&lt;0,E302&gt;3,F302&lt;0,F302&gt;3),1,0)))</x:f>
      </x:c>
      <x:c r="K302">
        <x:f>IF(A302="","",IF(G302="",1,0))</x:f>
      </x:c>
      <x:c r="L302">
        <x:f>IF(A302="","",IF(COUNTIFS($A$5:$A$2004,A302,$C$5:$C$2004,C302)&gt;1,1,0))</x:f>
      </x:c>
    </x:row>
    <x:row r="303">
      <x:c r="A303" s="8" t="n"/>
      <x:c r="B303" s="8" t="n"/>
      <x:c r="C303" s="8" t="n"/>
      <x:c r="D303" s="8" t="n"/>
      <x:c r="E303" s="8" t="n"/>
      <x:c r="F303" s="8" t="n"/>
      <x:c r="G303" s="7">
        <x:f>IF(A303="","",IF(01_Parametres!$B$11="Oui",IF((01_Parametres!$B$4*(D303&gt;0)+01_Parametres!$B$5*(E303&gt;0)+01_Parametres!$B$6*(F303&gt;0))=0,"",(01_Parametres!$B$4*IF(D303&gt;0,D303,0)+01_Parametres!$B$5*IF(E303&gt;0,E303,0)+01_Parametres!$B$6*IF(F303&gt;0,F303,0))/(01_Parametres!$B$4*(D303&gt;0)+01_Parametres!$B$5*(E303&gt;0)+01_Parametres!$B$6*(F303&gt;0))),IF(01_Parametres!$B$8=0,"",(01_Parametres!$B$4*D303+01_Parametres!$B$5*E303+01_Parametres!$B$6*F303)/01_Parametres!$B$8)))</x:f>
      </x:c>
      <x:c r="H303">
        <x:f>IFERROR(VLOOKUP(C303,02_Referentiels!$A$20:$D$99,3,FALSE),"")</x:f>
      </x:c>
      <x:c r="I303">
        <x:f>IFERROR(VLOOKUP(B303,02_Referentiels!$A$5:$C$16,2,FALSE),"")</x:f>
      </x:c>
      <x:c r="J303">
        <x:f>IF(A303="","",IF(OR(D303="",E303="",F303=""),1,IF(OR(D303&lt;0,D303&gt;3,E303&lt;0,E303&gt;3,F303&lt;0,F303&gt;3),1,0)))</x:f>
      </x:c>
      <x:c r="K303">
        <x:f>IF(A303="","",IF(G303="",1,0))</x:f>
      </x:c>
      <x:c r="L303">
        <x:f>IF(A303="","",IF(COUNTIFS($A$5:$A$2004,A303,$C$5:$C$2004,C303)&gt;1,1,0))</x:f>
      </x:c>
    </x:row>
    <x:row r="304">
      <x:c r="A304" s="8" t="n"/>
      <x:c r="B304" s="8" t="n"/>
      <x:c r="C304" s="8" t="n"/>
      <x:c r="D304" s="8" t="n"/>
      <x:c r="E304" s="8" t="n"/>
      <x:c r="F304" s="8" t="n"/>
      <x:c r="G304" s="7">
        <x:f>IF(A304="","",IF(01_Parametres!$B$11="Oui",IF((01_Parametres!$B$4*(D304&gt;0)+01_Parametres!$B$5*(E304&gt;0)+01_Parametres!$B$6*(F304&gt;0))=0,"",(01_Parametres!$B$4*IF(D304&gt;0,D304,0)+01_Parametres!$B$5*IF(E304&gt;0,E304,0)+01_Parametres!$B$6*IF(F304&gt;0,F304,0))/(01_Parametres!$B$4*(D304&gt;0)+01_Parametres!$B$5*(E304&gt;0)+01_Parametres!$B$6*(F304&gt;0))),IF(01_Parametres!$B$8=0,"",(01_Parametres!$B$4*D304+01_Parametres!$B$5*E304+01_Parametres!$B$6*F304)/01_Parametres!$B$8)))</x:f>
      </x:c>
      <x:c r="H304">
        <x:f>IFERROR(VLOOKUP(C304,02_Referentiels!$A$20:$D$99,3,FALSE),"")</x:f>
      </x:c>
      <x:c r="I304">
        <x:f>IFERROR(VLOOKUP(B304,02_Referentiels!$A$5:$C$16,2,FALSE),"")</x:f>
      </x:c>
      <x:c r="J304">
        <x:f>IF(A304="","",IF(OR(D304="",E304="",F304=""),1,IF(OR(D304&lt;0,D304&gt;3,E304&lt;0,E304&gt;3,F304&lt;0,F304&gt;3),1,0)))</x:f>
      </x:c>
      <x:c r="K304">
        <x:f>IF(A304="","",IF(G304="",1,0))</x:f>
      </x:c>
      <x:c r="L304">
        <x:f>IF(A304="","",IF(COUNTIFS($A$5:$A$2004,A304,$C$5:$C$2004,C304)&gt;1,1,0))</x:f>
      </x:c>
    </x:row>
    <x:row r="305">
      <x:c r="A305" s="8" t="n"/>
      <x:c r="B305" s="8" t="n"/>
      <x:c r="C305" s="8" t="n"/>
      <x:c r="D305" s="8" t="n"/>
      <x:c r="E305" s="8" t="n"/>
      <x:c r="F305" s="8" t="n"/>
      <x:c r="G305" s="7">
        <x:f>IF(A305="","",IF(01_Parametres!$B$11="Oui",IF((01_Parametres!$B$4*(D305&gt;0)+01_Parametres!$B$5*(E305&gt;0)+01_Parametres!$B$6*(F305&gt;0))=0,"",(01_Parametres!$B$4*IF(D305&gt;0,D305,0)+01_Parametres!$B$5*IF(E305&gt;0,E305,0)+01_Parametres!$B$6*IF(F305&gt;0,F305,0))/(01_Parametres!$B$4*(D305&gt;0)+01_Parametres!$B$5*(E305&gt;0)+01_Parametres!$B$6*(F305&gt;0))),IF(01_Parametres!$B$8=0,"",(01_Parametres!$B$4*D305+01_Parametres!$B$5*E305+01_Parametres!$B$6*F305)/01_Parametres!$B$8)))</x:f>
      </x:c>
      <x:c r="H305">
        <x:f>IFERROR(VLOOKUP(C305,02_Referentiels!$A$20:$D$99,3,FALSE),"")</x:f>
      </x:c>
      <x:c r="I305">
        <x:f>IFERROR(VLOOKUP(B305,02_Referentiels!$A$5:$C$16,2,FALSE),"")</x:f>
      </x:c>
      <x:c r="J305">
        <x:f>IF(A305="","",IF(OR(D305="",E305="",F305=""),1,IF(OR(D305&lt;0,D305&gt;3,E305&lt;0,E305&gt;3,F305&lt;0,F305&gt;3),1,0)))</x:f>
      </x:c>
      <x:c r="K305">
        <x:f>IF(A305="","",IF(G305="",1,0))</x:f>
      </x:c>
      <x:c r="L305">
        <x:f>IF(A305="","",IF(COUNTIFS($A$5:$A$2004,A305,$C$5:$C$2004,C305)&gt;1,1,0))</x:f>
      </x:c>
    </x:row>
    <x:row r="306">
      <x:c r="A306" s="8" t="n"/>
      <x:c r="B306" s="8" t="n"/>
      <x:c r="C306" s="8" t="n"/>
      <x:c r="D306" s="8" t="n"/>
      <x:c r="E306" s="8" t="n"/>
      <x:c r="F306" s="8" t="n"/>
      <x:c r="G306" s="7">
        <x:f>IF(A306="","",IF(01_Parametres!$B$11="Oui",IF((01_Parametres!$B$4*(D306&gt;0)+01_Parametres!$B$5*(E306&gt;0)+01_Parametres!$B$6*(F306&gt;0))=0,"",(01_Parametres!$B$4*IF(D306&gt;0,D306,0)+01_Parametres!$B$5*IF(E306&gt;0,E306,0)+01_Parametres!$B$6*IF(F306&gt;0,F306,0))/(01_Parametres!$B$4*(D306&gt;0)+01_Parametres!$B$5*(E306&gt;0)+01_Parametres!$B$6*(F306&gt;0))),IF(01_Parametres!$B$8=0,"",(01_Parametres!$B$4*D306+01_Parametres!$B$5*E306+01_Parametres!$B$6*F306)/01_Parametres!$B$8)))</x:f>
      </x:c>
      <x:c r="H306">
        <x:f>IFERROR(VLOOKUP(C306,02_Referentiels!$A$20:$D$99,3,FALSE),"")</x:f>
      </x:c>
      <x:c r="I306">
        <x:f>IFERROR(VLOOKUP(B306,02_Referentiels!$A$5:$C$16,2,FALSE),"")</x:f>
      </x:c>
      <x:c r="J306">
        <x:f>IF(A306="","",IF(OR(D306="",E306="",F306=""),1,IF(OR(D306&lt;0,D306&gt;3,E306&lt;0,E306&gt;3,F306&lt;0,F306&gt;3),1,0)))</x:f>
      </x:c>
      <x:c r="K306">
        <x:f>IF(A306="","",IF(G306="",1,0))</x:f>
      </x:c>
      <x:c r="L306">
        <x:f>IF(A306="","",IF(COUNTIFS($A$5:$A$2004,A306,$C$5:$C$2004,C306)&gt;1,1,0))</x:f>
      </x:c>
    </x:row>
    <x:row r="307">
      <x:c r="A307" s="8" t="n"/>
      <x:c r="B307" s="8" t="n"/>
      <x:c r="C307" s="8" t="n"/>
      <x:c r="D307" s="8" t="n"/>
      <x:c r="E307" s="8" t="n"/>
      <x:c r="F307" s="8" t="n"/>
      <x:c r="G307" s="7">
        <x:f>IF(A307="","",IF(01_Parametres!$B$11="Oui",IF((01_Parametres!$B$4*(D307&gt;0)+01_Parametres!$B$5*(E307&gt;0)+01_Parametres!$B$6*(F307&gt;0))=0,"",(01_Parametres!$B$4*IF(D307&gt;0,D307,0)+01_Parametres!$B$5*IF(E307&gt;0,E307,0)+01_Parametres!$B$6*IF(F307&gt;0,F307,0))/(01_Parametres!$B$4*(D307&gt;0)+01_Parametres!$B$5*(E307&gt;0)+01_Parametres!$B$6*(F307&gt;0))),IF(01_Parametres!$B$8=0,"",(01_Parametres!$B$4*D307+01_Parametres!$B$5*E307+01_Parametres!$B$6*F307)/01_Parametres!$B$8)))</x:f>
      </x:c>
      <x:c r="H307">
        <x:f>IFERROR(VLOOKUP(C307,02_Referentiels!$A$20:$D$99,3,FALSE),"")</x:f>
      </x:c>
      <x:c r="I307">
        <x:f>IFERROR(VLOOKUP(B307,02_Referentiels!$A$5:$C$16,2,FALSE),"")</x:f>
      </x:c>
      <x:c r="J307">
        <x:f>IF(A307="","",IF(OR(D307="",E307="",F307=""),1,IF(OR(D307&lt;0,D307&gt;3,E307&lt;0,E307&gt;3,F307&lt;0,F307&gt;3),1,0)))</x:f>
      </x:c>
      <x:c r="K307">
        <x:f>IF(A307="","",IF(G307="",1,0))</x:f>
      </x:c>
      <x:c r="L307">
        <x:f>IF(A307="","",IF(COUNTIFS($A$5:$A$2004,A307,$C$5:$C$2004,C307)&gt;1,1,0))</x:f>
      </x:c>
    </x:row>
    <x:row r="308">
      <x:c r="A308" s="8" t="n"/>
      <x:c r="B308" s="8" t="n"/>
      <x:c r="C308" s="8" t="n"/>
      <x:c r="D308" s="8" t="n"/>
      <x:c r="E308" s="8" t="n"/>
      <x:c r="F308" s="8" t="n"/>
      <x:c r="G308" s="7">
        <x:f>IF(A308="","",IF(01_Parametres!$B$11="Oui",IF((01_Parametres!$B$4*(D308&gt;0)+01_Parametres!$B$5*(E308&gt;0)+01_Parametres!$B$6*(F308&gt;0))=0,"",(01_Parametres!$B$4*IF(D308&gt;0,D308,0)+01_Parametres!$B$5*IF(E308&gt;0,E308,0)+01_Parametres!$B$6*IF(F308&gt;0,F308,0))/(01_Parametres!$B$4*(D308&gt;0)+01_Parametres!$B$5*(E308&gt;0)+01_Parametres!$B$6*(F308&gt;0))),IF(01_Parametres!$B$8=0,"",(01_Parametres!$B$4*D308+01_Parametres!$B$5*E308+01_Parametres!$B$6*F308)/01_Parametres!$B$8)))</x:f>
      </x:c>
      <x:c r="H308">
        <x:f>IFERROR(VLOOKUP(C308,02_Referentiels!$A$20:$D$99,3,FALSE),"")</x:f>
      </x:c>
      <x:c r="I308">
        <x:f>IFERROR(VLOOKUP(B308,02_Referentiels!$A$5:$C$16,2,FALSE),"")</x:f>
      </x:c>
      <x:c r="J308">
        <x:f>IF(A308="","",IF(OR(D308="",E308="",F308=""),1,IF(OR(D308&lt;0,D308&gt;3,E308&lt;0,E308&gt;3,F308&lt;0,F308&gt;3),1,0)))</x:f>
      </x:c>
      <x:c r="K308">
        <x:f>IF(A308="","",IF(G308="",1,0))</x:f>
      </x:c>
      <x:c r="L308">
        <x:f>IF(A308="","",IF(COUNTIFS($A$5:$A$2004,A308,$C$5:$C$2004,C308)&gt;1,1,0))</x:f>
      </x:c>
    </x:row>
    <x:row r="309">
      <x:c r="A309" s="8" t="n"/>
      <x:c r="B309" s="8" t="n"/>
      <x:c r="C309" s="8" t="n"/>
      <x:c r="D309" s="8" t="n"/>
      <x:c r="E309" s="8" t="n"/>
      <x:c r="F309" s="8" t="n"/>
      <x:c r="G309" s="7">
        <x:f>IF(A309="","",IF(01_Parametres!$B$11="Oui",IF((01_Parametres!$B$4*(D309&gt;0)+01_Parametres!$B$5*(E309&gt;0)+01_Parametres!$B$6*(F309&gt;0))=0,"",(01_Parametres!$B$4*IF(D309&gt;0,D309,0)+01_Parametres!$B$5*IF(E309&gt;0,E309,0)+01_Parametres!$B$6*IF(F309&gt;0,F309,0))/(01_Parametres!$B$4*(D309&gt;0)+01_Parametres!$B$5*(E309&gt;0)+01_Parametres!$B$6*(F309&gt;0))),IF(01_Parametres!$B$8=0,"",(01_Parametres!$B$4*D309+01_Parametres!$B$5*E309+01_Parametres!$B$6*F309)/01_Parametres!$B$8)))</x:f>
      </x:c>
      <x:c r="H309">
        <x:f>IFERROR(VLOOKUP(C309,02_Referentiels!$A$20:$D$99,3,FALSE),"")</x:f>
      </x:c>
      <x:c r="I309">
        <x:f>IFERROR(VLOOKUP(B309,02_Referentiels!$A$5:$C$16,2,FALSE),"")</x:f>
      </x:c>
      <x:c r="J309">
        <x:f>IF(A309="","",IF(OR(D309="",E309="",F309=""),1,IF(OR(D309&lt;0,D309&gt;3,E309&lt;0,E309&gt;3,F309&lt;0,F309&gt;3),1,0)))</x:f>
      </x:c>
      <x:c r="K309">
        <x:f>IF(A309="","",IF(G309="",1,0))</x:f>
      </x:c>
      <x:c r="L309">
        <x:f>IF(A309="","",IF(COUNTIFS($A$5:$A$2004,A309,$C$5:$C$2004,C309)&gt;1,1,0))</x:f>
      </x:c>
    </x:row>
    <x:row r="310">
      <x:c r="A310" s="8" t="n"/>
      <x:c r="B310" s="8" t="n"/>
      <x:c r="C310" s="8" t="n"/>
      <x:c r="D310" s="8" t="n"/>
      <x:c r="E310" s="8" t="n"/>
      <x:c r="F310" s="8" t="n"/>
      <x:c r="G310" s="7">
        <x:f>IF(A310="","",IF(01_Parametres!$B$11="Oui",IF((01_Parametres!$B$4*(D310&gt;0)+01_Parametres!$B$5*(E310&gt;0)+01_Parametres!$B$6*(F310&gt;0))=0,"",(01_Parametres!$B$4*IF(D310&gt;0,D310,0)+01_Parametres!$B$5*IF(E310&gt;0,E310,0)+01_Parametres!$B$6*IF(F310&gt;0,F310,0))/(01_Parametres!$B$4*(D310&gt;0)+01_Parametres!$B$5*(E310&gt;0)+01_Parametres!$B$6*(F310&gt;0))),IF(01_Parametres!$B$8=0,"",(01_Parametres!$B$4*D310+01_Parametres!$B$5*E310+01_Parametres!$B$6*F310)/01_Parametres!$B$8)))</x:f>
      </x:c>
      <x:c r="H310">
        <x:f>IFERROR(VLOOKUP(C310,02_Referentiels!$A$20:$D$99,3,FALSE),"")</x:f>
      </x:c>
      <x:c r="I310">
        <x:f>IFERROR(VLOOKUP(B310,02_Referentiels!$A$5:$C$16,2,FALSE),"")</x:f>
      </x:c>
      <x:c r="J310">
        <x:f>IF(A310="","",IF(OR(D310="",E310="",F310=""),1,IF(OR(D310&lt;0,D310&gt;3,E310&lt;0,E310&gt;3,F310&lt;0,F310&gt;3),1,0)))</x:f>
      </x:c>
      <x:c r="K310">
        <x:f>IF(A310="","",IF(G310="",1,0))</x:f>
      </x:c>
      <x:c r="L310">
        <x:f>IF(A310="","",IF(COUNTIFS($A$5:$A$2004,A310,$C$5:$C$2004,C310)&gt;1,1,0))</x:f>
      </x:c>
    </x:row>
    <x:row r="311">
      <x:c r="A311" s="8" t="n"/>
      <x:c r="B311" s="8" t="n"/>
      <x:c r="C311" s="8" t="n"/>
      <x:c r="D311" s="8" t="n"/>
      <x:c r="E311" s="8" t="n"/>
      <x:c r="F311" s="8" t="n"/>
      <x:c r="G311" s="7">
        <x:f>IF(A311="","",IF(01_Parametres!$B$11="Oui",IF((01_Parametres!$B$4*(D311&gt;0)+01_Parametres!$B$5*(E311&gt;0)+01_Parametres!$B$6*(F311&gt;0))=0,"",(01_Parametres!$B$4*IF(D311&gt;0,D311,0)+01_Parametres!$B$5*IF(E311&gt;0,E311,0)+01_Parametres!$B$6*IF(F311&gt;0,F311,0))/(01_Parametres!$B$4*(D311&gt;0)+01_Parametres!$B$5*(E311&gt;0)+01_Parametres!$B$6*(F311&gt;0))),IF(01_Parametres!$B$8=0,"",(01_Parametres!$B$4*D311+01_Parametres!$B$5*E311+01_Parametres!$B$6*F311)/01_Parametres!$B$8)))</x:f>
      </x:c>
      <x:c r="H311">
        <x:f>IFERROR(VLOOKUP(C311,02_Referentiels!$A$20:$D$99,3,FALSE),"")</x:f>
      </x:c>
      <x:c r="I311">
        <x:f>IFERROR(VLOOKUP(B311,02_Referentiels!$A$5:$C$16,2,FALSE),"")</x:f>
      </x:c>
      <x:c r="J311">
        <x:f>IF(A311="","",IF(OR(D311="",E311="",F311=""),1,IF(OR(D311&lt;0,D311&gt;3,E311&lt;0,E311&gt;3,F311&lt;0,F311&gt;3),1,0)))</x:f>
      </x:c>
      <x:c r="K311">
        <x:f>IF(A311="","",IF(G311="",1,0))</x:f>
      </x:c>
      <x:c r="L311">
        <x:f>IF(A311="","",IF(COUNTIFS($A$5:$A$2004,A311,$C$5:$C$2004,C311)&gt;1,1,0))</x:f>
      </x:c>
    </x:row>
    <x:row r="312">
      <x:c r="A312" s="8" t="n"/>
      <x:c r="B312" s="8" t="n"/>
      <x:c r="C312" s="8" t="n"/>
      <x:c r="D312" s="8" t="n"/>
      <x:c r="E312" s="8" t="n"/>
      <x:c r="F312" s="8" t="n"/>
      <x:c r="G312" s="7">
        <x:f>IF(A312="","",IF(01_Parametres!$B$11="Oui",IF((01_Parametres!$B$4*(D312&gt;0)+01_Parametres!$B$5*(E312&gt;0)+01_Parametres!$B$6*(F312&gt;0))=0,"",(01_Parametres!$B$4*IF(D312&gt;0,D312,0)+01_Parametres!$B$5*IF(E312&gt;0,E312,0)+01_Parametres!$B$6*IF(F312&gt;0,F312,0))/(01_Parametres!$B$4*(D312&gt;0)+01_Parametres!$B$5*(E312&gt;0)+01_Parametres!$B$6*(F312&gt;0))),IF(01_Parametres!$B$8=0,"",(01_Parametres!$B$4*D312+01_Parametres!$B$5*E312+01_Parametres!$B$6*F312)/01_Parametres!$B$8)))</x:f>
      </x:c>
      <x:c r="H312">
        <x:f>IFERROR(VLOOKUP(C312,02_Referentiels!$A$20:$D$99,3,FALSE),"")</x:f>
      </x:c>
      <x:c r="I312">
        <x:f>IFERROR(VLOOKUP(B312,02_Referentiels!$A$5:$C$16,2,FALSE),"")</x:f>
      </x:c>
      <x:c r="J312">
        <x:f>IF(A312="","",IF(OR(D312="",E312="",F312=""),1,IF(OR(D312&lt;0,D312&gt;3,E312&lt;0,E312&gt;3,F312&lt;0,F312&gt;3),1,0)))</x:f>
      </x:c>
      <x:c r="K312">
        <x:f>IF(A312="","",IF(G312="",1,0))</x:f>
      </x:c>
      <x:c r="L312">
        <x:f>IF(A312="","",IF(COUNTIFS($A$5:$A$2004,A312,$C$5:$C$2004,C312)&gt;1,1,0))</x:f>
      </x:c>
    </x:row>
    <x:row r="313">
      <x:c r="A313" s="8" t="n"/>
      <x:c r="B313" s="8" t="n"/>
      <x:c r="C313" s="8" t="n"/>
      <x:c r="D313" s="8" t="n"/>
      <x:c r="E313" s="8" t="n"/>
      <x:c r="F313" s="8" t="n"/>
      <x:c r="G313" s="7">
        <x:f>IF(A313="","",IF(01_Parametres!$B$11="Oui",IF((01_Parametres!$B$4*(D313&gt;0)+01_Parametres!$B$5*(E313&gt;0)+01_Parametres!$B$6*(F313&gt;0))=0,"",(01_Parametres!$B$4*IF(D313&gt;0,D313,0)+01_Parametres!$B$5*IF(E313&gt;0,E313,0)+01_Parametres!$B$6*IF(F313&gt;0,F313,0))/(01_Parametres!$B$4*(D313&gt;0)+01_Parametres!$B$5*(E313&gt;0)+01_Parametres!$B$6*(F313&gt;0))),IF(01_Parametres!$B$8=0,"",(01_Parametres!$B$4*D313+01_Parametres!$B$5*E313+01_Parametres!$B$6*F313)/01_Parametres!$B$8)))</x:f>
      </x:c>
      <x:c r="H313">
        <x:f>IFERROR(VLOOKUP(C313,02_Referentiels!$A$20:$D$99,3,FALSE),"")</x:f>
      </x:c>
      <x:c r="I313">
        <x:f>IFERROR(VLOOKUP(B313,02_Referentiels!$A$5:$C$16,2,FALSE),"")</x:f>
      </x:c>
      <x:c r="J313">
        <x:f>IF(A313="","",IF(OR(D313="",E313="",F313=""),1,IF(OR(D313&lt;0,D313&gt;3,E313&lt;0,E313&gt;3,F313&lt;0,F313&gt;3),1,0)))</x:f>
      </x:c>
      <x:c r="K313">
        <x:f>IF(A313="","",IF(G313="",1,0))</x:f>
      </x:c>
      <x:c r="L313">
        <x:f>IF(A313="","",IF(COUNTIFS($A$5:$A$2004,A313,$C$5:$C$2004,C313)&gt;1,1,0))</x:f>
      </x:c>
    </x:row>
    <x:row r="314">
      <x:c r="A314" s="8" t="n"/>
      <x:c r="B314" s="8" t="n"/>
      <x:c r="C314" s="8" t="n"/>
      <x:c r="D314" s="8" t="n"/>
      <x:c r="E314" s="8" t="n"/>
      <x:c r="F314" s="8" t="n"/>
      <x:c r="G314" s="7">
        <x:f>IF(A314="","",IF(01_Parametres!$B$11="Oui",IF((01_Parametres!$B$4*(D314&gt;0)+01_Parametres!$B$5*(E314&gt;0)+01_Parametres!$B$6*(F314&gt;0))=0,"",(01_Parametres!$B$4*IF(D314&gt;0,D314,0)+01_Parametres!$B$5*IF(E314&gt;0,E314,0)+01_Parametres!$B$6*IF(F314&gt;0,F314,0))/(01_Parametres!$B$4*(D314&gt;0)+01_Parametres!$B$5*(E314&gt;0)+01_Parametres!$B$6*(F314&gt;0))),IF(01_Parametres!$B$8=0,"",(01_Parametres!$B$4*D314+01_Parametres!$B$5*E314+01_Parametres!$B$6*F314)/01_Parametres!$B$8)))</x:f>
      </x:c>
      <x:c r="H314">
        <x:f>IFERROR(VLOOKUP(C314,02_Referentiels!$A$20:$D$99,3,FALSE),"")</x:f>
      </x:c>
      <x:c r="I314">
        <x:f>IFERROR(VLOOKUP(B314,02_Referentiels!$A$5:$C$16,2,FALSE),"")</x:f>
      </x:c>
      <x:c r="J314">
        <x:f>IF(A314="","",IF(OR(D314="",E314="",F314=""),1,IF(OR(D314&lt;0,D314&gt;3,E314&lt;0,E314&gt;3,F314&lt;0,F314&gt;3),1,0)))</x:f>
      </x:c>
      <x:c r="K314">
        <x:f>IF(A314="","",IF(G314="",1,0))</x:f>
      </x:c>
      <x:c r="L314">
        <x:f>IF(A314="","",IF(COUNTIFS($A$5:$A$2004,A314,$C$5:$C$2004,C314)&gt;1,1,0))</x:f>
      </x:c>
    </x:row>
    <x:row r="315">
      <x:c r="A315" s="8" t="n"/>
      <x:c r="B315" s="8" t="n"/>
      <x:c r="C315" s="8" t="n"/>
      <x:c r="D315" s="8" t="n"/>
      <x:c r="E315" s="8" t="n"/>
      <x:c r="F315" s="8" t="n"/>
      <x:c r="G315" s="7">
        <x:f>IF(A315="","",IF(01_Parametres!$B$11="Oui",IF((01_Parametres!$B$4*(D315&gt;0)+01_Parametres!$B$5*(E315&gt;0)+01_Parametres!$B$6*(F315&gt;0))=0,"",(01_Parametres!$B$4*IF(D315&gt;0,D315,0)+01_Parametres!$B$5*IF(E315&gt;0,E315,0)+01_Parametres!$B$6*IF(F315&gt;0,F315,0))/(01_Parametres!$B$4*(D315&gt;0)+01_Parametres!$B$5*(E315&gt;0)+01_Parametres!$B$6*(F315&gt;0))),IF(01_Parametres!$B$8=0,"",(01_Parametres!$B$4*D315+01_Parametres!$B$5*E315+01_Parametres!$B$6*F315)/01_Parametres!$B$8)))</x:f>
      </x:c>
      <x:c r="H315">
        <x:f>IFERROR(VLOOKUP(C315,02_Referentiels!$A$20:$D$99,3,FALSE),"")</x:f>
      </x:c>
      <x:c r="I315">
        <x:f>IFERROR(VLOOKUP(B315,02_Referentiels!$A$5:$C$16,2,FALSE),"")</x:f>
      </x:c>
      <x:c r="J315">
        <x:f>IF(A315="","",IF(OR(D315="",E315="",F315=""),1,IF(OR(D315&lt;0,D315&gt;3,E315&lt;0,E315&gt;3,F315&lt;0,F315&gt;3),1,0)))</x:f>
      </x:c>
      <x:c r="K315">
        <x:f>IF(A315="","",IF(G315="",1,0))</x:f>
      </x:c>
      <x:c r="L315">
        <x:f>IF(A315="","",IF(COUNTIFS($A$5:$A$2004,A315,$C$5:$C$2004,C315)&gt;1,1,0))</x:f>
      </x:c>
    </x:row>
    <x:row r="316">
      <x:c r="A316" s="8" t="n"/>
      <x:c r="B316" s="8" t="n"/>
      <x:c r="C316" s="8" t="n"/>
      <x:c r="D316" s="8" t="n"/>
      <x:c r="E316" s="8" t="n"/>
      <x:c r="F316" s="8" t="n"/>
      <x:c r="G316" s="7">
        <x:f>IF(A316="","",IF(01_Parametres!$B$11="Oui",IF((01_Parametres!$B$4*(D316&gt;0)+01_Parametres!$B$5*(E316&gt;0)+01_Parametres!$B$6*(F316&gt;0))=0,"",(01_Parametres!$B$4*IF(D316&gt;0,D316,0)+01_Parametres!$B$5*IF(E316&gt;0,E316,0)+01_Parametres!$B$6*IF(F316&gt;0,F316,0))/(01_Parametres!$B$4*(D316&gt;0)+01_Parametres!$B$5*(E316&gt;0)+01_Parametres!$B$6*(F316&gt;0))),IF(01_Parametres!$B$8=0,"",(01_Parametres!$B$4*D316+01_Parametres!$B$5*E316+01_Parametres!$B$6*F316)/01_Parametres!$B$8)))</x:f>
      </x:c>
      <x:c r="H316">
        <x:f>IFERROR(VLOOKUP(C316,02_Referentiels!$A$20:$D$99,3,FALSE),"")</x:f>
      </x:c>
      <x:c r="I316">
        <x:f>IFERROR(VLOOKUP(B316,02_Referentiels!$A$5:$C$16,2,FALSE),"")</x:f>
      </x:c>
      <x:c r="J316">
        <x:f>IF(A316="","",IF(OR(D316="",E316="",F316=""),1,IF(OR(D316&lt;0,D316&gt;3,E316&lt;0,E316&gt;3,F316&lt;0,F316&gt;3),1,0)))</x:f>
      </x:c>
      <x:c r="K316">
        <x:f>IF(A316="","",IF(G316="",1,0))</x:f>
      </x:c>
      <x:c r="L316">
        <x:f>IF(A316="","",IF(COUNTIFS($A$5:$A$2004,A316,$C$5:$C$2004,C316)&gt;1,1,0))</x:f>
      </x:c>
    </x:row>
    <x:row r="317">
      <x:c r="A317" s="8" t="n"/>
      <x:c r="B317" s="8" t="n"/>
      <x:c r="C317" s="8" t="n"/>
      <x:c r="D317" s="8" t="n"/>
      <x:c r="E317" s="8" t="n"/>
      <x:c r="F317" s="8" t="n"/>
      <x:c r="G317" s="7">
        <x:f>IF(A317="","",IF(01_Parametres!$B$11="Oui",IF((01_Parametres!$B$4*(D317&gt;0)+01_Parametres!$B$5*(E317&gt;0)+01_Parametres!$B$6*(F317&gt;0))=0,"",(01_Parametres!$B$4*IF(D317&gt;0,D317,0)+01_Parametres!$B$5*IF(E317&gt;0,E317,0)+01_Parametres!$B$6*IF(F317&gt;0,F317,0))/(01_Parametres!$B$4*(D317&gt;0)+01_Parametres!$B$5*(E317&gt;0)+01_Parametres!$B$6*(F317&gt;0))),IF(01_Parametres!$B$8=0,"",(01_Parametres!$B$4*D317+01_Parametres!$B$5*E317+01_Parametres!$B$6*F317)/01_Parametres!$B$8)))</x:f>
      </x:c>
      <x:c r="H317">
        <x:f>IFERROR(VLOOKUP(C317,02_Referentiels!$A$20:$D$99,3,FALSE),"")</x:f>
      </x:c>
      <x:c r="I317">
        <x:f>IFERROR(VLOOKUP(B317,02_Referentiels!$A$5:$C$16,2,FALSE),"")</x:f>
      </x:c>
      <x:c r="J317">
        <x:f>IF(A317="","",IF(OR(D317="",E317="",F317=""),1,IF(OR(D317&lt;0,D317&gt;3,E317&lt;0,E317&gt;3,F317&lt;0,F317&gt;3),1,0)))</x:f>
      </x:c>
      <x:c r="K317">
        <x:f>IF(A317="","",IF(G317="",1,0))</x:f>
      </x:c>
      <x:c r="L317">
        <x:f>IF(A317="","",IF(COUNTIFS($A$5:$A$2004,A317,$C$5:$C$2004,C317)&gt;1,1,0))</x:f>
      </x:c>
    </x:row>
    <x:row r="318">
      <x:c r="A318" s="8" t="n"/>
      <x:c r="B318" s="8" t="n"/>
      <x:c r="C318" s="8" t="n"/>
      <x:c r="D318" s="8" t="n"/>
      <x:c r="E318" s="8" t="n"/>
      <x:c r="F318" s="8" t="n"/>
      <x:c r="G318" s="7">
        <x:f>IF(A318="","",IF(01_Parametres!$B$11="Oui",IF((01_Parametres!$B$4*(D318&gt;0)+01_Parametres!$B$5*(E318&gt;0)+01_Parametres!$B$6*(F318&gt;0))=0,"",(01_Parametres!$B$4*IF(D318&gt;0,D318,0)+01_Parametres!$B$5*IF(E318&gt;0,E318,0)+01_Parametres!$B$6*IF(F318&gt;0,F318,0))/(01_Parametres!$B$4*(D318&gt;0)+01_Parametres!$B$5*(E318&gt;0)+01_Parametres!$B$6*(F318&gt;0))),IF(01_Parametres!$B$8=0,"",(01_Parametres!$B$4*D318+01_Parametres!$B$5*E318+01_Parametres!$B$6*F318)/01_Parametres!$B$8)))</x:f>
      </x:c>
      <x:c r="H318">
        <x:f>IFERROR(VLOOKUP(C318,02_Referentiels!$A$20:$D$99,3,FALSE),"")</x:f>
      </x:c>
      <x:c r="I318">
        <x:f>IFERROR(VLOOKUP(B318,02_Referentiels!$A$5:$C$16,2,FALSE),"")</x:f>
      </x:c>
      <x:c r="J318">
        <x:f>IF(A318="","",IF(OR(D318="",E318="",F318=""),1,IF(OR(D318&lt;0,D318&gt;3,E318&lt;0,E318&gt;3,F318&lt;0,F318&gt;3),1,0)))</x:f>
      </x:c>
      <x:c r="K318">
        <x:f>IF(A318="","",IF(G318="",1,0))</x:f>
      </x:c>
      <x:c r="L318">
        <x:f>IF(A318="","",IF(COUNTIFS($A$5:$A$2004,A318,$C$5:$C$2004,C318)&gt;1,1,0))</x:f>
      </x:c>
    </x:row>
    <x:row r="319">
      <x:c r="A319" s="8" t="n"/>
      <x:c r="B319" s="8" t="n"/>
      <x:c r="C319" s="8" t="n"/>
      <x:c r="D319" s="8" t="n"/>
      <x:c r="E319" s="8" t="n"/>
      <x:c r="F319" s="8" t="n"/>
      <x:c r="G319" s="7">
        <x:f>IF(A319="","",IF(01_Parametres!$B$11="Oui",IF((01_Parametres!$B$4*(D319&gt;0)+01_Parametres!$B$5*(E319&gt;0)+01_Parametres!$B$6*(F319&gt;0))=0,"",(01_Parametres!$B$4*IF(D319&gt;0,D319,0)+01_Parametres!$B$5*IF(E319&gt;0,E319,0)+01_Parametres!$B$6*IF(F319&gt;0,F319,0))/(01_Parametres!$B$4*(D319&gt;0)+01_Parametres!$B$5*(E319&gt;0)+01_Parametres!$B$6*(F319&gt;0))),IF(01_Parametres!$B$8=0,"",(01_Parametres!$B$4*D319+01_Parametres!$B$5*E319+01_Parametres!$B$6*F319)/01_Parametres!$B$8)))</x:f>
      </x:c>
      <x:c r="H319">
        <x:f>IFERROR(VLOOKUP(C319,02_Referentiels!$A$20:$D$99,3,FALSE),"")</x:f>
      </x:c>
      <x:c r="I319">
        <x:f>IFERROR(VLOOKUP(B319,02_Referentiels!$A$5:$C$16,2,FALSE),"")</x:f>
      </x:c>
      <x:c r="J319">
        <x:f>IF(A319="","",IF(OR(D319="",E319="",F319=""),1,IF(OR(D319&lt;0,D319&gt;3,E319&lt;0,E319&gt;3,F319&lt;0,F319&gt;3),1,0)))</x:f>
      </x:c>
      <x:c r="K319">
        <x:f>IF(A319="","",IF(G319="",1,0))</x:f>
      </x:c>
      <x:c r="L319">
        <x:f>IF(A319="","",IF(COUNTIFS($A$5:$A$2004,A319,$C$5:$C$2004,C319)&gt;1,1,0))</x:f>
      </x:c>
    </x:row>
    <x:row r="320">
      <x:c r="A320" s="8" t="n"/>
      <x:c r="B320" s="8" t="n"/>
      <x:c r="C320" s="8" t="n"/>
      <x:c r="D320" s="8" t="n"/>
      <x:c r="E320" s="8" t="n"/>
      <x:c r="F320" s="8" t="n"/>
      <x:c r="G320" s="7">
        <x:f>IF(A320="","",IF(01_Parametres!$B$11="Oui",IF((01_Parametres!$B$4*(D320&gt;0)+01_Parametres!$B$5*(E320&gt;0)+01_Parametres!$B$6*(F320&gt;0))=0,"",(01_Parametres!$B$4*IF(D320&gt;0,D320,0)+01_Parametres!$B$5*IF(E320&gt;0,E320,0)+01_Parametres!$B$6*IF(F320&gt;0,F320,0))/(01_Parametres!$B$4*(D320&gt;0)+01_Parametres!$B$5*(E320&gt;0)+01_Parametres!$B$6*(F320&gt;0))),IF(01_Parametres!$B$8=0,"",(01_Parametres!$B$4*D320+01_Parametres!$B$5*E320+01_Parametres!$B$6*F320)/01_Parametres!$B$8)))</x:f>
      </x:c>
      <x:c r="H320">
        <x:f>IFERROR(VLOOKUP(C320,02_Referentiels!$A$20:$D$99,3,FALSE),"")</x:f>
      </x:c>
      <x:c r="I320">
        <x:f>IFERROR(VLOOKUP(B320,02_Referentiels!$A$5:$C$16,2,FALSE),"")</x:f>
      </x:c>
      <x:c r="J320">
        <x:f>IF(A320="","",IF(OR(D320="",E320="",F320=""),1,IF(OR(D320&lt;0,D320&gt;3,E320&lt;0,E320&gt;3,F320&lt;0,F320&gt;3),1,0)))</x:f>
      </x:c>
      <x:c r="K320">
        <x:f>IF(A320="","",IF(G320="",1,0))</x:f>
      </x:c>
      <x:c r="L320">
        <x:f>IF(A320="","",IF(COUNTIFS($A$5:$A$2004,A320,$C$5:$C$2004,C320)&gt;1,1,0))</x:f>
      </x:c>
    </x:row>
    <x:row r="321">
      <x:c r="A321" s="8" t="n"/>
      <x:c r="B321" s="8" t="n"/>
      <x:c r="C321" s="8" t="n"/>
      <x:c r="D321" s="8" t="n"/>
      <x:c r="E321" s="8" t="n"/>
      <x:c r="F321" s="8" t="n"/>
      <x:c r="G321" s="7">
        <x:f>IF(A321="","",IF(01_Parametres!$B$11="Oui",IF((01_Parametres!$B$4*(D321&gt;0)+01_Parametres!$B$5*(E321&gt;0)+01_Parametres!$B$6*(F321&gt;0))=0,"",(01_Parametres!$B$4*IF(D321&gt;0,D321,0)+01_Parametres!$B$5*IF(E321&gt;0,E321,0)+01_Parametres!$B$6*IF(F321&gt;0,F321,0))/(01_Parametres!$B$4*(D321&gt;0)+01_Parametres!$B$5*(E321&gt;0)+01_Parametres!$B$6*(F321&gt;0))),IF(01_Parametres!$B$8=0,"",(01_Parametres!$B$4*D321+01_Parametres!$B$5*E321+01_Parametres!$B$6*F321)/01_Parametres!$B$8)))</x:f>
      </x:c>
      <x:c r="H321">
        <x:f>IFERROR(VLOOKUP(C321,02_Referentiels!$A$20:$D$99,3,FALSE),"")</x:f>
      </x:c>
      <x:c r="I321">
        <x:f>IFERROR(VLOOKUP(B321,02_Referentiels!$A$5:$C$16,2,FALSE),"")</x:f>
      </x:c>
      <x:c r="J321">
        <x:f>IF(A321="","",IF(OR(D321="",E321="",F321=""),1,IF(OR(D321&lt;0,D321&gt;3,E321&lt;0,E321&gt;3,F321&lt;0,F321&gt;3),1,0)))</x:f>
      </x:c>
      <x:c r="K321">
        <x:f>IF(A321="","",IF(G321="",1,0))</x:f>
      </x:c>
      <x:c r="L321">
        <x:f>IF(A321="","",IF(COUNTIFS($A$5:$A$2004,A321,$C$5:$C$2004,C321)&gt;1,1,0))</x:f>
      </x:c>
    </x:row>
    <x:row r="322">
      <x:c r="A322" s="8" t="n"/>
      <x:c r="B322" s="8" t="n"/>
      <x:c r="C322" s="8" t="n"/>
      <x:c r="D322" s="8" t="n"/>
      <x:c r="E322" s="8" t="n"/>
      <x:c r="F322" s="8" t="n"/>
      <x:c r="G322" s="7">
        <x:f>IF(A322="","",IF(01_Parametres!$B$11="Oui",IF((01_Parametres!$B$4*(D322&gt;0)+01_Parametres!$B$5*(E322&gt;0)+01_Parametres!$B$6*(F322&gt;0))=0,"",(01_Parametres!$B$4*IF(D322&gt;0,D322,0)+01_Parametres!$B$5*IF(E322&gt;0,E322,0)+01_Parametres!$B$6*IF(F322&gt;0,F322,0))/(01_Parametres!$B$4*(D322&gt;0)+01_Parametres!$B$5*(E322&gt;0)+01_Parametres!$B$6*(F322&gt;0))),IF(01_Parametres!$B$8=0,"",(01_Parametres!$B$4*D322+01_Parametres!$B$5*E322+01_Parametres!$B$6*F322)/01_Parametres!$B$8)))</x:f>
      </x:c>
      <x:c r="H322">
        <x:f>IFERROR(VLOOKUP(C322,02_Referentiels!$A$20:$D$99,3,FALSE),"")</x:f>
      </x:c>
      <x:c r="I322">
        <x:f>IFERROR(VLOOKUP(B322,02_Referentiels!$A$5:$C$16,2,FALSE),"")</x:f>
      </x:c>
      <x:c r="J322">
        <x:f>IF(A322="","",IF(OR(D322="",E322="",F322=""),1,IF(OR(D322&lt;0,D322&gt;3,E322&lt;0,E322&gt;3,F322&lt;0,F322&gt;3),1,0)))</x:f>
      </x:c>
      <x:c r="K322">
        <x:f>IF(A322="","",IF(G322="",1,0))</x:f>
      </x:c>
      <x:c r="L322">
        <x:f>IF(A322="","",IF(COUNTIFS($A$5:$A$2004,A322,$C$5:$C$2004,C322)&gt;1,1,0))</x:f>
      </x:c>
    </x:row>
    <x:row r="323">
      <x:c r="A323" s="8" t="n"/>
      <x:c r="B323" s="8" t="n"/>
      <x:c r="C323" s="8" t="n"/>
      <x:c r="D323" s="8" t="n"/>
      <x:c r="E323" s="8" t="n"/>
      <x:c r="F323" s="8" t="n"/>
      <x:c r="G323" s="7">
        <x:f>IF(A323="","",IF(01_Parametres!$B$11="Oui",IF((01_Parametres!$B$4*(D323&gt;0)+01_Parametres!$B$5*(E323&gt;0)+01_Parametres!$B$6*(F323&gt;0))=0,"",(01_Parametres!$B$4*IF(D323&gt;0,D323,0)+01_Parametres!$B$5*IF(E323&gt;0,E323,0)+01_Parametres!$B$6*IF(F323&gt;0,F323,0))/(01_Parametres!$B$4*(D323&gt;0)+01_Parametres!$B$5*(E323&gt;0)+01_Parametres!$B$6*(F323&gt;0))),IF(01_Parametres!$B$8=0,"",(01_Parametres!$B$4*D323+01_Parametres!$B$5*E323+01_Parametres!$B$6*F323)/01_Parametres!$B$8)))</x:f>
      </x:c>
      <x:c r="H323">
        <x:f>IFERROR(VLOOKUP(C323,02_Referentiels!$A$20:$D$99,3,FALSE),"")</x:f>
      </x:c>
      <x:c r="I323">
        <x:f>IFERROR(VLOOKUP(B323,02_Referentiels!$A$5:$C$16,2,FALSE),"")</x:f>
      </x:c>
      <x:c r="J323">
        <x:f>IF(A323="","",IF(OR(D323="",E323="",F323=""),1,IF(OR(D323&lt;0,D323&gt;3,E323&lt;0,E323&gt;3,F323&lt;0,F323&gt;3),1,0)))</x:f>
      </x:c>
      <x:c r="K323">
        <x:f>IF(A323="","",IF(G323="",1,0))</x:f>
      </x:c>
      <x:c r="L323">
        <x:f>IF(A323="","",IF(COUNTIFS($A$5:$A$2004,A323,$C$5:$C$2004,C323)&gt;1,1,0))</x:f>
      </x:c>
    </x:row>
    <x:row r="324">
      <x:c r="A324" s="8" t="n"/>
      <x:c r="B324" s="8" t="n"/>
      <x:c r="C324" s="8" t="n"/>
      <x:c r="D324" s="8" t="n"/>
      <x:c r="E324" s="8" t="n"/>
      <x:c r="F324" s="8" t="n"/>
      <x:c r="G324" s="7">
        <x:f>IF(A324="","",IF(01_Parametres!$B$11="Oui",IF((01_Parametres!$B$4*(D324&gt;0)+01_Parametres!$B$5*(E324&gt;0)+01_Parametres!$B$6*(F324&gt;0))=0,"",(01_Parametres!$B$4*IF(D324&gt;0,D324,0)+01_Parametres!$B$5*IF(E324&gt;0,E324,0)+01_Parametres!$B$6*IF(F324&gt;0,F324,0))/(01_Parametres!$B$4*(D324&gt;0)+01_Parametres!$B$5*(E324&gt;0)+01_Parametres!$B$6*(F324&gt;0))),IF(01_Parametres!$B$8=0,"",(01_Parametres!$B$4*D324+01_Parametres!$B$5*E324+01_Parametres!$B$6*F324)/01_Parametres!$B$8)))</x:f>
      </x:c>
      <x:c r="H324">
        <x:f>IFERROR(VLOOKUP(C324,02_Referentiels!$A$20:$D$99,3,FALSE),"")</x:f>
      </x:c>
      <x:c r="I324">
        <x:f>IFERROR(VLOOKUP(B324,02_Referentiels!$A$5:$C$16,2,FALSE),"")</x:f>
      </x:c>
      <x:c r="J324">
        <x:f>IF(A324="","",IF(OR(D324="",E324="",F324=""),1,IF(OR(D324&lt;0,D324&gt;3,E324&lt;0,E324&gt;3,F324&lt;0,F324&gt;3),1,0)))</x:f>
      </x:c>
      <x:c r="K324">
        <x:f>IF(A324="","",IF(G324="",1,0))</x:f>
      </x:c>
      <x:c r="L324">
        <x:f>IF(A324="","",IF(COUNTIFS($A$5:$A$2004,A324,$C$5:$C$2004,C324)&gt;1,1,0))</x:f>
      </x:c>
    </x:row>
    <x:row r="325">
      <x:c r="A325" s="8" t="n"/>
      <x:c r="B325" s="8" t="n"/>
      <x:c r="C325" s="8" t="n"/>
      <x:c r="D325" s="8" t="n"/>
      <x:c r="E325" s="8" t="n"/>
      <x:c r="F325" s="8" t="n"/>
      <x:c r="G325" s="7">
        <x:f>IF(A325="","",IF(01_Parametres!$B$11="Oui",IF((01_Parametres!$B$4*(D325&gt;0)+01_Parametres!$B$5*(E325&gt;0)+01_Parametres!$B$6*(F325&gt;0))=0,"",(01_Parametres!$B$4*IF(D325&gt;0,D325,0)+01_Parametres!$B$5*IF(E325&gt;0,E325,0)+01_Parametres!$B$6*IF(F325&gt;0,F325,0))/(01_Parametres!$B$4*(D325&gt;0)+01_Parametres!$B$5*(E325&gt;0)+01_Parametres!$B$6*(F325&gt;0))),IF(01_Parametres!$B$8=0,"",(01_Parametres!$B$4*D325+01_Parametres!$B$5*E325+01_Parametres!$B$6*F325)/01_Parametres!$B$8)))</x:f>
      </x:c>
      <x:c r="H325">
        <x:f>IFERROR(VLOOKUP(C325,02_Referentiels!$A$20:$D$99,3,FALSE),"")</x:f>
      </x:c>
      <x:c r="I325">
        <x:f>IFERROR(VLOOKUP(B325,02_Referentiels!$A$5:$C$16,2,FALSE),"")</x:f>
      </x:c>
      <x:c r="J325">
        <x:f>IF(A325="","",IF(OR(D325="",E325="",F325=""),1,IF(OR(D325&lt;0,D325&gt;3,E325&lt;0,E325&gt;3,F325&lt;0,F325&gt;3),1,0)))</x:f>
      </x:c>
      <x:c r="K325">
        <x:f>IF(A325="","",IF(G325="",1,0))</x:f>
      </x:c>
      <x:c r="L325">
        <x:f>IF(A325="","",IF(COUNTIFS($A$5:$A$2004,A325,$C$5:$C$2004,C325)&gt;1,1,0))</x:f>
      </x:c>
    </x:row>
    <x:row r="326">
      <x:c r="A326" s="8" t="n"/>
      <x:c r="B326" s="8" t="n"/>
      <x:c r="C326" s="8" t="n"/>
      <x:c r="D326" s="8" t="n"/>
      <x:c r="E326" s="8" t="n"/>
      <x:c r="F326" s="8" t="n"/>
      <x:c r="G326" s="7">
        <x:f>IF(A326="","",IF(01_Parametres!$B$11="Oui",IF((01_Parametres!$B$4*(D326&gt;0)+01_Parametres!$B$5*(E326&gt;0)+01_Parametres!$B$6*(F326&gt;0))=0,"",(01_Parametres!$B$4*IF(D326&gt;0,D326,0)+01_Parametres!$B$5*IF(E326&gt;0,E326,0)+01_Parametres!$B$6*IF(F326&gt;0,F326,0))/(01_Parametres!$B$4*(D326&gt;0)+01_Parametres!$B$5*(E326&gt;0)+01_Parametres!$B$6*(F326&gt;0))),IF(01_Parametres!$B$8=0,"",(01_Parametres!$B$4*D326+01_Parametres!$B$5*E326+01_Parametres!$B$6*F326)/01_Parametres!$B$8)))</x:f>
      </x:c>
      <x:c r="H326">
        <x:f>IFERROR(VLOOKUP(C326,02_Referentiels!$A$20:$D$99,3,FALSE),"")</x:f>
      </x:c>
      <x:c r="I326">
        <x:f>IFERROR(VLOOKUP(B326,02_Referentiels!$A$5:$C$16,2,FALSE),"")</x:f>
      </x:c>
      <x:c r="J326">
        <x:f>IF(A326="","",IF(OR(D326="",E326="",F326=""),1,IF(OR(D326&lt;0,D326&gt;3,E326&lt;0,E326&gt;3,F326&lt;0,F326&gt;3),1,0)))</x:f>
      </x:c>
      <x:c r="K326">
        <x:f>IF(A326="","",IF(G326="",1,0))</x:f>
      </x:c>
      <x:c r="L326">
        <x:f>IF(A326="","",IF(COUNTIFS($A$5:$A$2004,A326,$C$5:$C$2004,C326)&gt;1,1,0))</x:f>
      </x:c>
    </x:row>
    <x:row r="327">
      <x:c r="A327" s="8" t="n"/>
      <x:c r="B327" s="8" t="n"/>
      <x:c r="C327" s="8" t="n"/>
      <x:c r="D327" s="8" t="n"/>
      <x:c r="E327" s="8" t="n"/>
      <x:c r="F327" s="8" t="n"/>
      <x:c r="G327" s="7">
        <x:f>IF(A327="","",IF(01_Parametres!$B$11="Oui",IF((01_Parametres!$B$4*(D327&gt;0)+01_Parametres!$B$5*(E327&gt;0)+01_Parametres!$B$6*(F327&gt;0))=0,"",(01_Parametres!$B$4*IF(D327&gt;0,D327,0)+01_Parametres!$B$5*IF(E327&gt;0,E327,0)+01_Parametres!$B$6*IF(F327&gt;0,F327,0))/(01_Parametres!$B$4*(D327&gt;0)+01_Parametres!$B$5*(E327&gt;0)+01_Parametres!$B$6*(F327&gt;0))),IF(01_Parametres!$B$8=0,"",(01_Parametres!$B$4*D327+01_Parametres!$B$5*E327+01_Parametres!$B$6*F327)/01_Parametres!$B$8)))</x:f>
      </x:c>
      <x:c r="H327">
        <x:f>IFERROR(VLOOKUP(C327,02_Referentiels!$A$20:$D$99,3,FALSE),"")</x:f>
      </x:c>
      <x:c r="I327">
        <x:f>IFERROR(VLOOKUP(B327,02_Referentiels!$A$5:$C$16,2,FALSE),"")</x:f>
      </x:c>
      <x:c r="J327">
        <x:f>IF(A327="","",IF(OR(D327="",E327="",F327=""),1,IF(OR(D327&lt;0,D327&gt;3,E327&lt;0,E327&gt;3,F327&lt;0,F327&gt;3),1,0)))</x:f>
      </x:c>
      <x:c r="K327">
        <x:f>IF(A327="","",IF(G327="",1,0))</x:f>
      </x:c>
      <x:c r="L327">
        <x:f>IF(A327="","",IF(COUNTIFS($A$5:$A$2004,A327,$C$5:$C$2004,C327)&gt;1,1,0))</x:f>
      </x:c>
    </x:row>
    <x:row r="328">
      <x:c r="A328" s="8" t="n"/>
      <x:c r="B328" s="8" t="n"/>
      <x:c r="C328" s="8" t="n"/>
      <x:c r="D328" s="8" t="n"/>
      <x:c r="E328" s="8" t="n"/>
      <x:c r="F328" s="8" t="n"/>
      <x:c r="G328" s="7">
        <x:f>IF(A328="","",IF(01_Parametres!$B$11="Oui",IF((01_Parametres!$B$4*(D328&gt;0)+01_Parametres!$B$5*(E328&gt;0)+01_Parametres!$B$6*(F328&gt;0))=0,"",(01_Parametres!$B$4*IF(D328&gt;0,D328,0)+01_Parametres!$B$5*IF(E328&gt;0,E328,0)+01_Parametres!$B$6*IF(F328&gt;0,F328,0))/(01_Parametres!$B$4*(D328&gt;0)+01_Parametres!$B$5*(E328&gt;0)+01_Parametres!$B$6*(F328&gt;0))),IF(01_Parametres!$B$8=0,"",(01_Parametres!$B$4*D328+01_Parametres!$B$5*E328+01_Parametres!$B$6*F328)/01_Parametres!$B$8)))</x:f>
      </x:c>
      <x:c r="H328">
        <x:f>IFERROR(VLOOKUP(C328,02_Referentiels!$A$20:$D$99,3,FALSE),"")</x:f>
      </x:c>
      <x:c r="I328">
        <x:f>IFERROR(VLOOKUP(B328,02_Referentiels!$A$5:$C$16,2,FALSE),"")</x:f>
      </x:c>
      <x:c r="J328">
        <x:f>IF(A328="","",IF(OR(D328="",E328="",F328=""),1,IF(OR(D328&lt;0,D328&gt;3,E328&lt;0,E328&gt;3,F328&lt;0,F328&gt;3),1,0)))</x:f>
      </x:c>
      <x:c r="K328">
        <x:f>IF(A328="","",IF(G328="",1,0))</x:f>
      </x:c>
      <x:c r="L328">
        <x:f>IF(A328="","",IF(COUNTIFS($A$5:$A$2004,A328,$C$5:$C$2004,C328)&gt;1,1,0))</x:f>
      </x:c>
    </x:row>
    <x:row r="329">
      <x:c r="A329" s="8" t="n"/>
      <x:c r="B329" s="8" t="n"/>
      <x:c r="C329" s="8" t="n"/>
      <x:c r="D329" s="8" t="n"/>
      <x:c r="E329" s="8" t="n"/>
      <x:c r="F329" s="8" t="n"/>
      <x:c r="G329" s="7">
        <x:f>IF(A329="","",IF(01_Parametres!$B$11="Oui",IF((01_Parametres!$B$4*(D329&gt;0)+01_Parametres!$B$5*(E329&gt;0)+01_Parametres!$B$6*(F329&gt;0))=0,"",(01_Parametres!$B$4*IF(D329&gt;0,D329,0)+01_Parametres!$B$5*IF(E329&gt;0,E329,0)+01_Parametres!$B$6*IF(F329&gt;0,F329,0))/(01_Parametres!$B$4*(D329&gt;0)+01_Parametres!$B$5*(E329&gt;0)+01_Parametres!$B$6*(F329&gt;0))),IF(01_Parametres!$B$8=0,"",(01_Parametres!$B$4*D329+01_Parametres!$B$5*E329+01_Parametres!$B$6*F329)/01_Parametres!$B$8)))</x:f>
      </x:c>
      <x:c r="H329">
        <x:f>IFERROR(VLOOKUP(C329,02_Referentiels!$A$20:$D$99,3,FALSE),"")</x:f>
      </x:c>
      <x:c r="I329">
        <x:f>IFERROR(VLOOKUP(B329,02_Referentiels!$A$5:$C$16,2,FALSE),"")</x:f>
      </x:c>
      <x:c r="J329">
        <x:f>IF(A329="","",IF(OR(D329="",E329="",F329=""),1,IF(OR(D329&lt;0,D329&gt;3,E329&lt;0,E329&gt;3,F329&lt;0,F329&gt;3),1,0)))</x:f>
      </x:c>
      <x:c r="K329">
        <x:f>IF(A329="","",IF(G329="",1,0))</x:f>
      </x:c>
      <x:c r="L329">
        <x:f>IF(A329="","",IF(COUNTIFS($A$5:$A$2004,A329,$C$5:$C$2004,C329)&gt;1,1,0))</x:f>
      </x:c>
    </x:row>
    <x:row r="330">
      <x:c r="A330" s="8" t="n"/>
      <x:c r="B330" s="8" t="n"/>
      <x:c r="C330" s="8" t="n"/>
      <x:c r="D330" s="8" t="n"/>
      <x:c r="E330" s="8" t="n"/>
      <x:c r="F330" s="8" t="n"/>
      <x:c r="G330" s="7">
        <x:f>IF(A330="","",IF(01_Parametres!$B$11="Oui",IF((01_Parametres!$B$4*(D330&gt;0)+01_Parametres!$B$5*(E330&gt;0)+01_Parametres!$B$6*(F330&gt;0))=0,"",(01_Parametres!$B$4*IF(D330&gt;0,D330,0)+01_Parametres!$B$5*IF(E330&gt;0,E330,0)+01_Parametres!$B$6*IF(F330&gt;0,F330,0))/(01_Parametres!$B$4*(D330&gt;0)+01_Parametres!$B$5*(E330&gt;0)+01_Parametres!$B$6*(F330&gt;0))),IF(01_Parametres!$B$8=0,"",(01_Parametres!$B$4*D330+01_Parametres!$B$5*E330+01_Parametres!$B$6*F330)/01_Parametres!$B$8)))</x:f>
      </x:c>
      <x:c r="H330">
        <x:f>IFERROR(VLOOKUP(C330,02_Referentiels!$A$20:$D$99,3,FALSE),"")</x:f>
      </x:c>
      <x:c r="I330">
        <x:f>IFERROR(VLOOKUP(B330,02_Referentiels!$A$5:$C$16,2,FALSE),"")</x:f>
      </x:c>
      <x:c r="J330">
        <x:f>IF(A330="","",IF(OR(D330="",E330="",F330=""),1,IF(OR(D330&lt;0,D330&gt;3,E330&lt;0,E330&gt;3,F330&lt;0,F330&gt;3),1,0)))</x:f>
      </x:c>
      <x:c r="K330">
        <x:f>IF(A330="","",IF(G330="",1,0))</x:f>
      </x:c>
      <x:c r="L330">
        <x:f>IF(A330="","",IF(COUNTIFS($A$5:$A$2004,A330,$C$5:$C$2004,C330)&gt;1,1,0))</x:f>
      </x:c>
    </x:row>
    <x:row r="331">
      <x:c r="A331" s="8" t="n"/>
      <x:c r="B331" s="8" t="n"/>
      <x:c r="C331" s="8" t="n"/>
      <x:c r="D331" s="8" t="n"/>
      <x:c r="E331" s="8" t="n"/>
      <x:c r="F331" s="8" t="n"/>
      <x:c r="G331" s="7">
        <x:f>IF(A331="","",IF(01_Parametres!$B$11="Oui",IF((01_Parametres!$B$4*(D331&gt;0)+01_Parametres!$B$5*(E331&gt;0)+01_Parametres!$B$6*(F331&gt;0))=0,"",(01_Parametres!$B$4*IF(D331&gt;0,D331,0)+01_Parametres!$B$5*IF(E331&gt;0,E331,0)+01_Parametres!$B$6*IF(F331&gt;0,F331,0))/(01_Parametres!$B$4*(D331&gt;0)+01_Parametres!$B$5*(E331&gt;0)+01_Parametres!$B$6*(F331&gt;0))),IF(01_Parametres!$B$8=0,"",(01_Parametres!$B$4*D331+01_Parametres!$B$5*E331+01_Parametres!$B$6*F331)/01_Parametres!$B$8)))</x:f>
      </x:c>
      <x:c r="H331">
        <x:f>IFERROR(VLOOKUP(C331,02_Referentiels!$A$20:$D$99,3,FALSE),"")</x:f>
      </x:c>
      <x:c r="I331">
        <x:f>IFERROR(VLOOKUP(B331,02_Referentiels!$A$5:$C$16,2,FALSE),"")</x:f>
      </x:c>
      <x:c r="J331">
        <x:f>IF(A331="","",IF(OR(D331="",E331="",F331=""),1,IF(OR(D331&lt;0,D331&gt;3,E331&lt;0,E331&gt;3,F331&lt;0,F331&gt;3),1,0)))</x:f>
      </x:c>
      <x:c r="K331">
        <x:f>IF(A331="","",IF(G331="",1,0))</x:f>
      </x:c>
      <x:c r="L331">
        <x:f>IF(A331="","",IF(COUNTIFS($A$5:$A$2004,A331,$C$5:$C$2004,C331)&gt;1,1,0))</x:f>
      </x:c>
    </x:row>
    <x:row r="332">
      <x:c r="A332" s="8" t="n"/>
      <x:c r="B332" s="8" t="n"/>
      <x:c r="C332" s="8" t="n"/>
      <x:c r="D332" s="8" t="n"/>
      <x:c r="E332" s="8" t="n"/>
      <x:c r="F332" s="8" t="n"/>
      <x:c r="G332" s="7">
        <x:f>IF(A332="","",IF(01_Parametres!$B$11="Oui",IF((01_Parametres!$B$4*(D332&gt;0)+01_Parametres!$B$5*(E332&gt;0)+01_Parametres!$B$6*(F332&gt;0))=0,"",(01_Parametres!$B$4*IF(D332&gt;0,D332,0)+01_Parametres!$B$5*IF(E332&gt;0,E332,0)+01_Parametres!$B$6*IF(F332&gt;0,F332,0))/(01_Parametres!$B$4*(D332&gt;0)+01_Parametres!$B$5*(E332&gt;0)+01_Parametres!$B$6*(F332&gt;0))),IF(01_Parametres!$B$8=0,"",(01_Parametres!$B$4*D332+01_Parametres!$B$5*E332+01_Parametres!$B$6*F332)/01_Parametres!$B$8)))</x:f>
      </x:c>
      <x:c r="H332">
        <x:f>IFERROR(VLOOKUP(C332,02_Referentiels!$A$20:$D$99,3,FALSE),"")</x:f>
      </x:c>
      <x:c r="I332">
        <x:f>IFERROR(VLOOKUP(B332,02_Referentiels!$A$5:$C$16,2,FALSE),"")</x:f>
      </x:c>
      <x:c r="J332">
        <x:f>IF(A332="","",IF(OR(D332="",E332="",F332=""),1,IF(OR(D332&lt;0,D332&gt;3,E332&lt;0,E332&gt;3,F332&lt;0,F332&gt;3),1,0)))</x:f>
      </x:c>
      <x:c r="K332">
        <x:f>IF(A332="","",IF(G332="",1,0))</x:f>
      </x:c>
      <x:c r="L332">
        <x:f>IF(A332="","",IF(COUNTIFS($A$5:$A$2004,A332,$C$5:$C$2004,C332)&gt;1,1,0))</x:f>
      </x:c>
    </x:row>
    <x:row r="333">
      <x:c r="A333" s="8" t="n"/>
      <x:c r="B333" s="8" t="n"/>
      <x:c r="C333" s="8" t="n"/>
      <x:c r="D333" s="8" t="n"/>
      <x:c r="E333" s="8" t="n"/>
      <x:c r="F333" s="8" t="n"/>
      <x:c r="G333" s="7">
        <x:f>IF(A333="","",IF(01_Parametres!$B$11="Oui",IF((01_Parametres!$B$4*(D333&gt;0)+01_Parametres!$B$5*(E333&gt;0)+01_Parametres!$B$6*(F333&gt;0))=0,"",(01_Parametres!$B$4*IF(D333&gt;0,D333,0)+01_Parametres!$B$5*IF(E333&gt;0,E333,0)+01_Parametres!$B$6*IF(F333&gt;0,F333,0))/(01_Parametres!$B$4*(D333&gt;0)+01_Parametres!$B$5*(E333&gt;0)+01_Parametres!$B$6*(F333&gt;0))),IF(01_Parametres!$B$8=0,"",(01_Parametres!$B$4*D333+01_Parametres!$B$5*E333+01_Parametres!$B$6*F333)/01_Parametres!$B$8)))</x:f>
      </x:c>
      <x:c r="H333">
        <x:f>IFERROR(VLOOKUP(C333,02_Referentiels!$A$20:$D$99,3,FALSE),"")</x:f>
      </x:c>
      <x:c r="I333">
        <x:f>IFERROR(VLOOKUP(B333,02_Referentiels!$A$5:$C$16,2,FALSE),"")</x:f>
      </x:c>
      <x:c r="J333">
        <x:f>IF(A333="","",IF(OR(D333="",E333="",F333=""),1,IF(OR(D333&lt;0,D333&gt;3,E333&lt;0,E333&gt;3,F333&lt;0,F333&gt;3),1,0)))</x:f>
      </x:c>
      <x:c r="K333">
        <x:f>IF(A333="","",IF(G333="",1,0))</x:f>
      </x:c>
      <x:c r="L333">
        <x:f>IF(A333="","",IF(COUNTIFS($A$5:$A$2004,A333,$C$5:$C$2004,C333)&gt;1,1,0))</x:f>
      </x:c>
    </x:row>
    <x:row r="334">
      <x:c r="A334" s="8" t="n"/>
      <x:c r="B334" s="8" t="n"/>
      <x:c r="C334" s="8" t="n"/>
      <x:c r="D334" s="8" t="n"/>
      <x:c r="E334" s="8" t="n"/>
      <x:c r="F334" s="8" t="n"/>
      <x:c r="G334" s="7">
        <x:f>IF(A334="","",IF(01_Parametres!$B$11="Oui",IF((01_Parametres!$B$4*(D334&gt;0)+01_Parametres!$B$5*(E334&gt;0)+01_Parametres!$B$6*(F334&gt;0))=0,"",(01_Parametres!$B$4*IF(D334&gt;0,D334,0)+01_Parametres!$B$5*IF(E334&gt;0,E334,0)+01_Parametres!$B$6*IF(F334&gt;0,F334,0))/(01_Parametres!$B$4*(D334&gt;0)+01_Parametres!$B$5*(E334&gt;0)+01_Parametres!$B$6*(F334&gt;0))),IF(01_Parametres!$B$8=0,"",(01_Parametres!$B$4*D334+01_Parametres!$B$5*E334+01_Parametres!$B$6*F334)/01_Parametres!$B$8)))</x:f>
      </x:c>
      <x:c r="H334">
        <x:f>IFERROR(VLOOKUP(C334,02_Referentiels!$A$20:$D$99,3,FALSE),"")</x:f>
      </x:c>
      <x:c r="I334">
        <x:f>IFERROR(VLOOKUP(B334,02_Referentiels!$A$5:$C$16,2,FALSE),"")</x:f>
      </x:c>
      <x:c r="J334">
        <x:f>IF(A334="","",IF(OR(D334="",E334="",F334=""),1,IF(OR(D334&lt;0,D334&gt;3,E334&lt;0,E334&gt;3,F334&lt;0,F334&gt;3),1,0)))</x:f>
      </x:c>
      <x:c r="K334">
        <x:f>IF(A334="","",IF(G334="",1,0))</x:f>
      </x:c>
      <x:c r="L334">
        <x:f>IF(A334="","",IF(COUNTIFS($A$5:$A$2004,A334,$C$5:$C$2004,C334)&gt;1,1,0))</x:f>
      </x:c>
    </x:row>
    <x:row r="335">
      <x:c r="A335" s="8" t="n"/>
      <x:c r="B335" s="8" t="n"/>
      <x:c r="C335" s="8" t="n"/>
      <x:c r="D335" s="8" t="n"/>
      <x:c r="E335" s="8" t="n"/>
      <x:c r="F335" s="8" t="n"/>
      <x:c r="G335" s="7">
        <x:f>IF(A335="","",IF(01_Parametres!$B$11="Oui",IF((01_Parametres!$B$4*(D335&gt;0)+01_Parametres!$B$5*(E335&gt;0)+01_Parametres!$B$6*(F335&gt;0))=0,"",(01_Parametres!$B$4*IF(D335&gt;0,D335,0)+01_Parametres!$B$5*IF(E335&gt;0,E335,0)+01_Parametres!$B$6*IF(F335&gt;0,F335,0))/(01_Parametres!$B$4*(D335&gt;0)+01_Parametres!$B$5*(E335&gt;0)+01_Parametres!$B$6*(F335&gt;0))),IF(01_Parametres!$B$8=0,"",(01_Parametres!$B$4*D335+01_Parametres!$B$5*E335+01_Parametres!$B$6*F335)/01_Parametres!$B$8)))</x:f>
      </x:c>
      <x:c r="H335">
        <x:f>IFERROR(VLOOKUP(C335,02_Referentiels!$A$20:$D$99,3,FALSE),"")</x:f>
      </x:c>
      <x:c r="I335">
        <x:f>IFERROR(VLOOKUP(B335,02_Referentiels!$A$5:$C$16,2,FALSE),"")</x:f>
      </x:c>
      <x:c r="J335">
        <x:f>IF(A335="","",IF(OR(D335="",E335="",F335=""),1,IF(OR(D335&lt;0,D335&gt;3,E335&lt;0,E335&gt;3,F335&lt;0,F335&gt;3),1,0)))</x:f>
      </x:c>
      <x:c r="K335">
        <x:f>IF(A335="","",IF(G335="",1,0))</x:f>
      </x:c>
      <x:c r="L335">
        <x:f>IF(A335="","",IF(COUNTIFS($A$5:$A$2004,A335,$C$5:$C$2004,C335)&gt;1,1,0))</x:f>
      </x:c>
    </x:row>
    <x:row r="336">
      <x:c r="A336" s="8" t="n"/>
      <x:c r="B336" s="8" t="n"/>
      <x:c r="C336" s="8" t="n"/>
      <x:c r="D336" s="8" t="n"/>
      <x:c r="E336" s="8" t="n"/>
      <x:c r="F336" s="8" t="n"/>
      <x:c r="G336" s="7">
        <x:f>IF(A336="","",IF(01_Parametres!$B$11="Oui",IF((01_Parametres!$B$4*(D336&gt;0)+01_Parametres!$B$5*(E336&gt;0)+01_Parametres!$B$6*(F336&gt;0))=0,"",(01_Parametres!$B$4*IF(D336&gt;0,D336,0)+01_Parametres!$B$5*IF(E336&gt;0,E336,0)+01_Parametres!$B$6*IF(F336&gt;0,F336,0))/(01_Parametres!$B$4*(D336&gt;0)+01_Parametres!$B$5*(E336&gt;0)+01_Parametres!$B$6*(F336&gt;0))),IF(01_Parametres!$B$8=0,"",(01_Parametres!$B$4*D336+01_Parametres!$B$5*E336+01_Parametres!$B$6*F336)/01_Parametres!$B$8)))</x:f>
      </x:c>
      <x:c r="H336">
        <x:f>IFERROR(VLOOKUP(C336,02_Referentiels!$A$20:$D$99,3,FALSE),"")</x:f>
      </x:c>
      <x:c r="I336">
        <x:f>IFERROR(VLOOKUP(B336,02_Referentiels!$A$5:$C$16,2,FALSE),"")</x:f>
      </x:c>
      <x:c r="J336">
        <x:f>IF(A336="","",IF(OR(D336="",E336="",F336=""),1,IF(OR(D336&lt;0,D336&gt;3,E336&lt;0,E336&gt;3,F336&lt;0,F336&gt;3),1,0)))</x:f>
      </x:c>
      <x:c r="K336">
        <x:f>IF(A336="","",IF(G336="",1,0))</x:f>
      </x:c>
      <x:c r="L336">
        <x:f>IF(A336="","",IF(COUNTIFS($A$5:$A$2004,A336,$C$5:$C$2004,C336)&gt;1,1,0))</x:f>
      </x:c>
    </x:row>
    <x:row r="337">
      <x:c r="A337" s="8" t="n"/>
      <x:c r="B337" s="8" t="n"/>
      <x:c r="C337" s="8" t="n"/>
      <x:c r="D337" s="8" t="n"/>
      <x:c r="E337" s="8" t="n"/>
      <x:c r="F337" s="8" t="n"/>
      <x:c r="G337" s="7">
        <x:f>IF(A337="","",IF(01_Parametres!$B$11="Oui",IF((01_Parametres!$B$4*(D337&gt;0)+01_Parametres!$B$5*(E337&gt;0)+01_Parametres!$B$6*(F337&gt;0))=0,"",(01_Parametres!$B$4*IF(D337&gt;0,D337,0)+01_Parametres!$B$5*IF(E337&gt;0,E337,0)+01_Parametres!$B$6*IF(F337&gt;0,F337,0))/(01_Parametres!$B$4*(D337&gt;0)+01_Parametres!$B$5*(E337&gt;0)+01_Parametres!$B$6*(F337&gt;0))),IF(01_Parametres!$B$8=0,"",(01_Parametres!$B$4*D337+01_Parametres!$B$5*E337+01_Parametres!$B$6*F337)/01_Parametres!$B$8)))</x:f>
      </x:c>
      <x:c r="H337">
        <x:f>IFERROR(VLOOKUP(C337,02_Referentiels!$A$20:$D$99,3,FALSE),"")</x:f>
      </x:c>
      <x:c r="I337">
        <x:f>IFERROR(VLOOKUP(B337,02_Referentiels!$A$5:$C$16,2,FALSE),"")</x:f>
      </x:c>
      <x:c r="J337">
        <x:f>IF(A337="","",IF(OR(D337="",E337="",F337=""),1,IF(OR(D337&lt;0,D337&gt;3,E337&lt;0,E337&gt;3,F337&lt;0,F337&gt;3),1,0)))</x:f>
      </x:c>
      <x:c r="K337">
        <x:f>IF(A337="","",IF(G337="",1,0))</x:f>
      </x:c>
      <x:c r="L337">
        <x:f>IF(A337="","",IF(COUNTIFS($A$5:$A$2004,A337,$C$5:$C$2004,C337)&gt;1,1,0))</x:f>
      </x:c>
    </x:row>
    <x:row r="338">
      <x:c r="A338" s="8" t="n"/>
      <x:c r="B338" s="8" t="n"/>
      <x:c r="C338" s="8" t="n"/>
      <x:c r="D338" s="8" t="n"/>
      <x:c r="E338" s="8" t="n"/>
      <x:c r="F338" s="8" t="n"/>
      <x:c r="G338" s="7">
        <x:f>IF(A338="","",IF(01_Parametres!$B$11="Oui",IF((01_Parametres!$B$4*(D338&gt;0)+01_Parametres!$B$5*(E338&gt;0)+01_Parametres!$B$6*(F338&gt;0))=0,"",(01_Parametres!$B$4*IF(D338&gt;0,D338,0)+01_Parametres!$B$5*IF(E338&gt;0,E338,0)+01_Parametres!$B$6*IF(F338&gt;0,F338,0))/(01_Parametres!$B$4*(D338&gt;0)+01_Parametres!$B$5*(E338&gt;0)+01_Parametres!$B$6*(F338&gt;0))),IF(01_Parametres!$B$8=0,"",(01_Parametres!$B$4*D338+01_Parametres!$B$5*E338+01_Parametres!$B$6*F338)/01_Parametres!$B$8)))</x:f>
      </x:c>
      <x:c r="H338">
        <x:f>IFERROR(VLOOKUP(C338,02_Referentiels!$A$20:$D$99,3,FALSE),"")</x:f>
      </x:c>
      <x:c r="I338">
        <x:f>IFERROR(VLOOKUP(B338,02_Referentiels!$A$5:$C$16,2,FALSE),"")</x:f>
      </x:c>
      <x:c r="J338">
        <x:f>IF(A338="","",IF(OR(D338="",E338="",F338=""),1,IF(OR(D338&lt;0,D338&gt;3,E338&lt;0,E338&gt;3,F338&lt;0,F338&gt;3),1,0)))</x:f>
      </x:c>
      <x:c r="K338">
        <x:f>IF(A338="","",IF(G338="",1,0))</x:f>
      </x:c>
      <x:c r="L338">
        <x:f>IF(A338="","",IF(COUNTIFS($A$5:$A$2004,A338,$C$5:$C$2004,C338)&gt;1,1,0))</x:f>
      </x:c>
    </x:row>
    <x:row r="339">
      <x:c r="A339" s="8" t="n"/>
      <x:c r="B339" s="8" t="n"/>
      <x:c r="C339" s="8" t="n"/>
      <x:c r="D339" s="8" t="n"/>
      <x:c r="E339" s="8" t="n"/>
      <x:c r="F339" s="8" t="n"/>
      <x:c r="G339" s="7">
        <x:f>IF(A339="","",IF(01_Parametres!$B$11="Oui",IF((01_Parametres!$B$4*(D339&gt;0)+01_Parametres!$B$5*(E339&gt;0)+01_Parametres!$B$6*(F339&gt;0))=0,"",(01_Parametres!$B$4*IF(D339&gt;0,D339,0)+01_Parametres!$B$5*IF(E339&gt;0,E339,0)+01_Parametres!$B$6*IF(F339&gt;0,F339,0))/(01_Parametres!$B$4*(D339&gt;0)+01_Parametres!$B$5*(E339&gt;0)+01_Parametres!$B$6*(F339&gt;0))),IF(01_Parametres!$B$8=0,"",(01_Parametres!$B$4*D339+01_Parametres!$B$5*E339+01_Parametres!$B$6*F339)/01_Parametres!$B$8)))</x:f>
      </x:c>
      <x:c r="H339">
        <x:f>IFERROR(VLOOKUP(C339,02_Referentiels!$A$20:$D$99,3,FALSE),"")</x:f>
      </x:c>
      <x:c r="I339">
        <x:f>IFERROR(VLOOKUP(B339,02_Referentiels!$A$5:$C$16,2,FALSE),"")</x:f>
      </x:c>
      <x:c r="J339">
        <x:f>IF(A339="","",IF(OR(D339="",E339="",F339=""),1,IF(OR(D339&lt;0,D339&gt;3,E339&lt;0,E339&gt;3,F339&lt;0,F339&gt;3),1,0)))</x:f>
      </x:c>
      <x:c r="K339">
        <x:f>IF(A339="","",IF(G339="",1,0))</x:f>
      </x:c>
      <x:c r="L339">
        <x:f>IF(A339="","",IF(COUNTIFS($A$5:$A$2004,A339,$C$5:$C$2004,C339)&gt;1,1,0))</x:f>
      </x:c>
    </x:row>
    <x:row r="340">
      <x:c r="A340" s="8" t="n"/>
      <x:c r="B340" s="8" t="n"/>
      <x:c r="C340" s="8" t="n"/>
      <x:c r="D340" s="8" t="n"/>
      <x:c r="E340" s="8" t="n"/>
      <x:c r="F340" s="8" t="n"/>
      <x:c r="G340" s="7">
        <x:f>IF(A340="","",IF(01_Parametres!$B$11="Oui",IF((01_Parametres!$B$4*(D340&gt;0)+01_Parametres!$B$5*(E340&gt;0)+01_Parametres!$B$6*(F340&gt;0))=0,"",(01_Parametres!$B$4*IF(D340&gt;0,D340,0)+01_Parametres!$B$5*IF(E340&gt;0,E340,0)+01_Parametres!$B$6*IF(F340&gt;0,F340,0))/(01_Parametres!$B$4*(D340&gt;0)+01_Parametres!$B$5*(E340&gt;0)+01_Parametres!$B$6*(F340&gt;0))),IF(01_Parametres!$B$8=0,"",(01_Parametres!$B$4*D340+01_Parametres!$B$5*E340+01_Parametres!$B$6*F340)/01_Parametres!$B$8)))</x:f>
      </x:c>
      <x:c r="H340">
        <x:f>IFERROR(VLOOKUP(C340,02_Referentiels!$A$20:$D$99,3,FALSE),"")</x:f>
      </x:c>
      <x:c r="I340">
        <x:f>IFERROR(VLOOKUP(B340,02_Referentiels!$A$5:$C$16,2,FALSE),"")</x:f>
      </x:c>
      <x:c r="J340">
        <x:f>IF(A340="","",IF(OR(D340="",E340="",F340=""),1,IF(OR(D340&lt;0,D340&gt;3,E340&lt;0,E340&gt;3,F340&lt;0,F340&gt;3),1,0)))</x:f>
      </x:c>
      <x:c r="K340">
        <x:f>IF(A340="","",IF(G340="",1,0))</x:f>
      </x:c>
      <x:c r="L340">
        <x:f>IF(A340="","",IF(COUNTIFS($A$5:$A$2004,A340,$C$5:$C$2004,C340)&gt;1,1,0))</x:f>
      </x:c>
    </x:row>
    <x:row r="341">
      <x:c r="A341" s="8" t="n"/>
      <x:c r="B341" s="8" t="n"/>
      <x:c r="C341" s="8" t="n"/>
      <x:c r="D341" s="8" t="n"/>
      <x:c r="E341" s="8" t="n"/>
      <x:c r="F341" s="8" t="n"/>
      <x:c r="G341" s="7">
        <x:f>IF(A341="","",IF(01_Parametres!$B$11="Oui",IF((01_Parametres!$B$4*(D341&gt;0)+01_Parametres!$B$5*(E341&gt;0)+01_Parametres!$B$6*(F341&gt;0))=0,"",(01_Parametres!$B$4*IF(D341&gt;0,D341,0)+01_Parametres!$B$5*IF(E341&gt;0,E341,0)+01_Parametres!$B$6*IF(F341&gt;0,F341,0))/(01_Parametres!$B$4*(D341&gt;0)+01_Parametres!$B$5*(E341&gt;0)+01_Parametres!$B$6*(F341&gt;0))),IF(01_Parametres!$B$8=0,"",(01_Parametres!$B$4*D341+01_Parametres!$B$5*E341+01_Parametres!$B$6*F341)/01_Parametres!$B$8)))</x:f>
      </x:c>
      <x:c r="H341">
        <x:f>IFERROR(VLOOKUP(C341,02_Referentiels!$A$20:$D$99,3,FALSE),"")</x:f>
      </x:c>
      <x:c r="I341">
        <x:f>IFERROR(VLOOKUP(B341,02_Referentiels!$A$5:$C$16,2,FALSE),"")</x:f>
      </x:c>
      <x:c r="J341">
        <x:f>IF(A341="","",IF(OR(D341="",E341="",F341=""),1,IF(OR(D341&lt;0,D341&gt;3,E341&lt;0,E341&gt;3,F341&lt;0,F341&gt;3),1,0)))</x:f>
      </x:c>
      <x:c r="K341">
        <x:f>IF(A341="","",IF(G341="",1,0))</x:f>
      </x:c>
      <x:c r="L341">
        <x:f>IF(A341="","",IF(COUNTIFS($A$5:$A$2004,A341,$C$5:$C$2004,C341)&gt;1,1,0))</x:f>
      </x:c>
    </x:row>
    <x:row r="342">
      <x:c r="A342" s="8" t="n"/>
      <x:c r="B342" s="8" t="n"/>
      <x:c r="C342" s="8" t="n"/>
      <x:c r="D342" s="8" t="n"/>
      <x:c r="E342" s="8" t="n"/>
      <x:c r="F342" s="8" t="n"/>
      <x:c r="G342" s="7">
        <x:f>IF(A342="","",IF(01_Parametres!$B$11="Oui",IF((01_Parametres!$B$4*(D342&gt;0)+01_Parametres!$B$5*(E342&gt;0)+01_Parametres!$B$6*(F342&gt;0))=0,"",(01_Parametres!$B$4*IF(D342&gt;0,D342,0)+01_Parametres!$B$5*IF(E342&gt;0,E342,0)+01_Parametres!$B$6*IF(F342&gt;0,F342,0))/(01_Parametres!$B$4*(D342&gt;0)+01_Parametres!$B$5*(E342&gt;0)+01_Parametres!$B$6*(F342&gt;0))),IF(01_Parametres!$B$8=0,"",(01_Parametres!$B$4*D342+01_Parametres!$B$5*E342+01_Parametres!$B$6*F342)/01_Parametres!$B$8)))</x:f>
      </x:c>
      <x:c r="H342">
        <x:f>IFERROR(VLOOKUP(C342,02_Referentiels!$A$20:$D$99,3,FALSE),"")</x:f>
      </x:c>
      <x:c r="I342">
        <x:f>IFERROR(VLOOKUP(B342,02_Referentiels!$A$5:$C$16,2,FALSE),"")</x:f>
      </x:c>
      <x:c r="J342">
        <x:f>IF(A342="","",IF(OR(D342="",E342="",F342=""),1,IF(OR(D342&lt;0,D342&gt;3,E342&lt;0,E342&gt;3,F342&lt;0,F342&gt;3),1,0)))</x:f>
      </x:c>
      <x:c r="K342">
        <x:f>IF(A342="","",IF(G342="",1,0))</x:f>
      </x:c>
      <x:c r="L342">
        <x:f>IF(A342="","",IF(COUNTIFS($A$5:$A$2004,A342,$C$5:$C$2004,C342)&gt;1,1,0))</x:f>
      </x:c>
    </x:row>
    <x:row r="343">
      <x:c r="A343" s="8" t="n"/>
      <x:c r="B343" s="8" t="n"/>
      <x:c r="C343" s="8" t="n"/>
      <x:c r="D343" s="8" t="n"/>
      <x:c r="E343" s="8" t="n"/>
      <x:c r="F343" s="8" t="n"/>
      <x:c r="G343" s="7">
        <x:f>IF(A343="","",IF(01_Parametres!$B$11="Oui",IF((01_Parametres!$B$4*(D343&gt;0)+01_Parametres!$B$5*(E343&gt;0)+01_Parametres!$B$6*(F343&gt;0))=0,"",(01_Parametres!$B$4*IF(D343&gt;0,D343,0)+01_Parametres!$B$5*IF(E343&gt;0,E343,0)+01_Parametres!$B$6*IF(F343&gt;0,F343,0))/(01_Parametres!$B$4*(D343&gt;0)+01_Parametres!$B$5*(E343&gt;0)+01_Parametres!$B$6*(F343&gt;0))),IF(01_Parametres!$B$8=0,"",(01_Parametres!$B$4*D343+01_Parametres!$B$5*E343+01_Parametres!$B$6*F343)/01_Parametres!$B$8)))</x:f>
      </x:c>
      <x:c r="H343">
        <x:f>IFERROR(VLOOKUP(C343,02_Referentiels!$A$20:$D$99,3,FALSE),"")</x:f>
      </x:c>
      <x:c r="I343">
        <x:f>IFERROR(VLOOKUP(B343,02_Referentiels!$A$5:$C$16,2,FALSE),"")</x:f>
      </x:c>
      <x:c r="J343">
        <x:f>IF(A343="","",IF(OR(D343="",E343="",F343=""),1,IF(OR(D343&lt;0,D343&gt;3,E343&lt;0,E343&gt;3,F343&lt;0,F343&gt;3),1,0)))</x:f>
      </x:c>
      <x:c r="K343">
        <x:f>IF(A343="","",IF(G343="",1,0))</x:f>
      </x:c>
      <x:c r="L343">
        <x:f>IF(A343="","",IF(COUNTIFS($A$5:$A$2004,A343,$C$5:$C$2004,C343)&gt;1,1,0))</x:f>
      </x:c>
    </x:row>
    <x:row r="344">
      <x:c r="A344" s="8" t="n"/>
      <x:c r="B344" s="8" t="n"/>
      <x:c r="C344" s="8" t="n"/>
      <x:c r="D344" s="8" t="n"/>
      <x:c r="E344" s="8" t="n"/>
      <x:c r="F344" s="8" t="n"/>
      <x:c r="G344" s="7">
        <x:f>IF(A344="","",IF(01_Parametres!$B$11="Oui",IF((01_Parametres!$B$4*(D344&gt;0)+01_Parametres!$B$5*(E344&gt;0)+01_Parametres!$B$6*(F344&gt;0))=0,"",(01_Parametres!$B$4*IF(D344&gt;0,D344,0)+01_Parametres!$B$5*IF(E344&gt;0,E344,0)+01_Parametres!$B$6*IF(F344&gt;0,F344,0))/(01_Parametres!$B$4*(D344&gt;0)+01_Parametres!$B$5*(E344&gt;0)+01_Parametres!$B$6*(F344&gt;0))),IF(01_Parametres!$B$8=0,"",(01_Parametres!$B$4*D344+01_Parametres!$B$5*E344+01_Parametres!$B$6*F344)/01_Parametres!$B$8)))</x:f>
      </x:c>
      <x:c r="H344">
        <x:f>IFERROR(VLOOKUP(C344,02_Referentiels!$A$20:$D$99,3,FALSE),"")</x:f>
      </x:c>
      <x:c r="I344">
        <x:f>IFERROR(VLOOKUP(B344,02_Referentiels!$A$5:$C$16,2,FALSE),"")</x:f>
      </x:c>
      <x:c r="J344">
        <x:f>IF(A344="","",IF(OR(D344="",E344="",F344=""),1,IF(OR(D344&lt;0,D344&gt;3,E344&lt;0,E344&gt;3,F344&lt;0,F344&gt;3),1,0)))</x:f>
      </x:c>
      <x:c r="K344">
        <x:f>IF(A344="","",IF(G344="",1,0))</x:f>
      </x:c>
      <x:c r="L344">
        <x:f>IF(A344="","",IF(COUNTIFS($A$5:$A$2004,A344,$C$5:$C$2004,C344)&gt;1,1,0))</x:f>
      </x:c>
    </x:row>
    <x:row r="345">
      <x:c r="A345" s="8" t="n"/>
      <x:c r="B345" s="8" t="n"/>
      <x:c r="C345" s="8" t="n"/>
      <x:c r="D345" s="8" t="n"/>
      <x:c r="E345" s="8" t="n"/>
      <x:c r="F345" s="8" t="n"/>
      <x:c r="G345" s="7">
        <x:f>IF(A345="","",IF(01_Parametres!$B$11="Oui",IF((01_Parametres!$B$4*(D345&gt;0)+01_Parametres!$B$5*(E345&gt;0)+01_Parametres!$B$6*(F345&gt;0))=0,"",(01_Parametres!$B$4*IF(D345&gt;0,D345,0)+01_Parametres!$B$5*IF(E345&gt;0,E345,0)+01_Parametres!$B$6*IF(F345&gt;0,F345,0))/(01_Parametres!$B$4*(D345&gt;0)+01_Parametres!$B$5*(E345&gt;0)+01_Parametres!$B$6*(F345&gt;0))),IF(01_Parametres!$B$8=0,"",(01_Parametres!$B$4*D345+01_Parametres!$B$5*E345+01_Parametres!$B$6*F345)/01_Parametres!$B$8)))</x:f>
      </x:c>
      <x:c r="H345">
        <x:f>IFERROR(VLOOKUP(C345,02_Referentiels!$A$20:$D$99,3,FALSE),"")</x:f>
      </x:c>
      <x:c r="I345">
        <x:f>IFERROR(VLOOKUP(B345,02_Referentiels!$A$5:$C$16,2,FALSE),"")</x:f>
      </x:c>
      <x:c r="J345">
        <x:f>IF(A345="","",IF(OR(D345="",E345="",F345=""),1,IF(OR(D345&lt;0,D345&gt;3,E345&lt;0,E345&gt;3,F345&lt;0,F345&gt;3),1,0)))</x:f>
      </x:c>
      <x:c r="K345">
        <x:f>IF(A345="","",IF(G345="",1,0))</x:f>
      </x:c>
      <x:c r="L345">
        <x:f>IF(A345="","",IF(COUNTIFS($A$5:$A$2004,A345,$C$5:$C$2004,C345)&gt;1,1,0))</x:f>
      </x:c>
    </x:row>
    <x:row r="346">
      <x:c r="A346" s="8" t="n"/>
      <x:c r="B346" s="8" t="n"/>
      <x:c r="C346" s="8" t="n"/>
      <x:c r="D346" s="8" t="n"/>
      <x:c r="E346" s="8" t="n"/>
      <x:c r="F346" s="8" t="n"/>
      <x:c r="G346" s="7">
        <x:f>IF(A346="","",IF(01_Parametres!$B$11="Oui",IF((01_Parametres!$B$4*(D346&gt;0)+01_Parametres!$B$5*(E346&gt;0)+01_Parametres!$B$6*(F346&gt;0))=0,"",(01_Parametres!$B$4*IF(D346&gt;0,D346,0)+01_Parametres!$B$5*IF(E346&gt;0,E346,0)+01_Parametres!$B$6*IF(F346&gt;0,F346,0))/(01_Parametres!$B$4*(D346&gt;0)+01_Parametres!$B$5*(E346&gt;0)+01_Parametres!$B$6*(F346&gt;0))),IF(01_Parametres!$B$8=0,"",(01_Parametres!$B$4*D346+01_Parametres!$B$5*E346+01_Parametres!$B$6*F346)/01_Parametres!$B$8)))</x:f>
      </x:c>
      <x:c r="H346">
        <x:f>IFERROR(VLOOKUP(C346,02_Referentiels!$A$20:$D$99,3,FALSE),"")</x:f>
      </x:c>
      <x:c r="I346">
        <x:f>IFERROR(VLOOKUP(B346,02_Referentiels!$A$5:$C$16,2,FALSE),"")</x:f>
      </x:c>
      <x:c r="J346">
        <x:f>IF(A346="","",IF(OR(D346="",E346="",F346=""),1,IF(OR(D346&lt;0,D346&gt;3,E346&lt;0,E346&gt;3,F346&lt;0,F346&gt;3),1,0)))</x:f>
      </x:c>
      <x:c r="K346">
        <x:f>IF(A346="","",IF(G346="",1,0))</x:f>
      </x:c>
      <x:c r="L346">
        <x:f>IF(A346="","",IF(COUNTIFS($A$5:$A$2004,A346,$C$5:$C$2004,C346)&gt;1,1,0))</x:f>
      </x:c>
    </x:row>
    <x:row r="347">
      <x:c r="A347" s="8" t="n"/>
      <x:c r="B347" s="8" t="n"/>
      <x:c r="C347" s="8" t="n"/>
      <x:c r="D347" s="8" t="n"/>
      <x:c r="E347" s="8" t="n"/>
      <x:c r="F347" s="8" t="n"/>
      <x:c r="G347" s="7">
        <x:f>IF(A347="","",IF(01_Parametres!$B$11="Oui",IF((01_Parametres!$B$4*(D347&gt;0)+01_Parametres!$B$5*(E347&gt;0)+01_Parametres!$B$6*(F347&gt;0))=0,"",(01_Parametres!$B$4*IF(D347&gt;0,D347,0)+01_Parametres!$B$5*IF(E347&gt;0,E347,0)+01_Parametres!$B$6*IF(F347&gt;0,F347,0))/(01_Parametres!$B$4*(D347&gt;0)+01_Parametres!$B$5*(E347&gt;0)+01_Parametres!$B$6*(F347&gt;0))),IF(01_Parametres!$B$8=0,"",(01_Parametres!$B$4*D347+01_Parametres!$B$5*E347+01_Parametres!$B$6*F347)/01_Parametres!$B$8)))</x:f>
      </x:c>
      <x:c r="H347">
        <x:f>IFERROR(VLOOKUP(C347,02_Referentiels!$A$20:$D$99,3,FALSE),"")</x:f>
      </x:c>
      <x:c r="I347">
        <x:f>IFERROR(VLOOKUP(B347,02_Referentiels!$A$5:$C$16,2,FALSE),"")</x:f>
      </x:c>
      <x:c r="J347">
        <x:f>IF(A347="","",IF(OR(D347="",E347="",F347=""),1,IF(OR(D347&lt;0,D347&gt;3,E347&lt;0,E347&gt;3,F347&lt;0,F347&gt;3),1,0)))</x:f>
      </x:c>
      <x:c r="K347">
        <x:f>IF(A347="","",IF(G347="",1,0))</x:f>
      </x:c>
      <x:c r="L347">
        <x:f>IF(A347="","",IF(COUNTIFS($A$5:$A$2004,A347,$C$5:$C$2004,C347)&gt;1,1,0))</x:f>
      </x:c>
    </x:row>
    <x:row r="348">
      <x:c r="A348" s="8" t="n"/>
      <x:c r="B348" s="8" t="n"/>
      <x:c r="C348" s="8" t="n"/>
      <x:c r="D348" s="8" t="n"/>
      <x:c r="E348" s="8" t="n"/>
      <x:c r="F348" s="8" t="n"/>
      <x:c r="G348" s="7">
        <x:f>IF(A348="","",IF(01_Parametres!$B$11="Oui",IF((01_Parametres!$B$4*(D348&gt;0)+01_Parametres!$B$5*(E348&gt;0)+01_Parametres!$B$6*(F348&gt;0))=0,"",(01_Parametres!$B$4*IF(D348&gt;0,D348,0)+01_Parametres!$B$5*IF(E348&gt;0,E348,0)+01_Parametres!$B$6*IF(F348&gt;0,F348,0))/(01_Parametres!$B$4*(D348&gt;0)+01_Parametres!$B$5*(E348&gt;0)+01_Parametres!$B$6*(F348&gt;0))),IF(01_Parametres!$B$8=0,"",(01_Parametres!$B$4*D348+01_Parametres!$B$5*E348+01_Parametres!$B$6*F348)/01_Parametres!$B$8)))</x:f>
      </x:c>
      <x:c r="H348">
        <x:f>IFERROR(VLOOKUP(C348,02_Referentiels!$A$20:$D$99,3,FALSE),"")</x:f>
      </x:c>
      <x:c r="I348">
        <x:f>IFERROR(VLOOKUP(B348,02_Referentiels!$A$5:$C$16,2,FALSE),"")</x:f>
      </x:c>
      <x:c r="J348">
        <x:f>IF(A348="","",IF(OR(D348="",E348="",F348=""),1,IF(OR(D348&lt;0,D348&gt;3,E348&lt;0,E348&gt;3,F348&lt;0,F348&gt;3),1,0)))</x:f>
      </x:c>
      <x:c r="K348">
        <x:f>IF(A348="","",IF(G348="",1,0))</x:f>
      </x:c>
      <x:c r="L348">
        <x:f>IF(A348="","",IF(COUNTIFS($A$5:$A$2004,A348,$C$5:$C$2004,C348)&gt;1,1,0))</x:f>
      </x:c>
    </x:row>
    <x:row r="349">
      <x:c r="A349" s="8" t="n"/>
      <x:c r="B349" s="8" t="n"/>
      <x:c r="C349" s="8" t="n"/>
      <x:c r="D349" s="8" t="n"/>
      <x:c r="E349" s="8" t="n"/>
      <x:c r="F349" s="8" t="n"/>
      <x:c r="G349" s="7">
        <x:f>IF(A349="","",IF(01_Parametres!$B$11="Oui",IF((01_Parametres!$B$4*(D349&gt;0)+01_Parametres!$B$5*(E349&gt;0)+01_Parametres!$B$6*(F349&gt;0))=0,"",(01_Parametres!$B$4*IF(D349&gt;0,D349,0)+01_Parametres!$B$5*IF(E349&gt;0,E349,0)+01_Parametres!$B$6*IF(F349&gt;0,F349,0))/(01_Parametres!$B$4*(D349&gt;0)+01_Parametres!$B$5*(E349&gt;0)+01_Parametres!$B$6*(F349&gt;0))),IF(01_Parametres!$B$8=0,"",(01_Parametres!$B$4*D349+01_Parametres!$B$5*E349+01_Parametres!$B$6*F349)/01_Parametres!$B$8)))</x:f>
      </x:c>
      <x:c r="H349">
        <x:f>IFERROR(VLOOKUP(C349,02_Referentiels!$A$20:$D$99,3,FALSE),"")</x:f>
      </x:c>
      <x:c r="I349">
        <x:f>IFERROR(VLOOKUP(B349,02_Referentiels!$A$5:$C$16,2,FALSE),"")</x:f>
      </x:c>
      <x:c r="J349">
        <x:f>IF(A349="","",IF(OR(D349="",E349="",F349=""),1,IF(OR(D349&lt;0,D349&gt;3,E349&lt;0,E349&gt;3,F349&lt;0,F349&gt;3),1,0)))</x:f>
      </x:c>
      <x:c r="K349">
        <x:f>IF(A349="","",IF(G349="",1,0))</x:f>
      </x:c>
      <x:c r="L349">
        <x:f>IF(A349="","",IF(COUNTIFS($A$5:$A$2004,A349,$C$5:$C$2004,C349)&gt;1,1,0))</x:f>
      </x:c>
    </x:row>
    <x:row r="350">
      <x:c r="A350" s="8" t="n"/>
      <x:c r="B350" s="8" t="n"/>
      <x:c r="C350" s="8" t="n"/>
      <x:c r="D350" s="8" t="n"/>
      <x:c r="E350" s="8" t="n"/>
      <x:c r="F350" s="8" t="n"/>
      <x:c r="G350" s="7">
        <x:f>IF(A350="","",IF(01_Parametres!$B$11="Oui",IF((01_Parametres!$B$4*(D350&gt;0)+01_Parametres!$B$5*(E350&gt;0)+01_Parametres!$B$6*(F350&gt;0))=0,"",(01_Parametres!$B$4*IF(D350&gt;0,D350,0)+01_Parametres!$B$5*IF(E350&gt;0,E350,0)+01_Parametres!$B$6*IF(F350&gt;0,F350,0))/(01_Parametres!$B$4*(D350&gt;0)+01_Parametres!$B$5*(E350&gt;0)+01_Parametres!$B$6*(F350&gt;0))),IF(01_Parametres!$B$8=0,"",(01_Parametres!$B$4*D350+01_Parametres!$B$5*E350+01_Parametres!$B$6*F350)/01_Parametres!$B$8)))</x:f>
      </x:c>
      <x:c r="H350">
        <x:f>IFERROR(VLOOKUP(C350,02_Referentiels!$A$20:$D$99,3,FALSE),"")</x:f>
      </x:c>
      <x:c r="I350">
        <x:f>IFERROR(VLOOKUP(B350,02_Referentiels!$A$5:$C$16,2,FALSE),"")</x:f>
      </x:c>
      <x:c r="J350">
        <x:f>IF(A350="","",IF(OR(D350="",E350="",F350=""),1,IF(OR(D350&lt;0,D350&gt;3,E350&lt;0,E350&gt;3,F350&lt;0,F350&gt;3),1,0)))</x:f>
      </x:c>
      <x:c r="K350">
        <x:f>IF(A350="","",IF(G350="",1,0))</x:f>
      </x:c>
      <x:c r="L350">
        <x:f>IF(A350="","",IF(COUNTIFS($A$5:$A$2004,A350,$C$5:$C$2004,C350)&gt;1,1,0))</x:f>
      </x:c>
    </x:row>
    <x:row r="351">
      <x:c r="A351" s="8" t="n"/>
      <x:c r="B351" s="8" t="n"/>
      <x:c r="C351" s="8" t="n"/>
      <x:c r="D351" s="8" t="n"/>
      <x:c r="E351" s="8" t="n"/>
      <x:c r="F351" s="8" t="n"/>
      <x:c r="G351" s="7">
        <x:f>IF(A351="","",IF(01_Parametres!$B$11="Oui",IF((01_Parametres!$B$4*(D351&gt;0)+01_Parametres!$B$5*(E351&gt;0)+01_Parametres!$B$6*(F351&gt;0))=0,"",(01_Parametres!$B$4*IF(D351&gt;0,D351,0)+01_Parametres!$B$5*IF(E351&gt;0,E351,0)+01_Parametres!$B$6*IF(F351&gt;0,F351,0))/(01_Parametres!$B$4*(D351&gt;0)+01_Parametres!$B$5*(E351&gt;0)+01_Parametres!$B$6*(F351&gt;0))),IF(01_Parametres!$B$8=0,"",(01_Parametres!$B$4*D351+01_Parametres!$B$5*E351+01_Parametres!$B$6*F351)/01_Parametres!$B$8)))</x:f>
      </x:c>
      <x:c r="H351">
        <x:f>IFERROR(VLOOKUP(C351,02_Referentiels!$A$20:$D$99,3,FALSE),"")</x:f>
      </x:c>
      <x:c r="I351">
        <x:f>IFERROR(VLOOKUP(B351,02_Referentiels!$A$5:$C$16,2,FALSE),"")</x:f>
      </x:c>
      <x:c r="J351">
        <x:f>IF(A351="","",IF(OR(D351="",E351="",F351=""),1,IF(OR(D351&lt;0,D351&gt;3,E351&lt;0,E351&gt;3,F351&lt;0,F351&gt;3),1,0)))</x:f>
      </x:c>
      <x:c r="K351">
        <x:f>IF(A351="","",IF(G351="",1,0))</x:f>
      </x:c>
      <x:c r="L351">
        <x:f>IF(A351="","",IF(COUNTIFS($A$5:$A$2004,A351,$C$5:$C$2004,C351)&gt;1,1,0))</x:f>
      </x:c>
    </x:row>
    <x:row r="352">
      <x:c r="A352" s="8" t="n"/>
      <x:c r="B352" s="8" t="n"/>
      <x:c r="C352" s="8" t="n"/>
      <x:c r="D352" s="8" t="n"/>
      <x:c r="E352" s="8" t="n"/>
      <x:c r="F352" s="8" t="n"/>
      <x:c r="G352" s="7">
        <x:f>IF(A352="","",IF(01_Parametres!$B$11="Oui",IF((01_Parametres!$B$4*(D352&gt;0)+01_Parametres!$B$5*(E352&gt;0)+01_Parametres!$B$6*(F352&gt;0))=0,"",(01_Parametres!$B$4*IF(D352&gt;0,D352,0)+01_Parametres!$B$5*IF(E352&gt;0,E352,0)+01_Parametres!$B$6*IF(F352&gt;0,F352,0))/(01_Parametres!$B$4*(D352&gt;0)+01_Parametres!$B$5*(E352&gt;0)+01_Parametres!$B$6*(F352&gt;0))),IF(01_Parametres!$B$8=0,"",(01_Parametres!$B$4*D352+01_Parametres!$B$5*E352+01_Parametres!$B$6*F352)/01_Parametres!$B$8)))</x:f>
      </x:c>
      <x:c r="H352">
        <x:f>IFERROR(VLOOKUP(C352,02_Referentiels!$A$20:$D$99,3,FALSE),"")</x:f>
      </x:c>
      <x:c r="I352">
        <x:f>IFERROR(VLOOKUP(B352,02_Referentiels!$A$5:$C$16,2,FALSE),"")</x:f>
      </x:c>
      <x:c r="J352">
        <x:f>IF(A352="","",IF(OR(D352="",E352="",F352=""),1,IF(OR(D352&lt;0,D352&gt;3,E352&lt;0,E352&gt;3,F352&lt;0,F352&gt;3),1,0)))</x:f>
      </x:c>
      <x:c r="K352">
        <x:f>IF(A352="","",IF(G352="",1,0))</x:f>
      </x:c>
      <x:c r="L352">
        <x:f>IF(A352="","",IF(COUNTIFS($A$5:$A$2004,A352,$C$5:$C$2004,C352)&gt;1,1,0))</x:f>
      </x:c>
    </x:row>
    <x:row r="353">
      <x:c r="A353" s="8" t="n"/>
      <x:c r="B353" s="8" t="n"/>
      <x:c r="C353" s="8" t="n"/>
      <x:c r="D353" s="8" t="n"/>
      <x:c r="E353" s="8" t="n"/>
      <x:c r="F353" s="8" t="n"/>
      <x:c r="G353" s="7">
        <x:f>IF(A353="","",IF(01_Parametres!$B$11="Oui",IF((01_Parametres!$B$4*(D353&gt;0)+01_Parametres!$B$5*(E353&gt;0)+01_Parametres!$B$6*(F353&gt;0))=0,"",(01_Parametres!$B$4*IF(D353&gt;0,D353,0)+01_Parametres!$B$5*IF(E353&gt;0,E353,0)+01_Parametres!$B$6*IF(F353&gt;0,F353,0))/(01_Parametres!$B$4*(D353&gt;0)+01_Parametres!$B$5*(E353&gt;0)+01_Parametres!$B$6*(F353&gt;0))),IF(01_Parametres!$B$8=0,"",(01_Parametres!$B$4*D353+01_Parametres!$B$5*E353+01_Parametres!$B$6*F353)/01_Parametres!$B$8)))</x:f>
      </x:c>
      <x:c r="H353">
        <x:f>IFERROR(VLOOKUP(C353,02_Referentiels!$A$20:$D$99,3,FALSE),"")</x:f>
      </x:c>
      <x:c r="I353">
        <x:f>IFERROR(VLOOKUP(B353,02_Referentiels!$A$5:$C$16,2,FALSE),"")</x:f>
      </x:c>
      <x:c r="J353">
        <x:f>IF(A353="","",IF(OR(D353="",E353="",F353=""),1,IF(OR(D353&lt;0,D353&gt;3,E353&lt;0,E353&gt;3,F353&lt;0,F353&gt;3),1,0)))</x:f>
      </x:c>
      <x:c r="K353">
        <x:f>IF(A353="","",IF(G353="",1,0))</x:f>
      </x:c>
      <x:c r="L353">
        <x:f>IF(A353="","",IF(COUNTIFS($A$5:$A$2004,A353,$C$5:$C$2004,C353)&gt;1,1,0))</x:f>
      </x:c>
    </x:row>
    <x:row r="354">
      <x:c r="A354" s="8" t="n"/>
      <x:c r="B354" s="8" t="n"/>
      <x:c r="C354" s="8" t="n"/>
      <x:c r="D354" s="8" t="n"/>
      <x:c r="E354" s="8" t="n"/>
      <x:c r="F354" s="8" t="n"/>
      <x:c r="G354" s="7">
        <x:f>IF(A354="","",IF(01_Parametres!$B$11="Oui",IF((01_Parametres!$B$4*(D354&gt;0)+01_Parametres!$B$5*(E354&gt;0)+01_Parametres!$B$6*(F354&gt;0))=0,"",(01_Parametres!$B$4*IF(D354&gt;0,D354,0)+01_Parametres!$B$5*IF(E354&gt;0,E354,0)+01_Parametres!$B$6*IF(F354&gt;0,F354,0))/(01_Parametres!$B$4*(D354&gt;0)+01_Parametres!$B$5*(E354&gt;0)+01_Parametres!$B$6*(F354&gt;0))),IF(01_Parametres!$B$8=0,"",(01_Parametres!$B$4*D354+01_Parametres!$B$5*E354+01_Parametres!$B$6*F354)/01_Parametres!$B$8)))</x:f>
      </x:c>
      <x:c r="H354">
        <x:f>IFERROR(VLOOKUP(C354,02_Referentiels!$A$20:$D$99,3,FALSE),"")</x:f>
      </x:c>
      <x:c r="I354">
        <x:f>IFERROR(VLOOKUP(B354,02_Referentiels!$A$5:$C$16,2,FALSE),"")</x:f>
      </x:c>
      <x:c r="J354">
        <x:f>IF(A354="","",IF(OR(D354="",E354="",F354=""),1,IF(OR(D354&lt;0,D354&gt;3,E354&lt;0,E354&gt;3,F354&lt;0,F354&gt;3),1,0)))</x:f>
      </x:c>
      <x:c r="K354">
        <x:f>IF(A354="","",IF(G354="",1,0))</x:f>
      </x:c>
      <x:c r="L354">
        <x:f>IF(A354="","",IF(COUNTIFS($A$5:$A$2004,A354,$C$5:$C$2004,C354)&gt;1,1,0))</x:f>
      </x:c>
    </x:row>
    <x:row r="355">
      <x:c r="A355" s="8" t="n"/>
      <x:c r="B355" s="8" t="n"/>
      <x:c r="C355" s="8" t="n"/>
      <x:c r="D355" s="8" t="n"/>
      <x:c r="E355" s="8" t="n"/>
      <x:c r="F355" s="8" t="n"/>
      <x:c r="G355" s="7">
        <x:f>IF(A355="","",IF(01_Parametres!$B$11="Oui",IF((01_Parametres!$B$4*(D355&gt;0)+01_Parametres!$B$5*(E355&gt;0)+01_Parametres!$B$6*(F355&gt;0))=0,"",(01_Parametres!$B$4*IF(D355&gt;0,D355,0)+01_Parametres!$B$5*IF(E355&gt;0,E355,0)+01_Parametres!$B$6*IF(F355&gt;0,F355,0))/(01_Parametres!$B$4*(D355&gt;0)+01_Parametres!$B$5*(E355&gt;0)+01_Parametres!$B$6*(F355&gt;0))),IF(01_Parametres!$B$8=0,"",(01_Parametres!$B$4*D355+01_Parametres!$B$5*E355+01_Parametres!$B$6*F355)/01_Parametres!$B$8)))</x:f>
      </x:c>
      <x:c r="H355">
        <x:f>IFERROR(VLOOKUP(C355,02_Referentiels!$A$20:$D$99,3,FALSE),"")</x:f>
      </x:c>
      <x:c r="I355">
        <x:f>IFERROR(VLOOKUP(B355,02_Referentiels!$A$5:$C$16,2,FALSE),"")</x:f>
      </x:c>
      <x:c r="J355">
        <x:f>IF(A355="","",IF(OR(D355="",E355="",F355=""),1,IF(OR(D355&lt;0,D355&gt;3,E355&lt;0,E355&gt;3,F355&lt;0,F355&gt;3),1,0)))</x:f>
      </x:c>
      <x:c r="K355">
        <x:f>IF(A355="","",IF(G355="",1,0))</x:f>
      </x:c>
      <x:c r="L355">
        <x:f>IF(A355="","",IF(COUNTIFS($A$5:$A$2004,A355,$C$5:$C$2004,C355)&gt;1,1,0))</x:f>
      </x:c>
    </x:row>
    <x:row r="356">
      <x:c r="A356" s="8" t="n"/>
      <x:c r="B356" s="8" t="n"/>
      <x:c r="C356" s="8" t="n"/>
      <x:c r="D356" s="8" t="n"/>
      <x:c r="E356" s="8" t="n"/>
      <x:c r="F356" s="8" t="n"/>
      <x:c r="G356" s="7">
        <x:f>IF(A356="","",IF(01_Parametres!$B$11="Oui",IF((01_Parametres!$B$4*(D356&gt;0)+01_Parametres!$B$5*(E356&gt;0)+01_Parametres!$B$6*(F356&gt;0))=0,"",(01_Parametres!$B$4*IF(D356&gt;0,D356,0)+01_Parametres!$B$5*IF(E356&gt;0,E356,0)+01_Parametres!$B$6*IF(F356&gt;0,F356,0))/(01_Parametres!$B$4*(D356&gt;0)+01_Parametres!$B$5*(E356&gt;0)+01_Parametres!$B$6*(F356&gt;0))),IF(01_Parametres!$B$8=0,"",(01_Parametres!$B$4*D356+01_Parametres!$B$5*E356+01_Parametres!$B$6*F356)/01_Parametres!$B$8)))</x:f>
      </x:c>
      <x:c r="H356">
        <x:f>IFERROR(VLOOKUP(C356,02_Referentiels!$A$20:$D$99,3,FALSE),"")</x:f>
      </x:c>
      <x:c r="I356">
        <x:f>IFERROR(VLOOKUP(B356,02_Referentiels!$A$5:$C$16,2,FALSE),"")</x:f>
      </x:c>
      <x:c r="J356">
        <x:f>IF(A356="","",IF(OR(D356="",E356="",F356=""),1,IF(OR(D356&lt;0,D356&gt;3,E356&lt;0,E356&gt;3,F356&lt;0,F356&gt;3),1,0)))</x:f>
      </x:c>
      <x:c r="K356">
        <x:f>IF(A356="","",IF(G356="",1,0))</x:f>
      </x:c>
      <x:c r="L356">
        <x:f>IF(A356="","",IF(COUNTIFS($A$5:$A$2004,A356,$C$5:$C$2004,C356)&gt;1,1,0))</x:f>
      </x:c>
    </x:row>
    <x:row r="357">
      <x:c r="A357" s="8" t="n"/>
      <x:c r="B357" s="8" t="n"/>
      <x:c r="C357" s="8" t="n"/>
      <x:c r="D357" s="8" t="n"/>
      <x:c r="E357" s="8" t="n"/>
      <x:c r="F357" s="8" t="n"/>
      <x:c r="G357" s="7">
        <x:f>IF(A357="","",IF(01_Parametres!$B$11="Oui",IF((01_Parametres!$B$4*(D357&gt;0)+01_Parametres!$B$5*(E357&gt;0)+01_Parametres!$B$6*(F357&gt;0))=0,"",(01_Parametres!$B$4*IF(D357&gt;0,D357,0)+01_Parametres!$B$5*IF(E357&gt;0,E357,0)+01_Parametres!$B$6*IF(F357&gt;0,F357,0))/(01_Parametres!$B$4*(D357&gt;0)+01_Parametres!$B$5*(E357&gt;0)+01_Parametres!$B$6*(F357&gt;0))),IF(01_Parametres!$B$8=0,"",(01_Parametres!$B$4*D357+01_Parametres!$B$5*E357+01_Parametres!$B$6*F357)/01_Parametres!$B$8)))</x:f>
      </x:c>
      <x:c r="H357">
        <x:f>IFERROR(VLOOKUP(C357,02_Referentiels!$A$20:$D$99,3,FALSE),"")</x:f>
      </x:c>
      <x:c r="I357">
        <x:f>IFERROR(VLOOKUP(B357,02_Referentiels!$A$5:$C$16,2,FALSE),"")</x:f>
      </x:c>
      <x:c r="J357">
        <x:f>IF(A357="","",IF(OR(D357="",E357="",F357=""),1,IF(OR(D357&lt;0,D357&gt;3,E357&lt;0,E357&gt;3,F357&lt;0,F357&gt;3),1,0)))</x:f>
      </x:c>
      <x:c r="K357">
        <x:f>IF(A357="","",IF(G357="",1,0))</x:f>
      </x:c>
      <x:c r="L357">
        <x:f>IF(A357="","",IF(COUNTIFS($A$5:$A$2004,A357,$C$5:$C$2004,C357)&gt;1,1,0))</x:f>
      </x:c>
    </x:row>
    <x:row r="358">
      <x:c r="A358" s="8" t="n"/>
      <x:c r="B358" s="8" t="n"/>
      <x:c r="C358" s="8" t="n"/>
      <x:c r="D358" s="8" t="n"/>
      <x:c r="E358" s="8" t="n"/>
      <x:c r="F358" s="8" t="n"/>
      <x:c r="G358" s="7">
        <x:f>IF(A358="","",IF(01_Parametres!$B$11="Oui",IF((01_Parametres!$B$4*(D358&gt;0)+01_Parametres!$B$5*(E358&gt;0)+01_Parametres!$B$6*(F358&gt;0))=0,"",(01_Parametres!$B$4*IF(D358&gt;0,D358,0)+01_Parametres!$B$5*IF(E358&gt;0,E358,0)+01_Parametres!$B$6*IF(F358&gt;0,F358,0))/(01_Parametres!$B$4*(D358&gt;0)+01_Parametres!$B$5*(E358&gt;0)+01_Parametres!$B$6*(F358&gt;0))),IF(01_Parametres!$B$8=0,"",(01_Parametres!$B$4*D358+01_Parametres!$B$5*E358+01_Parametres!$B$6*F358)/01_Parametres!$B$8)))</x:f>
      </x:c>
      <x:c r="H358">
        <x:f>IFERROR(VLOOKUP(C358,02_Referentiels!$A$20:$D$99,3,FALSE),"")</x:f>
      </x:c>
      <x:c r="I358">
        <x:f>IFERROR(VLOOKUP(B358,02_Referentiels!$A$5:$C$16,2,FALSE),"")</x:f>
      </x:c>
      <x:c r="J358">
        <x:f>IF(A358="","",IF(OR(D358="",E358="",F358=""),1,IF(OR(D358&lt;0,D358&gt;3,E358&lt;0,E358&gt;3,F358&lt;0,F358&gt;3),1,0)))</x:f>
      </x:c>
      <x:c r="K358">
        <x:f>IF(A358="","",IF(G358="",1,0))</x:f>
      </x:c>
      <x:c r="L358">
        <x:f>IF(A358="","",IF(COUNTIFS($A$5:$A$2004,A358,$C$5:$C$2004,C358)&gt;1,1,0))</x:f>
      </x:c>
    </x:row>
    <x:row r="359">
      <x:c r="A359" s="8" t="n"/>
      <x:c r="B359" s="8" t="n"/>
      <x:c r="C359" s="8" t="n"/>
      <x:c r="D359" s="8" t="n"/>
      <x:c r="E359" s="8" t="n"/>
      <x:c r="F359" s="8" t="n"/>
      <x:c r="G359" s="7">
        <x:f>IF(A359="","",IF(01_Parametres!$B$11="Oui",IF((01_Parametres!$B$4*(D359&gt;0)+01_Parametres!$B$5*(E359&gt;0)+01_Parametres!$B$6*(F359&gt;0))=0,"",(01_Parametres!$B$4*IF(D359&gt;0,D359,0)+01_Parametres!$B$5*IF(E359&gt;0,E359,0)+01_Parametres!$B$6*IF(F359&gt;0,F359,0))/(01_Parametres!$B$4*(D359&gt;0)+01_Parametres!$B$5*(E359&gt;0)+01_Parametres!$B$6*(F359&gt;0))),IF(01_Parametres!$B$8=0,"",(01_Parametres!$B$4*D359+01_Parametres!$B$5*E359+01_Parametres!$B$6*F359)/01_Parametres!$B$8)))</x:f>
      </x:c>
      <x:c r="H359">
        <x:f>IFERROR(VLOOKUP(C359,02_Referentiels!$A$20:$D$99,3,FALSE),"")</x:f>
      </x:c>
      <x:c r="I359">
        <x:f>IFERROR(VLOOKUP(B359,02_Referentiels!$A$5:$C$16,2,FALSE),"")</x:f>
      </x:c>
      <x:c r="J359">
        <x:f>IF(A359="","",IF(OR(D359="",E359="",F359=""),1,IF(OR(D359&lt;0,D359&gt;3,E359&lt;0,E359&gt;3,F359&lt;0,F359&gt;3),1,0)))</x:f>
      </x:c>
      <x:c r="K359">
        <x:f>IF(A359="","",IF(G359="",1,0))</x:f>
      </x:c>
      <x:c r="L359">
        <x:f>IF(A359="","",IF(COUNTIFS($A$5:$A$2004,A359,$C$5:$C$2004,C359)&gt;1,1,0))</x:f>
      </x:c>
    </x:row>
    <x:row r="360">
      <x:c r="A360" s="8" t="n"/>
      <x:c r="B360" s="8" t="n"/>
      <x:c r="C360" s="8" t="n"/>
      <x:c r="D360" s="8" t="n"/>
      <x:c r="E360" s="8" t="n"/>
      <x:c r="F360" s="8" t="n"/>
      <x:c r="G360" s="7">
        <x:f>IF(A360="","",IF(01_Parametres!$B$11="Oui",IF((01_Parametres!$B$4*(D360&gt;0)+01_Parametres!$B$5*(E360&gt;0)+01_Parametres!$B$6*(F360&gt;0))=0,"",(01_Parametres!$B$4*IF(D360&gt;0,D360,0)+01_Parametres!$B$5*IF(E360&gt;0,E360,0)+01_Parametres!$B$6*IF(F360&gt;0,F360,0))/(01_Parametres!$B$4*(D360&gt;0)+01_Parametres!$B$5*(E360&gt;0)+01_Parametres!$B$6*(F360&gt;0))),IF(01_Parametres!$B$8=0,"",(01_Parametres!$B$4*D360+01_Parametres!$B$5*E360+01_Parametres!$B$6*F360)/01_Parametres!$B$8)))</x:f>
      </x:c>
      <x:c r="H360">
        <x:f>IFERROR(VLOOKUP(C360,02_Referentiels!$A$20:$D$99,3,FALSE),"")</x:f>
      </x:c>
      <x:c r="I360">
        <x:f>IFERROR(VLOOKUP(B360,02_Referentiels!$A$5:$C$16,2,FALSE),"")</x:f>
      </x:c>
      <x:c r="J360">
        <x:f>IF(A360="","",IF(OR(D360="",E360="",F360=""),1,IF(OR(D360&lt;0,D360&gt;3,E360&lt;0,E360&gt;3,F360&lt;0,F360&gt;3),1,0)))</x:f>
      </x:c>
      <x:c r="K360">
        <x:f>IF(A360="","",IF(G360="",1,0))</x:f>
      </x:c>
      <x:c r="L360">
        <x:f>IF(A360="","",IF(COUNTIFS($A$5:$A$2004,A360,$C$5:$C$2004,C360)&gt;1,1,0))</x:f>
      </x:c>
    </x:row>
    <x:row r="361">
      <x:c r="A361" s="8" t="n"/>
      <x:c r="B361" s="8" t="n"/>
      <x:c r="C361" s="8" t="n"/>
      <x:c r="D361" s="8" t="n"/>
      <x:c r="E361" s="8" t="n"/>
      <x:c r="F361" s="8" t="n"/>
      <x:c r="G361" s="7">
        <x:f>IF(A361="","",IF(01_Parametres!$B$11="Oui",IF((01_Parametres!$B$4*(D361&gt;0)+01_Parametres!$B$5*(E361&gt;0)+01_Parametres!$B$6*(F361&gt;0))=0,"",(01_Parametres!$B$4*IF(D361&gt;0,D361,0)+01_Parametres!$B$5*IF(E361&gt;0,E361,0)+01_Parametres!$B$6*IF(F361&gt;0,F361,0))/(01_Parametres!$B$4*(D361&gt;0)+01_Parametres!$B$5*(E361&gt;0)+01_Parametres!$B$6*(F361&gt;0))),IF(01_Parametres!$B$8=0,"",(01_Parametres!$B$4*D361+01_Parametres!$B$5*E361+01_Parametres!$B$6*F361)/01_Parametres!$B$8)))</x:f>
      </x:c>
      <x:c r="H361">
        <x:f>IFERROR(VLOOKUP(C361,02_Referentiels!$A$20:$D$99,3,FALSE),"")</x:f>
      </x:c>
      <x:c r="I361">
        <x:f>IFERROR(VLOOKUP(B361,02_Referentiels!$A$5:$C$16,2,FALSE),"")</x:f>
      </x:c>
      <x:c r="J361">
        <x:f>IF(A361="","",IF(OR(D361="",E361="",F361=""),1,IF(OR(D361&lt;0,D361&gt;3,E361&lt;0,E361&gt;3,F361&lt;0,F361&gt;3),1,0)))</x:f>
      </x:c>
      <x:c r="K361">
        <x:f>IF(A361="","",IF(G361="",1,0))</x:f>
      </x:c>
      <x:c r="L361">
        <x:f>IF(A361="","",IF(COUNTIFS($A$5:$A$2004,A361,$C$5:$C$2004,C361)&gt;1,1,0))</x:f>
      </x:c>
    </x:row>
    <x:row r="362">
      <x:c r="A362" s="8" t="n"/>
      <x:c r="B362" s="8" t="n"/>
      <x:c r="C362" s="8" t="n"/>
      <x:c r="D362" s="8" t="n"/>
      <x:c r="E362" s="8" t="n"/>
      <x:c r="F362" s="8" t="n"/>
      <x:c r="G362" s="7">
        <x:f>IF(A362="","",IF(01_Parametres!$B$11="Oui",IF((01_Parametres!$B$4*(D362&gt;0)+01_Parametres!$B$5*(E362&gt;0)+01_Parametres!$B$6*(F362&gt;0))=0,"",(01_Parametres!$B$4*IF(D362&gt;0,D362,0)+01_Parametres!$B$5*IF(E362&gt;0,E362,0)+01_Parametres!$B$6*IF(F362&gt;0,F362,0))/(01_Parametres!$B$4*(D362&gt;0)+01_Parametres!$B$5*(E362&gt;0)+01_Parametres!$B$6*(F362&gt;0))),IF(01_Parametres!$B$8=0,"",(01_Parametres!$B$4*D362+01_Parametres!$B$5*E362+01_Parametres!$B$6*F362)/01_Parametres!$B$8)))</x:f>
      </x:c>
      <x:c r="H362">
        <x:f>IFERROR(VLOOKUP(C362,02_Referentiels!$A$20:$D$99,3,FALSE),"")</x:f>
      </x:c>
      <x:c r="I362">
        <x:f>IFERROR(VLOOKUP(B362,02_Referentiels!$A$5:$C$16,2,FALSE),"")</x:f>
      </x:c>
      <x:c r="J362">
        <x:f>IF(A362="","",IF(OR(D362="",E362="",F362=""),1,IF(OR(D362&lt;0,D362&gt;3,E362&lt;0,E362&gt;3,F362&lt;0,F362&gt;3),1,0)))</x:f>
      </x:c>
      <x:c r="K362">
        <x:f>IF(A362="","",IF(G362="",1,0))</x:f>
      </x:c>
      <x:c r="L362">
        <x:f>IF(A362="","",IF(COUNTIFS($A$5:$A$2004,A362,$C$5:$C$2004,C362)&gt;1,1,0))</x:f>
      </x:c>
    </x:row>
    <x:row r="363">
      <x:c r="A363" s="8" t="n"/>
      <x:c r="B363" s="8" t="n"/>
      <x:c r="C363" s="8" t="n"/>
      <x:c r="D363" s="8" t="n"/>
      <x:c r="E363" s="8" t="n"/>
      <x:c r="F363" s="8" t="n"/>
      <x:c r="G363" s="7">
        <x:f>IF(A363="","",IF(01_Parametres!$B$11="Oui",IF((01_Parametres!$B$4*(D363&gt;0)+01_Parametres!$B$5*(E363&gt;0)+01_Parametres!$B$6*(F363&gt;0))=0,"",(01_Parametres!$B$4*IF(D363&gt;0,D363,0)+01_Parametres!$B$5*IF(E363&gt;0,E363,0)+01_Parametres!$B$6*IF(F363&gt;0,F363,0))/(01_Parametres!$B$4*(D363&gt;0)+01_Parametres!$B$5*(E363&gt;0)+01_Parametres!$B$6*(F363&gt;0))),IF(01_Parametres!$B$8=0,"",(01_Parametres!$B$4*D363+01_Parametres!$B$5*E363+01_Parametres!$B$6*F363)/01_Parametres!$B$8)))</x:f>
      </x:c>
      <x:c r="H363">
        <x:f>IFERROR(VLOOKUP(C363,02_Referentiels!$A$20:$D$99,3,FALSE),"")</x:f>
      </x:c>
      <x:c r="I363">
        <x:f>IFERROR(VLOOKUP(B363,02_Referentiels!$A$5:$C$16,2,FALSE),"")</x:f>
      </x:c>
      <x:c r="J363">
        <x:f>IF(A363="","",IF(OR(D363="",E363="",F363=""),1,IF(OR(D363&lt;0,D363&gt;3,E363&lt;0,E363&gt;3,F363&lt;0,F363&gt;3),1,0)))</x:f>
      </x:c>
      <x:c r="K363">
        <x:f>IF(A363="","",IF(G363="",1,0))</x:f>
      </x:c>
      <x:c r="L363">
        <x:f>IF(A363="","",IF(COUNTIFS($A$5:$A$2004,A363,$C$5:$C$2004,C363)&gt;1,1,0))</x:f>
      </x:c>
    </x:row>
    <x:row r="364">
      <x:c r="A364" s="8" t="n"/>
      <x:c r="B364" s="8" t="n"/>
      <x:c r="C364" s="8" t="n"/>
      <x:c r="D364" s="8" t="n"/>
      <x:c r="E364" s="8" t="n"/>
      <x:c r="F364" s="8" t="n"/>
      <x:c r="G364" s="7">
        <x:f>IF(A364="","",IF(01_Parametres!$B$11="Oui",IF((01_Parametres!$B$4*(D364&gt;0)+01_Parametres!$B$5*(E364&gt;0)+01_Parametres!$B$6*(F364&gt;0))=0,"",(01_Parametres!$B$4*IF(D364&gt;0,D364,0)+01_Parametres!$B$5*IF(E364&gt;0,E364,0)+01_Parametres!$B$6*IF(F364&gt;0,F364,0))/(01_Parametres!$B$4*(D364&gt;0)+01_Parametres!$B$5*(E364&gt;0)+01_Parametres!$B$6*(F364&gt;0))),IF(01_Parametres!$B$8=0,"",(01_Parametres!$B$4*D364+01_Parametres!$B$5*E364+01_Parametres!$B$6*F364)/01_Parametres!$B$8)))</x:f>
      </x:c>
      <x:c r="H364">
        <x:f>IFERROR(VLOOKUP(C364,02_Referentiels!$A$20:$D$99,3,FALSE),"")</x:f>
      </x:c>
      <x:c r="I364">
        <x:f>IFERROR(VLOOKUP(B364,02_Referentiels!$A$5:$C$16,2,FALSE),"")</x:f>
      </x:c>
      <x:c r="J364">
        <x:f>IF(A364="","",IF(OR(D364="",E364="",F364=""),1,IF(OR(D364&lt;0,D364&gt;3,E364&lt;0,E364&gt;3,F364&lt;0,F364&gt;3),1,0)))</x:f>
      </x:c>
      <x:c r="K364">
        <x:f>IF(A364="","",IF(G364="",1,0))</x:f>
      </x:c>
      <x:c r="L364">
        <x:f>IF(A364="","",IF(COUNTIFS($A$5:$A$2004,A364,$C$5:$C$2004,C364)&gt;1,1,0))</x:f>
      </x:c>
    </x:row>
    <x:row r="365">
      <x:c r="A365" s="8" t="n"/>
      <x:c r="B365" s="8" t="n"/>
      <x:c r="C365" s="8" t="n"/>
      <x:c r="D365" s="8" t="n"/>
      <x:c r="E365" s="8" t="n"/>
      <x:c r="F365" s="8" t="n"/>
      <x:c r="G365" s="7">
        <x:f>IF(A365="","",IF(01_Parametres!$B$11="Oui",IF((01_Parametres!$B$4*(D365&gt;0)+01_Parametres!$B$5*(E365&gt;0)+01_Parametres!$B$6*(F365&gt;0))=0,"",(01_Parametres!$B$4*IF(D365&gt;0,D365,0)+01_Parametres!$B$5*IF(E365&gt;0,E365,0)+01_Parametres!$B$6*IF(F365&gt;0,F365,0))/(01_Parametres!$B$4*(D365&gt;0)+01_Parametres!$B$5*(E365&gt;0)+01_Parametres!$B$6*(F365&gt;0))),IF(01_Parametres!$B$8=0,"",(01_Parametres!$B$4*D365+01_Parametres!$B$5*E365+01_Parametres!$B$6*F365)/01_Parametres!$B$8)))</x:f>
      </x:c>
      <x:c r="H365">
        <x:f>IFERROR(VLOOKUP(C365,02_Referentiels!$A$20:$D$99,3,FALSE),"")</x:f>
      </x:c>
      <x:c r="I365">
        <x:f>IFERROR(VLOOKUP(B365,02_Referentiels!$A$5:$C$16,2,FALSE),"")</x:f>
      </x:c>
      <x:c r="J365">
        <x:f>IF(A365="","",IF(OR(D365="",E365="",F365=""),1,IF(OR(D365&lt;0,D365&gt;3,E365&lt;0,E365&gt;3,F365&lt;0,F365&gt;3),1,0)))</x:f>
      </x:c>
      <x:c r="K365">
        <x:f>IF(A365="","",IF(G365="",1,0))</x:f>
      </x:c>
      <x:c r="L365">
        <x:f>IF(A365="","",IF(COUNTIFS($A$5:$A$2004,A365,$C$5:$C$2004,C365)&gt;1,1,0))</x:f>
      </x:c>
    </x:row>
    <x:row r="366">
      <x:c r="A366" s="8" t="n"/>
      <x:c r="B366" s="8" t="n"/>
      <x:c r="C366" s="8" t="n"/>
      <x:c r="D366" s="8" t="n"/>
      <x:c r="E366" s="8" t="n"/>
      <x:c r="F366" s="8" t="n"/>
      <x:c r="G366" s="7">
        <x:f>IF(A366="","",IF(01_Parametres!$B$11="Oui",IF((01_Parametres!$B$4*(D366&gt;0)+01_Parametres!$B$5*(E366&gt;0)+01_Parametres!$B$6*(F366&gt;0))=0,"",(01_Parametres!$B$4*IF(D366&gt;0,D366,0)+01_Parametres!$B$5*IF(E366&gt;0,E366,0)+01_Parametres!$B$6*IF(F366&gt;0,F366,0))/(01_Parametres!$B$4*(D366&gt;0)+01_Parametres!$B$5*(E366&gt;0)+01_Parametres!$B$6*(F366&gt;0))),IF(01_Parametres!$B$8=0,"",(01_Parametres!$B$4*D366+01_Parametres!$B$5*E366+01_Parametres!$B$6*F366)/01_Parametres!$B$8)))</x:f>
      </x:c>
      <x:c r="H366">
        <x:f>IFERROR(VLOOKUP(C366,02_Referentiels!$A$20:$D$99,3,FALSE),"")</x:f>
      </x:c>
      <x:c r="I366">
        <x:f>IFERROR(VLOOKUP(B366,02_Referentiels!$A$5:$C$16,2,FALSE),"")</x:f>
      </x:c>
      <x:c r="J366">
        <x:f>IF(A366="","",IF(OR(D366="",E366="",F366=""),1,IF(OR(D366&lt;0,D366&gt;3,E366&lt;0,E366&gt;3,F366&lt;0,F366&gt;3),1,0)))</x:f>
      </x:c>
      <x:c r="K366">
        <x:f>IF(A366="","",IF(G366="",1,0))</x:f>
      </x:c>
      <x:c r="L366">
        <x:f>IF(A366="","",IF(COUNTIFS($A$5:$A$2004,A366,$C$5:$C$2004,C366)&gt;1,1,0))</x:f>
      </x:c>
    </x:row>
    <x:row r="367">
      <x:c r="A367" s="8" t="n"/>
      <x:c r="B367" s="8" t="n"/>
      <x:c r="C367" s="8" t="n"/>
      <x:c r="D367" s="8" t="n"/>
      <x:c r="E367" s="8" t="n"/>
      <x:c r="F367" s="8" t="n"/>
      <x:c r="G367" s="7">
        <x:f>IF(A367="","",IF(01_Parametres!$B$11="Oui",IF((01_Parametres!$B$4*(D367&gt;0)+01_Parametres!$B$5*(E367&gt;0)+01_Parametres!$B$6*(F367&gt;0))=0,"",(01_Parametres!$B$4*IF(D367&gt;0,D367,0)+01_Parametres!$B$5*IF(E367&gt;0,E367,0)+01_Parametres!$B$6*IF(F367&gt;0,F367,0))/(01_Parametres!$B$4*(D367&gt;0)+01_Parametres!$B$5*(E367&gt;0)+01_Parametres!$B$6*(F367&gt;0))),IF(01_Parametres!$B$8=0,"",(01_Parametres!$B$4*D367+01_Parametres!$B$5*E367+01_Parametres!$B$6*F367)/01_Parametres!$B$8)))</x:f>
      </x:c>
      <x:c r="H367">
        <x:f>IFERROR(VLOOKUP(C367,02_Referentiels!$A$20:$D$99,3,FALSE),"")</x:f>
      </x:c>
      <x:c r="I367">
        <x:f>IFERROR(VLOOKUP(B367,02_Referentiels!$A$5:$C$16,2,FALSE),"")</x:f>
      </x:c>
      <x:c r="J367">
        <x:f>IF(A367="","",IF(OR(D367="",E367="",F367=""),1,IF(OR(D367&lt;0,D367&gt;3,E367&lt;0,E367&gt;3,F367&lt;0,F367&gt;3),1,0)))</x:f>
      </x:c>
      <x:c r="K367">
        <x:f>IF(A367="","",IF(G367="",1,0))</x:f>
      </x:c>
      <x:c r="L367">
        <x:f>IF(A367="","",IF(COUNTIFS($A$5:$A$2004,A367,$C$5:$C$2004,C367)&gt;1,1,0))</x:f>
      </x:c>
    </x:row>
    <x:row r="368">
      <x:c r="A368" s="8" t="n"/>
      <x:c r="B368" s="8" t="n"/>
      <x:c r="C368" s="8" t="n"/>
      <x:c r="D368" s="8" t="n"/>
      <x:c r="E368" s="8" t="n"/>
      <x:c r="F368" s="8" t="n"/>
      <x:c r="G368" s="7">
        <x:f>IF(A368="","",IF(01_Parametres!$B$11="Oui",IF((01_Parametres!$B$4*(D368&gt;0)+01_Parametres!$B$5*(E368&gt;0)+01_Parametres!$B$6*(F368&gt;0))=0,"",(01_Parametres!$B$4*IF(D368&gt;0,D368,0)+01_Parametres!$B$5*IF(E368&gt;0,E368,0)+01_Parametres!$B$6*IF(F368&gt;0,F368,0))/(01_Parametres!$B$4*(D368&gt;0)+01_Parametres!$B$5*(E368&gt;0)+01_Parametres!$B$6*(F368&gt;0))),IF(01_Parametres!$B$8=0,"",(01_Parametres!$B$4*D368+01_Parametres!$B$5*E368+01_Parametres!$B$6*F368)/01_Parametres!$B$8)))</x:f>
      </x:c>
      <x:c r="H368">
        <x:f>IFERROR(VLOOKUP(C368,02_Referentiels!$A$20:$D$99,3,FALSE),"")</x:f>
      </x:c>
      <x:c r="I368">
        <x:f>IFERROR(VLOOKUP(B368,02_Referentiels!$A$5:$C$16,2,FALSE),"")</x:f>
      </x:c>
      <x:c r="J368">
        <x:f>IF(A368="","",IF(OR(D368="",E368="",F368=""),1,IF(OR(D368&lt;0,D368&gt;3,E368&lt;0,E368&gt;3,F368&lt;0,F368&gt;3),1,0)))</x:f>
      </x:c>
      <x:c r="K368">
        <x:f>IF(A368="","",IF(G368="",1,0))</x:f>
      </x:c>
      <x:c r="L368">
        <x:f>IF(A368="","",IF(COUNTIFS($A$5:$A$2004,A368,$C$5:$C$2004,C368)&gt;1,1,0))</x:f>
      </x:c>
    </x:row>
    <x:row r="369">
      <x:c r="A369" s="8" t="n"/>
      <x:c r="B369" s="8" t="n"/>
      <x:c r="C369" s="8" t="n"/>
      <x:c r="D369" s="8" t="n"/>
      <x:c r="E369" s="8" t="n"/>
      <x:c r="F369" s="8" t="n"/>
      <x:c r="G369" s="7">
        <x:f>IF(A369="","",IF(01_Parametres!$B$11="Oui",IF((01_Parametres!$B$4*(D369&gt;0)+01_Parametres!$B$5*(E369&gt;0)+01_Parametres!$B$6*(F369&gt;0))=0,"",(01_Parametres!$B$4*IF(D369&gt;0,D369,0)+01_Parametres!$B$5*IF(E369&gt;0,E369,0)+01_Parametres!$B$6*IF(F369&gt;0,F369,0))/(01_Parametres!$B$4*(D369&gt;0)+01_Parametres!$B$5*(E369&gt;0)+01_Parametres!$B$6*(F369&gt;0))),IF(01_Parametres!$B$8=0,"",(01_Parametres!$B$4*D369+01_Parametres!$B$5*E369+01_Parametres!$B$6*F369)/01_Parametres!$B$8)))</x:f>
      </x:c>
      <x:c r="H369">
        <x:f>IFERROR(VLOOKUP(C369,02_Referentiels!$A$20:$D$99,3,FALSE),"")</x:f>
      </x:c>
      <x:c r="I369">
        <x:f>IFERROR(VLOOKUP(B369,02_Referentiels!$A$5:$C$16,2,FALSE),"")</x:f>
      </x:c>
      <x:c r="J369">
        <x:f>IF(A369="","",IF(OR(D369="",E369="",F369=""),1,IF(OR(D369&lt;0,D369&gt;3,E369&lt;0,E369&gt;3,F369&lt;0,F369&gt;3),1,0)))</x:f>
      </x:c>
      <x:c r="K369">
        <x:f>IF(A369="","",IF(G369="",1,0))</x:f>
      </x:c>
      <x:c r="L369">
        <x:f>IF(A369="","",IF(COUNTIFS($A$5:$A$2004,A369,$C$5:$C$2004,C369)&gt;1,1,0))</x:f>
      </x:c>
    </x:row>
    <x:row r="370">
      <x:c r="A370" s="8" t="n"/>
      <x:c r="B370" s="8" t="n"/>
      <x:c r="C370" s="8" t="n"/>
      <x:c r="D370" s="8" t="n"/>
      <x:c r="E370" s="8" t="n"/>
      <x:c r="F370" s="8" t="n"/>
      <x:c r="G370" s="7">
        <x:f>IF(A370="","",IF(01_Parametres!$B$11="Oui",IF((01_Parametres!$B$4*(D370&gt;0)+01_Parametres!$B$5*(E370&gt;0)+01_Parametres!$B$6*(F370&gt;0))=0,"",(01_Parametres!$B$4*IF(D370&gt;0,D370,0)+01_Parametres!$B$5*IF(E370&gt;0,E370,0)+01_Parametres!$B$6*IF(F370&gt;0,F370,0))/(01_Parametres!$B$4*(D370&gt;0)+01_Parametres!$B$5*(E370&gt;0)+01_Parametres!$B$6*(F370&gt;0))),IF(01_Parametres!$B$8=0,"",(01_Parametres!$B$4*D370+01_Parametres!$B$5*E370+01_Parametres!$B$6*F370)/01_Parametres!$B$8)))</x:f>
      </x:c>
      <x:c r="H370">
        <x:f>IFERROR(VLOOKUP(C370,02_Referentiels!$A$20:$D$99,3,FALSE),"")</x:f>
      </x:c>
      <x:c r="I370">
        <x:f>IFERROR(VLOOKUP(B370,02_Referentiels!$A$5:$C$16,2,FALSE),"")</x:f>
      </x:c>
      <x:c r="J370">
        <x:f>IF(A370="","",IF(OR(D370="",E370="",F370=""),1,IF(OR(D370&lt;0,D370&gt;3,E370&lt;0,E370&gt;3,F370&lt;0,F370&gt;3),1,0)))</x:f>
      </x:c>
      <x:c r="K370">
        <x:f>IF(A370="","",IF(G370="",1,0))</x:f>
      </x:c>
      <x:c r="L370">
        <x:f>IF(A370="","",IF(COUNTIFS($A$5:$A$2004,A370,$C$5:$C$2004,C370)&gt;1,1,0))</x:f>
      </x:c>
    </x:row>
    <x:row r="371">
      <x:c r="A371" s="8" t="n"/>
      <x:c r="B371" s="8" t="n"/>
      <x:c r="C371" s="8" t="n"/>
      <x:c r="D371" s="8" t="n"/>
      <x:c r="E371" s="8" t="n"/>
      <x:c r="F371" s="8" t="n"/>
      <x:c r="G371" s="7">
        <x:f>IF(A371="","",IF(01_Parametres!$B$11="Oui",IF((01_Parametres!$B$4*(D371&gt;0)+01_Parametres!$B$5*(E371&gt;0)+01_Parametres!$B$6*(F371&gt;0))=0,"",(01_Parametres!$B$4*IF(D371&gt;0,D371,0)+01_Parametres!$B$5*IF(E371&gt;0,E371,0)+01_Parametres!$B$6*IF(F371&gt;0,F371,0))/(01_Parametres!$B$4*(D371&gt;0)+01_Parametres!$B$5*(E371&gt;0)+01_Parametres!$B$6*(F371&gt;0))),IF(01_Parametres!$B$8=0,"",(01_Parametres!$B$4*D371+01_Parametres!$B$5*E371+01_Parametres!$B$6*F371)/01_Parametres!$B$8)))</x:f>
      </x:c>
      <x:c r="H371">
        <x:f>IFERROR(VLOOKUP(C371,02_Referentiels!$A$20:$D$99,3,FALSE),"")</x:f>
      </x:c>
      <x:c r="I371">
        <x:f>IFERROR(VLOOKUP(B371,02_Referentiels!$A$5:$C$16,2,FALSE),"")</x:f>
      </x:c>
      <x:c r="J371">
        <x:f>IF(A371="","",IF(OR(D371="",E371="",F371=""),1,IF(OR(D371&lt;0,D371&gt;3,E371&lt;0,E371&gt;3,F371&lt;0,F371&gt;3),1,0)))</x:f>
      </x:c>
      <x:c r="K371">
        <x:f>IF(A371="","",IF(G371="",1,0))</x:f>
      </x:c>
      <x:c r="L371">
        <x:f>IF(A371="","",IF(COUNTIFS($A$5:$A$2004,A371,$C$5:$C$2004,C371)&gt;1,1,0))</x:f>
      </x:c>
    </x:row>
    <x:row r="372">
      <x:c r="A372" s="8" t="n"/>
      <x:c r="B372" s="8" t="n"/>
      <x:c r="C372" s="8" t="n"/>
      <x:c r="D372" s="8" t="n"/>
      <x:c r="E372" s="8" t="n"/>
      <x:c r="F372" s="8" t="n"/>
      <x:c r="G372" s="7">
        <x:f>IF(A372="","",IF(01_Parametres!$B$11="Oui",IF((01_Parametres!$B$4*(D372&gt;0)+01_Parametres!$B$5*(E372&gt;0)+01_Parametres!$B$6*(F372&gt;0))=0,"",(01_Parametres!$B$4*IF(D372&gt;0,D372,0)+01_Parametres!$B$5*IF(E372&gt;0,E372,0)+01_Parametres!$B$6*IF(F372&gt;0,F372,0))/(01_Parametres!$B$4*(D372&gt;0)+01_Parametres!$B$5*(E372&gt;0)+01_Parametres!$B$6*(F372&gt;0))),IF(01_Parametres!$B$8=0,"",(01_Parametres!$B$4*D372+01_Parametres!$B$5*E372+01_Parametres!$B$6*F372)/01_Parametres!$B$8)))</x:f>
      </x:c>
      <x:c r="H372">
        <x:f>IFERROR(VLOOKUP(C372,02_Referentiels!$A$20:$D$99,3,FALSE),"")</x:f>
      </x:c>
      <x:c r="I372">
        <x:f>IFERROR(VLOOKUP(B372,02_Referentiels!$A$5:$C$16,2,FALSE),"")</x:f>
      </x:c>
      <x:c r="J372">
        <x:f>IF(A372="","",IF(OR(D372="",E372="",F372=""),1,IF(OR(D372&lt;0,D372&gt;3,E372&lt;0,E372&gt;3,F372&lt;0,F372&gt;3),1,0)))</x:f>
      </x:c>
      <x:c r="K372">
        <x:f>IF(A372="","",IF(G372="",1,0))</x:f>
      </x:c>
      <x:c r="L372">
        <x:f>IF(A372="","",IF(COUNTIFS($A$5:$A$2004,A372,$C$5:$C$2004,C372)&gt;1,1,0))</x:f>
      </x:c>
    </x:row>
    <x:row r="373">
      <x:c r="A373" s="8" t="n"/>
      <x:c r="B373" s="8" t="n"/>
      <x:c r="C373" s="8" t="n"/>
      <x:c r="D373" s="8" t="n"/>
      <x:c r="E373" s="8" t="n"/>
      <x:c r="F373" s="8" t="n"/>
      <x:c r="G373" s="7">
        <x:f>IF(A373="","",IF(01_Parametres!$B$11="Oui",IF((01_Parametres!$B$4*(D373&gt;0)+01_Parametres!$B$5*(E373&gt;0)+01_Parametres!$B$6*(F373&gt;0))=0,"",(01_Parametres!$B$4*IF(D373&gt;0,D373,0)+01_Parametres!$B$5*IF(E373&gt;0,E373,0)+01_Parametres!$B$6*IF(F373&gt;0,F373,0))/(01_Parametres!$B$4*(D373&gt;0)+01_Parametres!$B$5*(E373&gt;0)+01_Parametres!$B$6*(F373&gt;0))),IF(01_Parametres!$B$8=0,"",(01_Parametres!$B$4*D373+01_Parametres!$B$5*E373+01_Parametres!$B$6*F373)/01_Parametres!$B$8)))</x:f>
      </x:c>
      <x:c r="H373">
        <x:f>IFERROR(VLOOKUP(C373,02_Referentiels!$A$20:$D$99,3,FALSE),"")</x:f>
      </x:c>
      <x:c r="I373">
        <x:f>IFERROR(VLOOKUP(B373,02_Referentiels!$A$5:$C$16,2,FALSE),"")</x:f>
      </x:c>
      <x:c r="J373">
        <x:f>IF(A373="","",IF(OR(D373="",E373="",F373=""),1,IF(OR(D373&lt;0,D373&gt;3,E373&lt;0,E373&gt;3,F373&lt;0,F373&gt;3),1,0)))</x:f>
      </x:c>
      <x:c r="K373">
        <x:f>IF(A373="","",IF(G373="",1,0))</x:f>
      </x:c>
      <x:c r="L373">
        <x:f>IF(A373="","",IF(COUNTIFS($A$5:$A$2004,A373,$C$5:$C$2004,C373)&gt;1,1,0))</x:f>
      </x:c>
    </x:row>
    <x:row r="374">
      <x:c r="A374" s="8" t="n"/>
      <x:c r="B374" s="8" t="n"/>
      <x:c r="C374" s="8" t="n"/>
      <x:c r="D374" s="8" t="n"/>
      <x:c r="E374" s="8" t="n"/>
      <x:c r="F374" s="8" t="n"/>
      <x:c r="G374" s="7">
        <x:f>IF(A374="","",IF(01_Parametres!$B$11="Oui",IF((01_Parametres!$B$4*(D374&gt;0)+01_Parametres!$B$5*(E374&gt;0)+01_Parametres!$B$6*(F374&gt;0))=0,"",(01_Parametres!$B$4*IF(D374&gt;0,D374,0)+01_Parametres!$B$5*IF(E374&gt;0,E374,0)+01_Parametres!$B$6*IF(F374&gt;0,F374,0))/(01_Parametres!$B$4*(D374&gt;0)+01_Parametres!$B$5*(E374&gt;0)+01_Parametres!$B$6*(F374&gt;0))),IF(01_Parametres!$B$8=0,"",(01_Parametres!$B$4*D374+01_Parametres!$B$5*E374+01_Parametres!$B$6*F374)/01_Parametres!$B$8)))</x:f>
      </x:c>
      <x:c r="H374">
        <x:f>IFERROR(VLOOKUP(C374,02_Referentiels!$A$20:$D$99,3,FALSE),"")</x:f>
      </x:c>
      <x:c r="I374">
        <x:f>IFERROR(VLOOKUP(B374,02_Referentiels!$A$5:$C$16,2,FALSE),"")</x:f>
      </x:c>
      <x:c r="J374">
        <x:f>IF(A374="","",IF(OR(D374="",E374="",F374=""),1,IF(OR(D374&lt;0,D374&gt;3,E374&lt;0,E374&gt;3,F374&lt;0,F374&gt;3),1,0)))</x:f>
      </x:c>
      <x:c r="K374">
        <x:f>IF(A374="","",IF(G374="",1,0))</x:f>
      </x:c>
      <x:c r="L374">
        <x:f>IF(A374="","",IF(COUNTIFS($A$5:$A$2004,A374,$C$5:$C$2004,C374)&gt;1,1,0))</x:f>
      </x:c>
    </x:row>
    <x:row r="375">
      <x:c r="A375" s="8" t="n"/>
      <x:c r="B375" s="8" t="n"/>
      <x:c r="C375" s="8" t="n"/>
      <x:c r="D375" s="8" t="n"/>
      <x:c r="E375" s="8" t="n"/>
      <x:c r="F375" s="8" t="n"/>
      <x:c r="G375" s="7">
        <x:f>IF(A375="","",IF(01_Parametres!$B$11="Oui",IF((01_Parametres!$B$4*(D375&gt;0)+01_Parametres!$B$5*(E375&gt;0)+01_Parametres!$B$6*(F375&gt;0))=0,"",(01_Parametres!$B$4*IF(D375&gt;0,D375,0)+01_Parametres!$B$5*IF(E375&gt;0,E375,0)+01_Parametres!$B$6*IF(F375&gt;0,F375,0))/(01_Parametres!$B$4*(D375&gt;0)+01_Parametres!$B$5*(E375&gt;0)+01_Parametres!$B$6*(F375&gt;0))),IF(01_Parametres!$B$8=0,"",(01_Parametres!$B$4*D375+01_Parametres!$B$5*E375+01_Parametres!$B$6*F375)/01_Parametres!$B$8)))</x:f>
      </x:c>
      <x:c r="H375">
        <x:f>IFERROR(VLOOKUP(C375,02_Referentiels!$A$20:$D$99,3,FALSE),"")</x:f>
      </x:c>
      <x:c r="I375">
        <x:f>IFERROR(VLOOKUP(B375,02_Referentiels!$A$5:$C$16,2,FALSE),"")</x:f>
      </x:c>
      <x:c r="J375">
        <x:f>IF(A375="","",IF(OR(D375="",E375="",F375=""),1,IF(OR(D375&lt;0,D375&gt;3,E375&lt;0,E375&gt;3,F375&lt;0,F375&gt;3),1,0)))</x:f>
      </x:c>
      <x:c r="K375">
        <x:f>IF(A375="","",IF(G375="",1,0))</x:f>
      </x:c>
      <x:c r="L375">
        <x:f>IF(A375="","",IF(COUNTIFS($A$5:$A$2004,A375,$C$5:$C$2004,C375)&gt;1,1,0))</x:f>
      </x:c>
    </x:row>
    <x:row r="376">
      <x:c r="A376" s="8" t="n"/>
      <x:c r="B376" s="8" t="n"/>
      <x:c r="C376" s="8" t="n"/>
      <x:c r="D376" s="8" t="n"/>
      <x:c r="E376" s="8" t="n"/>
      <x:c r="F376" s="8" t="n"/>
      <x:c r="G376" s="7">
        <x:f>IF(A376="","",IF(01_Parametres!$B$11="Oui",IF((01_Parametres!$B$4*(D376&gt;0)+01_Parametres!$B$5*(E376&gt;0)+01_Parametres!$B$6*(F376&gt;0))=0,"",(01_Parametres!$B$4*IF(D376&gt;0,D376,0)+01_Parametres!$B$5*IF(E376&gt;0,E376,0)+01_Parametres!$B$6*IF(F376&gt;0,F376,0))/(01_Parametres!$B$4*(D376&gt;0)+01_Parametres!$B$5*(E376&gt;0)+01_Parametres!$B$6*(F376&gt;0))),IF(01_Parametres!$B$8=0,"",(01_Parametres!$B$4*D376+01_Parametres!$B$5*E376+01_Parametres!$B$6*F376)/01_Parametres!$B$8)))</x:f>
      </x:c>
      <x:c r="H376">
        <x:f>IFERROR(VLOOKUP(C376,02_Referentiels!$A$20:$D$99,3,FALSE),"")</x:f>
      </x:c>
      <x:c r="I376">
        <x:f>IFERROR(VLOOKUP(B376,02_Referentiels!$A$5:$C$16,2,FALSE),"")</x:f>
      </x:c>
      <x:c r="J376">
        <x:f>IF(A376="","",IF(OR(D376="",E376="",F376=""),1,IF(OR(D376&lt;0,D376&gt;3,E376&lt;0,E376&gt;3,F376&lt;0,F376&gt;3),1,0)))</x:f>
      </x:c>
      <x:c r="K376">
        <x:f>IF(A376="","",IF(G376="",1,0))</x:f>
      </x:c>
      <x:c r="L376">
        <x:f>IF(A376="","",IF(COUNTIFS($A$5:$A$2004,A376,$C$5:$C$2004,C376)&gt;1,1,0))</x:f>
      </x:c>
    </x:row>
    <x:row r="377">
      <x:c r="A377" s="8" t="n"/>
      <x:c r="B377" s="8" t="n"/>
      <x:c r="C377" s="8" t="n"/>
      <x:c r="D377" s="8" t="n"/>
      <x:c r="E377" s="8" t="n"/>
      <x:c r="F377" s="8" t="n"/>
      <x:c r="G377" s="7">
        <x:f>IF(A377="","",IF(01_Parametres!$B$11="Oui",IF((01_Parametres!$B$4*(D377&gt;0)+01_Parametres!$B$5*(E377&gt;0)+01_Parametres!$B$6*(F377&gt;0))=0,"",(01_Parametres!$B$4*IF(D377&gt;0,D377,0)+01_Parametres!$B$5*IF(E377&gt;0,E377,0)+01_Parametres!$B$6*IF(F377&gt;0,F377,0))/(01_Parametres!$B$4*(D377&gt;0)+01_Parametres!$B$5*(E377&gt;0)+01_Parametres!$B$6*(F377&gt;0))),IF(01_Parametres!$B$8=0,"",(01_Parametres!$B$4*D377+01_Parametres!$B$5*E377+01_Parametres!$B$6*F377)/01_Parametres!$B$8)))</x:f>
      </x:c>
      <x:c r="H377">
        <x:f>IFERROR(VLOOKUP(C377,02_Referentiels!$A$20:$D$99,3,FALSE),"")</x:f>
      </x:c>
      <x:c r="I377">
        <x:f>IFERROR(VLOOKUP(B377,02_Referentiels!$A$5:$C$16,2,FALSE),"")</x:f>
      </x:c>
      <x:c r="J377">
        <x:f>IF(A377="","",IF(OR(D377="",E377="",F377=""),1,IF(OR(D377&lt;0,D377&gt;3,E377&lt;0,E377&gt;3,F377&lt;0,F377&gt;3),1,0)))</x:f>
      </x:c>
      <x:c r="K377">
        <x:f>IF(A377="","",IF(G377="",1,0))</x:f>
      </x:c>
      <x:c r="L377">
        <x:f>IF(A377="","",IF(COUNTIFS($A$5:$A$2004,A377,$C$5:$C$2004,C377)&gt;1,1,0))</x:f>
      </x:c>
    </x:row>
    <x:row r="378">
      <x:c r="A378" s="8" t="n"/>
      <x:c r="B378" s="8" t="n"/>
      <x:c r="C378" s="8" t="n"/>
      <x:c r="D378" s="8" t="n"/>
      <x:c r="E378" s="8" t="n"/>
      <x:c r="F378" s="8" t="n"/>
      <x:c r="G378" s="7">
        <x:f>IF(A378="","",IF(01_Parametres!$B$11="Oui",IF((01_Parametres!$B$4*(D378&gt;0)+01_Parametres!$B$5*(E378&gt;0)+01_Parametres!$B$6*(F378&gt;0))=0,"",(01_Parametres!$B$4*IF(D378&gt;0,D378,0)+01_Parametres!$B$5*IF(E378&gt;0,E378,0)+01_Parametres!$B$6*IF(F378&gt;0,F378,0))/(01_Parametres!$B$4*(D378&gt;0)+01_Parametres!$B$5*(E378&gt;0)+01_Parametres!$B$6*(F378&gt;0))),IF(01_Parametres!$B$8=0,"",(01_Parametres!$B$4*D378+01_Parametres!$B$5*E378+01_Parametres!$B$6*F378)/01_Parametres!$B$8)))</x:f>
      </x:c>
      <x:c r="H378">
        <x:f>IFERROR(VLOOKUP(C378,02_Referentiels!$A$20:$D$99,3,FALSE),"")</x:f>
      </x:c>
      <x:c r="I378">
        <x:f>IFERROR(VLOOKUP(B378,02_Referentiels!$A$5:$C$16,2,FALSE),"")</x:f>
      </x:c>
      <x:c r="J378">
        <x:f>IF(A378="","",IF(OR(D378="",E378="",F378=""),1,IF(OR(D378&lt;0,D378&gt;3,E378&lt;0,E378&gt;3,F378&lt;0,F378&gt;3),1,0)))</x:f>
      </x:c>
      <x:c r="K378">
        <x:f>IF(A378="","",IF(G378="",1,0))</x:f>
      </x:c>
      <x:c r="L378">
        <x:f>IF(A378="","",IF(COUNTIFS($A$5:$A$2004,A378,$C$5:$C$2004,C378)&gt;1,1,0))</x:f>
      </x:c>
    </x:row>
    <x:row r="379">
      <x:c r="A379" s="8" t="n"/>
      <x:c r="B379" s="8" t="n"/>
      <x:c r="C379" s="8" t="n"/>
      <x:c r="D379" s="8" t="n"/>
      <x:c r="E379" s="8" t="n"/>
      <x:c r="F379" s="8" t="n"/>
      <x:c r="G379" s="7">
        <x:f>IF(A379="","",IF(01_Parametres!$B$11="Oui",IF((01_Parametres!$B$4*(D379&gt;0)+01_Parametres!$B$5*(E379&gt;0)+01_Parametres!$B$6*(F379&gt;0))=0,"",(01_Parametres!$B$4*IF(D379&gt;0,D379,0)+01_Parametres!$B$5*IF(E379&gt;0,E379,0)+01_Parametres!$B$6*IF(F379&gt;0,F379,0))/(01_Parametres!$B$4*(D379&gt;0)+01_Parametres!$B$5*(E379&gt;0)+01_Parametres!$B$6*(F379&gt;0))),IF(01_Parametres!$B$8=0,"",(01_Parametres!$B$4*D379+01_Parametres!$B$5*E379+01_Parametres!$B$6*F379)/01_Parametres!$B$8)))</x:f>
      </x:c>
      <x:c r="H379">
        <x:f>IFERROR(VLOOKUP(C379,02_Referentiels!$A$20:$D$99,3,FALSE),"")</x:f>
      </x:c>
      <x:c r="I379">
        <x:f>IFERROR(VLOOKUP(B379,02_Referentiels!$A$5:$C$16,2,FALSE),"")</x:f>
      </x:c>
      <x:c r="J379">
        <x:f>IF(A379="","",IF(OR(D379="",E379="",F379=""),1,IF(OR(D379&lt;0,D379&gt;3,E379&lt;0,E379&gt;3,F379&lt;0,F379&gt;3),1,0)))</x:f>
      </x:c>
      <x:c r="K379">
        <x:f>IF(A379="","",IF(G379="",1,0))</x:f>
      </x:c>
      <x:c r="L379">
        <x:f>IF(A379="","",IF(COUNTIFS($A$5:$A$2004,A379,$C$5:$C$2004,C379)&gt;1,1,0))</x:f>
      </x:c>
    </x:row>
    <x:row r="380">
      <x:c r="A380" s="8" t="n"/>
      <x:c r="B380" s="8" t="n"/>
      <x:c r="C380" s="8" t="n"/>
      <x:c r="D380" s="8" t="n"/>
      <x:c r="E380" s="8" t="n"/>
      <x:c r="F380" s="8" t="n"/>
      <x:c r="G380" s="7">
        <x:f>IF(A380="","",IF(01_Parametres!$B$11="Oui",IF((01_Parametres!$B$4*(D380&gt;0)+01_Parametres!$B$5*(E380&gt;0)+01_Parametres!$B$6*(F380&gt;0))=0,"",(01_Parametres!$B$4*IF(D380&gt;0,D380,0)+01_Parametres!$B$5*IF(E380&gt;0,E380,0)+01_Parametres!$B$6*IF(F380&gt;0,F380,0))/(01_Parametres!$B$4*(D380&gt;0)+01_Parametres!$B$5*(E380&gt;0)+01_Parametres!$B$6*(F380&gt;0))),IF(01_Parametres!$B$8=0,"",(01_Parametres!$B$4*D380+01_Parametres!$B$5*E380+01_Parametres!$B$6*F380)/01_Parametres!$B$8)))</x:f>
      </x:c>
      <x:c r="H380">
        <x:f>IFERROR(VLOOKUP(C380,02_Referentiels!$A$20:$D$99,3,FALSE),"")</x:f>
      </x:c>
      <x:c r="I380">
        <x:f>IFERROR(VLOOKUP(B380,02_Referentiels!$A$5:$C$16,2,FALSE),"")</x:f>
      </x:c>
      <x:c r="J380">
        <x:f>IF(A380="","",IF(OR(D380="",E380="",F380=""),1,IF(OR(D380&lt;0,D380&gt;3,E380&lt;0,E380&gt;3,F380&lt;0,F380&gt;3),1,0)))</x:f>
      </x:c>
      <x:c r="K380">
        <x:f>IF(A380="","",IF(G380="",1,0))</x:f>
      </x:c>
      <x:c r="L380">
        <x:f>IF(A380="","",IF(COUNTIFS($A$5:$A$2004,A380,$C$5:$C$2004,C380)&gt;1,1,0))</x:f>
      </x:c>
    </x:row>
    <x:row r="381">
      <x:c r="A381" s="8" t="n"/>
      <x:c r="B381" s="8" t="n"/>
      <x:c r="C381" s="8" t="n"/>
      <x:c r="D381" s="8" t="n"/>
      <x:c r="E381" s="8" t="n"/>
      <x:c r="F381" s="8" t="n"/>
      <x:c r="G381" s="7">
        <x:f>IF(A381="","",IF(01_Parametres!$B$11="Oui",IF((01_Parametres!$B$4*(D381&gt;0)+01_Parametres!$B$5*(E381&gt;0)+01_Parametres!$B$6*(F381&gt;0))=0,"",(01_Parametres!$B$4*IF(D381&gt;0,D381,0)+01_Parametres!$B$5*IF(E381&gt;0,E381,0)+01_Parametres!$B$6*IF(F381&gt;0,F381,0))/(01_Parametres!$B$4*(D381&gt;0)+01_Parametres!$B$5*(E381&gt;0)+01_Parametres!$B$6*(F381&gt;0))),IF(01_Parametres!$B$8=0,"",(01_Parametres!$B$4*D381+01_Parametres!$B$5*E381+01_Parametres!$B$6*F381)/01_Parametres!$B$8)))</x:f>
      </x:c>
      <x:c r="H381">
        <x:f>IFERROR(VLOOKUP(C381,02_Referentiels!$A$20:$D$99,3,FALSE),"")</x:f>
      </x:c>
      <x:c r="I381">
        <x:f>IFERROR(VLOOKUP(B381,02_Referentiels!$A$5:$C$16,2,FALSE),"")</x:f>
      </x:c>
      <x:c r="J381">
        <x:f>IF(A381="","",IF(OR(D381="",E381="",F381=""),1,IF(OR(D381&lt;0,D381&gt;3,E381&lt;0,E381&gt;3,F381&lt;0,F381&gt;3),1,0)))</x:f>
      </x:c>
      <x:c r="K381">
        <x:f>IF(A381="","",IF(G381="",1,0))</x:f>
      </x:c>
      <x:c r="L381">
        <x:f>IF(A381="","",IF(COUNTIFS($A$5:$A$2004,A381,$C$5:$C$2004,C381)&gt;1,1,0))</x:f>
      </x:c>
    </x:row>
    <x:row r="382">
      <x:c r="A382" s="8" t="n"/>
      <x:c r="B382" s="8" t="n"/>
      <x:c r="C382" s="8" t="n"/>
      <x:c r="D382" s="8" t="n"/>
      <x:c r="E382" s="8" t="n"/>
      <x:c r="F382" s="8" t="n"/>
      <x:c r="G382" s="7">
        <x:f>IF(A382="","",IF(01_Parametres!$B$11="Oui",IF((01_Parametres!$B$4*(D382&gt;0)+01_Parametres!$B$5*(E382&gt;0)+01_Parametres!$B$6*(F382&gt;0))=0,"",(01_Parametres!$B$4*IF(D382&gt;0,D382,0)+01_Parametres!$B$5*IF(E382&gt;0,E382,0)+01_Parametres!$B$6*IF(F382&gt;0,F382,0))/(01_Parametres!$B$4*(D382&gt;0)+01_Parametres!$B$5*(E382&gt;0)+01_Parametres!$B$6*(F382&gt;0))),IF(01_Parametres!$B$8=0,"",(01_Parametres!$B$4*D382+01_Parametres!$B$5*E382+01_Parametres!$B$6*F382)/01_Parametres!$B$8)))</x:f>
      </x:c>
      <x:c r="H382">
        <x:f>IFERROR(VLOOKUP(C382,02_Referentiels!$A$20:$D$99,3,FALSE),"")</x:f>
      </x:c>
      <x:c r="I382">
        <x:f>IFERROR(VLOOKUP(B382,02_Referentiels!$A$5:$C$16,2,FALSE),"")</x:f>
      </x:c>
      <x:c r="J382">
        <x:f>IF(A382="","",IF(OR(D382="",E382="",F382=""),1,IF(OR(D382&lt;0,D382&gt;3,E382&lt;0,E382&gt;3,F382&lt;0,F382&gt;3),1,0)))</x:f>
      </x:c>
      <x:c r="K382">
        <x:f>IF(A382="","",IF(G382="",1,0))</x:f>
      </x:c>
      <x:c r="L382">
        <x:f>IF(A382="","",IF(COUNTIFS($A$5:$A$2004,A382,$C$5:$C$2004,C382)&gt;1,1,0))</x:f>
      </x:c>
    </x:row>
    <x:row r="383">
      <x:c r="A383" s="8" t="n"/>
      <x:c r="B383" s="8" t="n"/>
      <x:c r="C383" s="8" t="n"/>
      <x:c r="D383" s="8" t="n"/>
      <x:c r="E383" s="8" t="n"/>
      <x:c r="F383" s="8" t="n"/>
      <x:c r="G383" s="7">
        <x:f>IF(A383="","",IF(01_Parametres!$B$11="Oui",IF((01_Parametres!$B$4*(D383&gt;0)+01_Parametres!$B$5*(E383&gt;0)+01_Parametres!$B$6*(F383&gt;0))=0,"",(01_Parametres!$B$4*IF(D383&gt;0,D383,0)+01_Parametres!$B$5*IF(E383&gt;0,E383,0)+01_Parametres!$B$6*IF(F383&gt;0,F383,0))/(01_Parametres!$B$4*(D383&gt;0)+01_Parametres!$B$5*(E383&gt;0)+01_Parametres!$B$6*(F383&gt;0))),IF(01_Parametres!$B$8=0,"",(01_Parametres!$B$4*D383+01_Parametres!$B$5*E383+01_Parametres!$B$6*F383)/01_Parametres!$B$8)))</x:f>
      </x:c>
      <x:c r="H383">
        <x:f>IFERROR(VLOOKUP(C383,02_Referentiels!$A$20:$D$99,3,FALSE),"")</x:f>
      </x:c>
      <x:c r="I383">
        <x:f>IFERROR(VLOOKUP(B383,02_Referentiels!$A$5:$C$16,2,FALSE),"")</x:f>
      </x:c>
      <x:c r="J383">
        <x:f>IF(A383="","",IF(OR(D383="",E383="",F383=""),1,IF(OR(D383&lt;0,D383&gt;3,E383&lt;0,E383&gt;3,F383&lt;0,F383&gt;3),1,0)))</x:f>
      </x:c>
      <x:c r="K383">
        <x:f>IF(A383="","",IF(G383="",1,0))</x:f>
      </x:c>
      <x:c r="L383">
        <x:f>IF(A383="","",IF(COUNTIFS($A$5:$A$2004,A383,$C$5:$C$2004,C383)&gt;1,1,0))</x:f>
      </x:c>
    </x:row>
    <x:row r="384">
      <x:c r="A384" s="8" t="n"/>
      <x:c r="B384" s="8" t="n"/>
      <x:c r="C384" s="8" t="n"/>
      <x:c r="D384" s="8" t="n"/>
      <x:c r="E384" s="8" t="n"/>
      <x:c r="F384" s="8" t="n"/>
      <x:c r="G384" s="7">
        <x:f>IF(A384="","",IF(01_Parametres!$B$11="Oui",IF((01_Parametres!$B$4*(D384&gt;0)+01_Parametres!$B$5*(E384&gt;0)+01_Parametres!$B$6*(F384&gt;0))=0,"",(01_Parametres!$B$4*IF(D384&gt;0,D384,0)+01_Parametres!$B$5*IF(E384&gt;0,E384,0)+01_Parametres!$B$6*IF(F384&gt;0,F384,0))/(01_Parametres!$B$4*(D384&gt;0)+01_Parametres!$B$5*(E384&gt;0)+01_Parametres!$B$6*(F384&gt;0))),IF(01_Parametres!$B$8=0,"",(01_Parametres!$B$4*D384+01_Parametres!$B$5*E384+01_Parametres!$B$6*F384)/01_Parametres!$B$8)))</x:f>
      </x:c>
      <x:c r="H384">
        <x:f>IFERROR(VLOOKUP(C384,02_Referentiels!$A$20:$D$99,3,FALSE),"")</x:f>
      </x:c>
      <x:c r="I384">
        <x:f>IFERROR(VLOOKUP(B384,02_Referentiels!$A$5:$C$16,2,FALSE),"")</x:f>
      </x:c>
      <x:c r="J384">
        <x:f>IF(A384="","",IF(OR(D384="",E384="",F384=""),1,IF(OR(D384&lt;0,D384&gt;3,E384&lt;0,E384&gt;3,F384&lt;0,F384&gt;3),1,0)))</x:f>
      </x:c>
      <x:c r="K384">
        <x:f>IF(A384="","",IF(G384="",1,0))</x:f>
      </x:c>
      <x:c r="L384">
        <x:f>IF(A384="","",IF(COUNTIFS($A$5:$A$2004,A384,$C$5:$C$2004,C384)&gt;1,1,0))</x:f>
      </x:c>
    </x:row>
    <x:row r="385">
      <x:c r="A385" s="8" t="n"/>
      <x:c r="B385" s="8" t="n"/>
      <x:c r="C385" s="8" t="n"/>
      <x:c r="D385" s="8" t="n"/>
      <x:c r="E385" s="8" t="n"/>
      <x:c r="F385" s="8" t="n"/>
      <x:c r="G385" s="7">
        <x:f>IF(A385="","",IF(01_Parametres!$B$11="Oui",IF((01_Parametres!$B$4*(D385&gt;0)+01_Parametres!$B$5*(E385&gt;0)+01_Parametres!$B$6*(F385&gt;0))=0,"",(01_Parametres!$B$4*IF(D385&gt;0,D385,0)+01_Parametres!$B$5*IF(E385&gt;0,E385,0)+01_Parametres!$B$6*IF(F385&gt;0,F385,0))/(01_Parametres!$B$4*(D385&gt;0)+01_Parametres!$B$5*(E385&gt;0)+01_Parametres!$B$6*(F385&gt;0))),IF(01_Parametres!$B$8=0,"",(01_Parametres!$B$4*D385+01_Parametres!$B$5*E385+01_Parametres!$B$6*F385)/01_Parametres!$B$8)))</x:f>
      </x:c>
      <x:c r="H385">
        <x:f>IFERROR(VLOOKUP(C385,02_Referentiels!$A$20:$D$99,3,FALSE),"")</x:f>
      </x:c>
      <x:c r="I385">
        <x:f>IFERROR(VLOOKUP(B385,02_Referentiels!$A$5:$C$16,2,FALSE),"")</x:f>
      </x:c>
      <x:c r="J385">
        <x:f>IF(A385="","",IF(OR(D385="",E385="",F385=""),1,IF(OR(D385&lt;0,D385&gt;3,E385&lt;0,E385&gt;3,F385&lt;0,F385&gt;3),1,0)))</x:f>
      </x:c>
      <x:c r="K385">
        <x:f>IF(A385="","",IF(G385="",1,0))</x:f>
      </x:c>
      <x:c r="L385">
        <x:f>IF(A385="","",IF(COUNTIFS($A$5:$A$2004,A385,$C$5:$C$2004,C385)&gt;1,1,0))</x:f>
      </x:c>
    </x:row>
    <x:row r="386">
      <x:c r="A386" s="8" t="n"/>
      <x:c r="B386" s="8" t="n"/>
      <x:c r="C386" s="8" t="n"/>
      <x:c r="D386" s="8" t="n"/>
      <x:c r="E386" s="8" t="n"/>
      <x:c r="F386" s="8" t="n"/>
      <x:c r="G386" s="7">
        <x:f>IF(A386="","",IF(01_Parametres!$B$11="Oui",IF((01_Parametres!$B$4*(D386&gt;0)+01_Parametres!$B$5*(E386&gt;0)+01_Parametres!$B$6*(F386&gt;0))=0,"",(01_Parametres!$B$4*IF(D386&gt;0,D386,0)+01_Parametres!$B$5*IF(E386&gt;0,E386,0)+01_Parametres!$B$6*IF(F386&gt;0,F386,0))/(01_Parametres!$B$4*(D386&gt;0)+01_Parametres!$B$5*(E386&gt;0)+01_Parametres!$B$6*(F386&gt;0))),IF(01_Parametres!$B$8=0,"",(01_Parametres!$B$4*D386+01_Parametres!$B$5*E386+01_Parametres!$B$6*F386)/01_Parametres!$B$8)))</x:f>
      </x:c>
      <x:c r="H386">
        <x:f>IFERROR(VLOOKUP(C386,02_Referentiels!$A$20:$D$99,3,FALSE),"")</x:f>
      </x:c>
      <x:c r="I386">
        <x:f>IFERROR(VLOOKUP(B386,02_Referentiels!$A$5:$C$16,2,FALSE),"")</x:f>
      </x:c>
      <x:c r="J386">
        <x:f>IF(A386="","",IF(OR(D386="",E386="",F386=""),1,IF(OR(D386&lt;0,D386&gt;3,E386&lt;0,E386&gt;3,F386&lt;0,F386&gt;3),1,0)))</x:f>
      </x:c>
      <x:c r="K386">
        <x:f>IF(A386="","",IF(G386="",1,0))</x:f>
      </x:c>
      <x:c r="L386">
        <x:f>IF(A386="","",IF(COUNTIFS($A$5:$A$2004,A386,$C$5:$C$2004,C386)&gt;1,1,0))</x:f>
      </x:c>
    </x:row>
    <x:row r="387">
      <x:c r="A387" s="8" t="n"/>
      <x:c r="B387" s="8" t="n"/>
      <x:c r="C387" s="8" t="n"/>
      <x:c r="D387" s="8" t="n"/>
      <x:c r="E387" s="8" t="n"/>
      <x:c r="F387" s="8" t="n"/>
      <x:c r="G387" s="7">
        <x:f>IF(A387="","",IF(01_Parametres!$B$11="Oui",IF((01_Parametres!$B$4*(D387&gt;0)+01_Parametres!$B$5*(E387&gt;0)+01_Parametres!$B$6*(F387&gt;0))=0,"",(01_Parametres!$B$4*IF(D387&gt;0,D387,0)+01_Parametres!$B$5*IF(E387&gt;0,E387,0)+01_Parametres!$B$6*IF(F387&gt;0,F387,0))/(01_Parametres!$B$4*(D387&gt;0)+01_Parametres!$B$5*(E387&gt;0)+01_Parametres!$B$6*(F387&gt;0))),IF(01_Parametres!$B$8=0,"",(01_Parametres!$B$4*D387+01_Parametres!$B$5*E387+01_Parametres!$B$6*F387)/01_Parametres!$B$8)))</x:f>
      </x:c>
      <x:c r="H387">
        <x:f>IFERROR(VLOOKUP(C387,02_Referentiels!$A$20:$D$99,3,FALSE),"")</x:f>
      </x:c>
      <x:c r="I387">
        <x:f>IFERROR(VLOOKUP(B387,02_Referentiels!$A$5:$C$16,2,FALSE),"")</x:f>
      </x:c>
      <x:c r="J387">
        <x:f>IF(A387="","",IF(OR(D387="",E387="",F387=""),1,IF(OR(D387&lt;0,D387&gt;3,E387&lt;0,E387&gt;3,F387&lt;0,F387&gt;3),1,0)))</x:f>
      </x:c>
      <x:c r="K387">
        <x:f>IF(A387="","",IF(G387="",1,0))</x:f>
      </x:c>
      <x:c r="L387">
        <x:f>IF(A387="","",IF(COUNTIFS($A$5:$A$2004,A387,$C$5:$C$2004,C387)&gt;1,1,0))</x:f>
      </x:c>
    </x:row>
    <x:row r="388">
      <x:c r="A388" s="8" t="n"/>
      <x:c r="B388" s="8" t="n"/>
      <x:c r="C388" s="8" t="n"/>
      <x:c r="D388" s="8" t="n"/>
      <x:c r="E388" s="8" t="n"/>
      <x:c r="F388" s="8" t="n"/>
      <x:c r="G388" s="7">
        <x:f>IF(A388="","",IF(01_Parametres!$B$11="Oui",IF((01_Parametres!$B$4*(D388&gt;0)+01_Parametres!$B$5*(E388&gt;0)+01_Parametres!$B$6*(F388&gt;0))=0,"",(01_Parametres!$B$4*IF(D388&gt;0,D388,0)+01_Parametres!$B$5*IF(E388&gt;0,E388,0)+01_Parametres!$B$6*IF(F388&gt;0,F388,0))/(01_Parametres!$B$4*(D388&gt;0)+01_Parametres!$B$5*(E388&gt;0)+01_Parametres!$B$6*(F388&gt;0))),IF(01_Parametres!$B$8=0,"",(01_Parametres!$B$4*D388+01_Parametres!$B$5*E388+01_Parametres!$B$6*F388)/01_Parametres!$B$8)))</x:f>
      </x:c>
      <x:c r="H388">
        <x:f>IFERROR(VLOOKUP(C388,02_Referentiels!$A$20:$D$99,3,FALSE),"")</x:f>
      </x:c>
      <x:c r="I388">
        <x:f>IFERROR(VLOOKUP(B388,02_Referentiels!$A$5:$C$16,2,FALSE),"")</x:f>
      </x:c>
      <x:c r="J388">
        <x:f>IF(A388="","",IF(OR(D388="",E388="",F388=""),1,IF(OR(D388&lt;0,D388&gt;3,E388&lt;0,E388&gt;3,F388&lt;0,F388&gt;3),1,0)))</x:f>
      </x:c>
      <x:c r="K388">
        <x:f>IF(A388="","",IF(G388="",1,0))</x:f>
      </x:c>
      <x:c r="L388">
        <x:f>IF(A388="","",IF(COUNTIFS($A$5:$A$2004,A388,$C$5:$C$2004,C388)&gt;1,1,0))</x:f>
      </x:c>
    </x:row>
    <x:row r="389">
      <x:c r="A389" s="8" t="n"/>
      <x:c r="B389" s="8" t="n"/>
      <x:c r="C389" s="8" t="n"/>
      <x:c r="D389" s="8" t="n"/>
      <x:c r="E389" s="8" t="n"/>
      <x:c r="F389" s="8" t="n"/>
      <x:c r="G389" s="7">
        <x:f>IF(A389="","",IF(01_Parametres!$B$11="Oui",IF((01_Parametres!$B$4*(D389&gt;0)+01_Parametres!$B$5*(E389&gt;0)+01_Parametres!$B$6*(F389&gt;0))=0,"",(01_Parametres!$B$4*IF(D389&gt;0,D389,0)+01_Parametres!$B$5*IF(E389&gt;0,E389,0)+01_Parametres!$B$6*IF(F389&gt;0,F389,0))/(01_Parametres!$B$4*(D389&gt;0)+01_Parametres!$B$5*(E389&gt;0)+01_Parametres!$B$6*(F389&gt;0))),IF(01_Parametres!$B$8=0,"",(01_Parametres!$B$4*D389+01_Parametres!$B$5*E389+01_Parametres!$B$6*F389)/01_Parametres!$B$8)))</x:f>
      </x:c>
      <x:c r="H389">
        <x:f>IFERROR(VLOOKUP(C389,02_Referentiels!$A$20:$D$99,3,FALSE),"")</x:f>
      </x:c>
      <x:c r="I389">
        <x:f>IFERROR(VLOOKUP(B389,02_Referentiels!$A$5:$C$16,2,FALSE),"")</x:f>
      </x:c>
      <x:c r="J389">
        <x:f>IF(A389="","",IF(OR(D389="",E389="",F389=""),1,IF(OR(D389&lt;0,D389&gt;3,E389&lt;0,E389&gt;3,F389&lt;0,F389&gt;3),1,0)))</x:f>
      </x:c>
      <x:c r="K389">
        <x:f>IF(A389="","",IF(G389="",1,0))</x:f>
      </x:c>
      <x:c r="L389">
        <x:f>IF(A389="","",IF(COUNTIFS($A$5:$A$2004,A389,$C$5:$C$2004,C389)&gt;1,1,0))</x:f>
      </x:c>
    </x:row>
    <x:row r="390">
      <x:c r="A390" s="8" t="n"/>
      <x:c r="B390" s="8" t="n"/>
      <x:c r="C390" s="8" t="n"/>
      <x:c r="D390" s="8" t="n"/>
      <x:c r="E390" s="8" t="n"/>
      <x:c r="F390" s="8" t="n"/>
      <x:c r="G390" s="7">
        <x:f>IF(A390="","",IF(01_Parametres!$B$11="Oui",IF((01_Parametres!$B$4*(D390&gt;0)+01_Parametres!$B$5*(E390&gt;0)+01_Parametres!$B$6*(F390&gt;0))=0,"",(01_Parametres!$B$4*IF(D390&gt;0,D390,0)+01_Parametres!$B$5*IF(E390&gt;0,E390,0)+01_Parametres!$B$6*IF(F390&gt;0,F390,0))/(01_Parametres!$B$4*(D390&gt;0)+01_Parametres!$B$5*(E390&gt;0)+01_Parametres!$B$6*(F390&gt;0))),IF(01_Parametres!$B$8=0,"",(01_Parametres!$B$4*D390+01_Parametres!$B$5*E390+01_Parametres!$B$6*F390)/01_Parametres!$B$8)))</x:f>
      </x:c>
      <x:c r="H390">
        <x:f>IFERROR(VLOOKUP(C390,02_Referentiels!$A$20:$D$99,3,FALSE),"")</x:f>
      </x:c>
      <x:c r="I390">
        <x:f>IFERROR(VLOOKUP(B390,02_Referentiels!$A$5:$C$16,2,FALSE),"")</x:f>
      </x:c>
      <x:c r="J390">
        <x:f>IF(A390="","",IF(OR(D390="",E390="",F390=""),1,IF(OR(D390&lt;0,D390&gt;3,E390&lt;0,E390&gt;3,F390&lt;0,F390&gt;3),1,0)))</x:f>
      </x:c>
      <x:c r="K390">
        <x:f>IF(A390="","",IF(G390="",1,0))</x:f>
      </x:c>
      <x:c r="L390">
        <x:f>IF(A390="","",IF(COUNTIFS($A$5:$A$2004,A390,$C$5:$C$2004,C390)&gt;1,1,0))</x:f>
      </x:c>
    </x:row>
    <x:row r="391">
      <x:c r="A391" s="8" t="n"/>
      <x:c r="B391" s="8" t="n"/>
      <x:c r="C391" s="8" t="n"/>
      <x:c r="D391" s="8" t="n"/>
      <x:c r="E391" s="8" t="n"/>
      <x:c r="F391" s="8" t="n"/>
      <x:c r="G391" s="7">
        <x:f>IF(A391="","",IF(01_Parametres!$B$11="Oui",IF((01_Parametres!$B$4*(D391&gt;0)+01_Parametres!$B$5*(E391&gt;0)+01_Parametres!$B$6*(F391&gt;0))=0,"",(01_Parametres!$B$4*IF(D391&gt;0,D391,0)+01_Parametres!$B$5*IF(E391&gt;0,E391,0)+01_Parametres!$B$6*IF(F391&gt;0,F391,0))/(01_Parametres!$B$4*(D391&gt;0)+01_Parametres!$B$5*(E391&gt;0)+01_Parametres!$B$6*(F391&gt;0))),IF(01_Parametres!$B$8=0,"",(01_Parametres!$B$4*D391+01_Parametres!$B$5*E391+01_Parametres!$B$6*F391)/01_Parametres!$B$8)))</x:f>
      </x:c>
      <x:c r="H391">
        <x:f>IFERROR(VLOOKUP(C391,02_Referentiels!$A$20:$D$99,3,FALSE),"")</x:f>
      </x:c>
      <x:c r="I391">
        <x:f>IFERROR(VLOOKUP(B391,02_Referentiels!$A$5:$C$16,2,FALSE),"")</x:f>
      </x:c>
      <x:c r="J391">
        <x:f>IF(A391="","",IF(OR(D391="",E391="",F391=""),1,IF(OR(D391&lt;0,D391&gt;3,E391&lt;0,E391&gt;3,F391&lt;0,F391&gt;3),1,0)))</x:f>
      </x:c>
      <x:c r="K391">
        <x:f>IF(A391="","",IF(G391="",1,0))</x:f>
      </x:c>
      <x:c r="L391">
        <x:f>IF(A391="","",IF(COUNTIFS($A$5:$A$2004,A391,$C$5:$C$2004,C391)&gt;1,1,0))</x:f>
      </x:c>
    </x:row>
    <x:row r="392">
      <x:c r="A392" s="8" t="n"/>
      <x:c r="B392" s="8" t="n"/>
      <x:c r="C392" s="8" t="n"/>
      <x:c r="D392" s="8" t="n"/>
      <x:c r="E392" s="8" t="n"/>
      <x:c r="F392" s="8" t="n"/>
      <x:c r="G392" s="7">
        <x:f>IF(A392="","",IF(01_Parametres!$B$11="Oui",IF((01_Parametres!$B$4*(D392&gt;0)+01_Parametres!$B$5*(E392&gt;0)+01_Parametres!$B$6*(F392&gt;0))=0,"",(01_Parametres!$B$4*IF(D392&gt;0,D392,0)+01_Parametres!$B$5*IF(E392&gt;0,E392,0)+01_Parametres!$B$6*IF(F392&gt;0,F392,0))/(01_Parametres!$B$4*(D392&gt;0)+01_Parametres!$B$5*(E392&gt;0)+01_Parametres!$B$6*(F392&gt;0))),IF(01_Parametres!$B$8=0,"",(01_Parametres!$B$4*D392+01_Parametres!$B$5*E392+01_Parametres!$B$6*F392)/01_Parametres!$B$8)))</x:f>
      </x:c>
      <x:c r="H392">
        <x:f>IFERROR(VLOOKUP(C392,02_Referentiels!$A$20:$D$99,3,FALSE),"")</x:f>
      </x:c>
      <x:c r="I392">
        <x:f>IFERROR(VLOOKUP(B392,02_Referentiels!$A$5:$C$16,2,FALSE),"")</x:f>
      </x:c>
      <x:c r="J392">
        <x:f>IF(A392="","",IF(OR(D392="",E392="",F392=""),1,IF(OR(D392&lt;0,D392&gt;3,E392&lt;0,E392&gt;3,F392&lt;0,F392&gt;3),1,0)))</x:f>
      </x:c>
      <x:c r="K392">
        <x:f>IF(A392="","",IF(G392="",1,0))</x:f>
      </x:c>
      <x:c r="L392">
        <x:f>IF(A392="","",IF(COUNTIFS($A$5:$A$2004,A392,$C$5:$C$2004,C392)&gt;1,1,0))</x:f>
      </x:c>
    </x:row>
    <x:row r="393">
      <x:c r="A393" s="8" t="n"/>
      <x:c r="B393" s="8" t="n"/>
      <x:c r="C393" s="8" t="n"/>
      <x:c r="D393" s="8" t="n"/>
      <x:c r="E393" s="8" t="n"/>
      <x:c r="F393" s="8" t="n"/>
      <x:c r="G393" s="7">
        <x:f>IF(A393="","",IF(01_Parametres!$B$11="Oui",IF((01_Parametres!$B$4*(D393&gt;0)+01_Parametres!$B$5*(E393&gt;0)+01_Parametres!$B$6*(F393&gt;0))=0,"",(01_Parametres!$B$4*IF(D393&gt;0,D393,0)+01_Parametres!$B$5*IF(E393&gt;0,E393,0)+01_Parametres!$B$6*IF(F393&gt;0,F393,0))/(01_Parametres!$B$4*(D393&gt;0)+01_Parametres!$B$5*(E393&gt;0)+01_Parametres!$B$6*(F393&gt;0))),IF(01_Parametres!$B$8=0,"",(01_Parametres!$B$4*D393+01_Parametres!$B$5*E393+01_Parametres!$B$6*F393)/01_Parametres!$B$8)))</x:f>
      </x:c>
      <x:c r="H393">
        <x:f>IFERROR(VLOOKUP(C393,02_Referentiels!$A$20:$D$99,3,FALSE),"")</x:f>
      </x:c>
      <x:c r="I393">
        <x:f>IFERROR(VLOOKUP(B393,02_Referentiels!$A$5:$C$16,2,FALSE),"")</x:f>
      </x:c>
      <x:c r="J393">
        <x:f>IF(A393="","",IF(OR(D393="",E393="",F393=""),1,IF(OR(D393&lt;0,D393&gt;3,E393&lt;0,E393&gt;3,F393&lt;0,F393&gt;3),1,0)))</x:f>
      </x:c>
      <x:c r="K393">
        <x:f>IF(A393="","",IF(G393="",1,0))</x:f>
      </x:c>
      <x:c r="L393">
        <x:f>IF(A393="","",IF(COUNTIFS($A$5:$A$2004,A393,$C$5:$C$2004,C393)&gt;1,1,0))</x:f>
      </x:c>
    </x:row>
    <x:row r="394">
      <x:c r="A394" s="8" t="n"/>
      <x:c r="B394" s="8" t="n"/>
      <x:c r="C394" s="8" t="n"/>
      <x:c r="D394" s="8" t="n"/>
      <x:c r="E394" s="8" t="n"/>
      <x:c r="F394" s="8" t="n"/>
      <x:c r="G394" s="7">
        <x:f>IF(A394="","",IF(01_Parametres!$B$11="Oui",IF((01_Parametres!$B$4*(D394&gt;0)+01_Parametres!$B$5*(E394&gt;0)+01_Parametres!$B$6*(F394&gt;0))=0,"",(01_Parametres!$B$4*IF(D394&gt;0,D394,0)+01_Parametres!$B$5*IF(E394&gt;0,E394,0)+01_Parametres!$B$6*IF(F394&gt;0,F394,0))/(01_Parametres!$B$4*(D394&gt;0)+01_Parametres!$B$5*(E394&gt;0)+01_Parametres!$B$6*(F394&gt;0))),IF(01_Parametres!$B$8=0,"",(01_Parametres!$B$4*D394+01_Parametres!$B$5*E394+01_Parametres!$B$6*F394)/01_Parametres!$B$8)))</x:f>
      </x:c>
      <x:c r="H394">
        <x:f>IFERROR(VLOOKUP(C394,02_Referentiels!$A$20:$D$99,3,FALSE),"")</x:f>
      </x:c>
      <x:c r="I394">
        <x:f>IFERROR(VLOOKUP(B394,02_Referentiels!$A$5:$C$16,2,FALSE),"")</x:f>
      </x:c>
      <x:c r="J394">
        <x:f>IF(A394="","",IF(OR(D394="",E394="",F394=""),1,IF(OR(D394&lt;0,D394&gt;3,E394&lt;0,E394&gt;3,F394&lt;0,F394&gt;3),1,0)))</x:f>
      </x:c>
      <x:c r="K394">
        <x:f>IF(A394="","",IF(G394="",1,0))</x:f>
      </x:c>
      <x:c r="L394">
        <x:f>IF(A394="","",IF(COUNTIFS($A$5:$A$2004,A394,$C$5:$C$2004,C394)&gt;1,1,0))</x:f>
      </x:c>
    </x:row>
    <x:row r="395">
      <x:c r="A395" s="8" t="n"/>
      <x:c r="B395" s="8" t="n"/>
      <x:c r="C395" s="8" t="n"/>
      <x:c r="D395" s="8" t="n"/>
      <x:c r="E395" s="8" t="n"/>
      <x:c r="F395" s="8" t="n"/>
      <x:c r="G395" s="7">
        <x:f>IF(A395="","",IF(01_Parametres!$B$11="Oui",IF((01_Parametres!$B$4*(D395&gt;0)+01_Parametres!$B$5*(E395&gt;0)+01_Parametres!$B$6*(F395&gt;0))=0,"",(01_Parametres!$B$4*IF(D395&gt;0,D395,0)+01_Parametres!$B$5*IF(E395&gt;0,E395,0)+01_Parametres!$B$6*IF(F395&gt;0,F395,0))/(01_Parametres!$B$4*(D395&gt;0)+01_Parametres!$B$5*(E395&gt;0)+01_Parametres!$B$6*(F395&gt;0))),IF(01_Parametres!$B$8=0,"",(01_Parametres!$B$4*D395+01_Parametres!$B$5*E395+01_Parametres!$B$6*F395)/01_Parametres!$B$8)))</x:f>
      </x:c>
      <x:c r="H395">
        <x:f>IFERROR(VLOOKUP(C395,02_Referentiels!$A$20:$D$99,3,FALSE),"")</x:f>
      </x:c>
      <x:c r="I395">
        <x:f>IFERROR(VLOOKUP(B395,02_Referentiels!$A$5:$C$16,2,FALSE),"")</x:f>
      </x:c>
      <x:c r="J395">
        <x:f>IF(A395="","",IF(OR(D395="",E395="",F395=""),1,IF(OR(D395&lt;0,D395&gt;3,E395&lt;0,E395&gt;3,F395&lt;0,F395&gt;3),1,0)))</x:f>
      </x:c>
      <x:c r="K395">
        <x:f>IF(A395="","",IF(G395="",1,0))</x:f>
      </x:c>
      <x:c r="L395">
        <x:f>IF(A395="","",IF(COUNTIFS($A$5:$A$2004,A395,$C$5:$C$2004,C395)&gt;1,1,0))</x:f>
      </x:c>
    </x:row>
    <x:row r="396">
      <x:c r="A396" s="8" t="n"/>
      <x:c r="B396" s="8" t="n"/>
      <x:c r="C396" s="8" t="n"/>
      <x:c r="D396" s="8" t="n"/>
      <x:c r="E396" s="8" t="n"/>
      <x:c r="F396" s="8" t="n"/>
      <x:c r="G396" s="7">
        <x:f>IF(A396="","",IF(01_Parametres!$B$11="Oui",IF((01_Parametres!$B$4*(D396&gt;0)+01_Parametres!$B$5*(E396&gt;0)+01_Parametres!$B$6*(F396&gt;0))=0,"",(01_Parametres!$B$4*IF(D396&gt;0,D396,0)+01_Parametres!$B$5*IF(E396&gt;0,E396,0)+01_Parametres!$B$6*IF(F396&gt;0,F396,0))/(01_Parametres!$B$4*(D396&gt;0)+01_Parametres!$B$5*(E396&gt;0)+01_Parametres!$B$6*(F396&gt;0))),IF(01_Parametres!$B$8=0,"",(01_Parametres!$B$4*D396+01_Parametres!$B$5*E396+01_Parametres!$B$6*F396)/01_Parametres!$B$8)))</x:f>
      </x:c>
      <x:c r="H396">
        <x:f>IFERROR(VLOOKUP(C396,02_Referentiels!$A$20:$D$99,3,FALSE),"")</x:f>
      </x:c>
      <x:c r="I396">
        <x:f>IFERROR(VLOOKUP(B396,02_Referentiels!$A$5:$C$16,2,FALSE),"")</x:f>
      </x:c>
      <x:c r="J396">
        <x:f>IF(A396="","",IF(OR(D396="",E396="",F396=""),1,IF(OR(D396&lt;0,D396&gt;3,E396&lt;0,E396&gt;3,F396&lt;0,F396&gt;3),1,0)))</x:f>
      </x:c>
      <x:c r="K396">
        <x:f>IF(A396="","",IF(G396="",1,0))</x:f>
      </x:c>
      <x:c r="L396">
        <x:f>IF(A396="","",IF(COUNTIFS($A$5:$A$2004,A396,$C$5:$C$2004,C396)&gt;1,1,0))</x:f>
      </x:c>
    </x:row>
    <x:row r="397">
      <x:c r="A397" s="8" t="n"/>
      <x:c r="B397" s="8" t="n"/>
      <x:c r="C397" s="8" t="n"/>
      <x:c r="D397" s="8" t="n"/>
      <x:c r="E397" s="8" t="n"/>
      <x:c r="F397" s="8" t="n"/>
      <x:c r="G397" s="7">
        <x:f>IF(A397="","",IF(01_Parametres!$B$11="Oui",IF((01_Parametres!$B$4*(D397&gt;0)+01_Parametres!$B$5*(E397&gt;0)+01_Parametres!$B$6*(F397&gt;0))=0,"",(01_Parametres!$B$4*IF(D397&gt;0,D397,0)+01_Parametres!$B$5*IF(E397&gt;0,E397,0)+01_Parametres!$B$6*IF(F397&gt;0,F397,0))/(01_Parametres!$B$4*(D397&gt;0)+01_Parametres!$B$5*(E397&gt;0)+01_Parametres!$B$6*(F397&gt;0))),IF(01_Parametres!$B$8=0,"",(01_Parametres!$B$4*D397+01_Parametres!$B$5*E397+01_Parametres!$B$6*F397)/01_Parametres!$B$8)))</x:f>
      </x:c>
      <x:c r="H397">
        <x:f>IFERROR(VLOOKUP(C397,02_Referentiels!$A$20:$D$99,3,FALSE),"")</x:f>
      </x:c>
      <x:c r="I397">
        <x:f>IFERROR(VLOOKUP(B397,02_Referentiels!$A$5:$C$16,2,FALSE),"")</x:f>
      </x:c>
      <x:c r="J397">
        <x:f>IF(A397="","",IF(OR(D397="",E397="",F397=""),1,IF(OR(D397&lt;0,D397&gt;3,E397&lt;0,E397&gt;3,F397&lt;0,F397&gt;3),1,0)))</x:f>
      </x:c>
      <x:c r="K397">
        <x:f>IF(A397="","",IF(G397="",1,0))</x:f>
      </x:c>
      <x:c r="L397">
        <x:f>IF(A397="","",IF(COUNTIFS($A$5:$A$2004,A397,$C$5:$C$2004,C397)&gt;1,1,0))</x:f>
      </x:c>
    </x:row>
    <x:row r="398">
      <x:c r="A398" s="8" t="n"/>
      <x:c r="B398" s="8" t="n"/>
      <x:c r="C398" s="8" t="n"/>
      <x:c r="D398" s="8" t="n"/>
      <x:c r="E398" s="8" t="n"/>
      <x:c r="F398" s="8" t="n"/>
      <x:c r="G398" s="7">
        <x:f>IF(A398="","",IF(01_Parametres!$B$11="Oui",IF((01_Parametres!$B$4*(D398&gt;0)+01_Parametres!$B$5*(E398&gt;0)+01_Parametres!$B$6*(F398&gt;0))=0,"",(01_Parametres!$B$4*IF(D398&gt;0,D398,0)+01_Parametres!$B$5*IF(E398&gt;0,E398,0)+01_Parametres!$B$6*IF(F398&gt;0,F398,0))/(01_Parametres!$B$4*(D398&gt;0)+01_Parametres!$B$5*(E398&gt;0)+01_Parametres!$B$6*(F398&gt;0))),IF(01_Parametres!$B$8=0,"",(01_Parametres!$B$4*D398+01_Parametres!$B$5*E398+01_Parametres!$B$6*F398)/01_Parametres!$B$8)))</x:f>
      </x:c>
      <x:c r="H398">
        <x:f>IFERROR(VLOOKUP(C398,02_Referentiels!$A$20:$D$99,3,FALSE),"")</x:f>
      </x:c>
      <x:c r="I398">
        <x:f>IFERROR(VLOOKUP(B398,02_Referentiels!$A$5:$C$16,2,FALSE),"")</x:f>
      </x:c>
      <x:c r="J398">
        <x:f>IF(A398="","",IF(OR(D398="",E398="",F398=""),1,IF(OR(D398&lt;0,D398&gt;3,E398&lt;0,E398&gt;3,F398&lt;0,F398&gt;3),1,0)))</x:f>
      </x:c>
      <x:c r="K398">
        <x:f>IF(A398="","",IF(G398="",1,0))</x:f>
      </x:c>
      <x:c r="L398">
        <x:f>IF(A398="","",IF(COUNTIFS($A$5:$A$2004,A398,$C$5:$C$2004,C398)&gt;1,1,0))</x:f>
      </x:c>
    </x:row>
    <x:row r="399">
      <x:c r="A399" s="8" t="n"/>
      <x:c r="B399" s="8" t="n"/>
      <x:c r="C399" s="8" t="n"/>
      <x:c r="D399" s="8" t="n"/>
      <x:c r="E399" s="8" t="n"/>
      <x:c r="F399" s="8" t="n"/>
      <x:c r="G399" s="7">
        <x:f>IF(A399="","",IF(01_Parametres!$B$11="Oui",IF((01_Parametres!$B$4*(D399&gt;0)+01_Parametres!$B$5*(E399&gt;0)+01_Parametres!$B$6*(F399&gt;0))=0,"",(01_Parametres!$B$4*IF(D399&gt;0,D399,0)+01_Parametres!$B$5*IF(E399&gt;0,E399,0)+01_Parametres!$B$6*IF(F399&gt;0,F399,0))/(01_Parametres!$B$4*(D399&gt;0)+01_Parametres!$B$5*(E399&gt;0)+01_Parametres!$B$6*(F399&gt;0))),IF(01_Parametres!$B$8=0,"",(01_Parametres!$B$4*D399+01_Parametres!$B$5*E399+01_Parametres!$B$6*F399)/01_Parametres!$B$8)))</x:f>
      </x:c>
      <x:c r="H399">
        <x:f>IFERROR(VLOOKUP(C399,02_Referentiels!$A$20:$D$99,3,FALSE),"")</x:f>
      </x:c>
      <x:c r="I399">
        <x:f>IFERROR(VLOOKUP(B399,02_Referentiels!$A$5:$C$16,2,FALSE),"")</x:f>
      </x:c>
      <x:c r="J399">
        <x:f>IF(A399="","",IF(OR(D399="",E399="",F399=""),1,IF(OR(D399&lt;0,D399&gt;3,E399&lt;0,E399&gt;3,F399&lt;0,F399&gt;3),1,0)))</x:f>
      </x:c>
      <x:c r="K399">
        <x:f>IF(A399="","",IF(G399="",1,0))</x:f>
      </x:c>
      <x:c r="L399">
        <x:f>IF(A399="","",IF(COUNTIFS($A$5:$A$2004,A399,$C$5:$C$2004,C399)&gt;1,1,0))</x:f>
      </x:c>
    </x:row>
    <x:row r="400">
      <x:c r="A400" s="8" t="n"/>
      <x:c r="B400" s="8" t="n"/>
      <x:c r="C400" s="8" t="n"/>
      <x:c r="D400" s="8" t="n"/>
      <x:c r="E400" s="8" t="n"/>
      <x:c r="F400" s="8" t="n"/>
      <x:c r="G400" s="7">
        <x:f>IF(A400="","",IF(01_Parametres!$B$11="Oui",IF((01_Parametres!$B$4*(D400&gt;0)+01_Parametres!$B$5*(E400&gt;0)+01_Parametres!$B$6*(F400&gt;0))=0,"",(01_Parametres!$B$4*IF(D400&gt;0,D400,0)+01_Parametres!$B$5*IF(E400&gt;0,E400,0)+01_Parametres!$B$6*IF(F400&gt;0,F400,0))/(01_Parametres!$B$4*(D400&gt;0)+01_Parametres!$B$5*(E400&gt;0)+01_Parametres!$B$6*(F400&gt;0))),IF(01_Parametres!$B$8=0,"",(01_Parametres!$B$4*D400+01_Parametres!$B$5*E400+01_Parametres!$B$6*F400)/01_Parametres!$B$8)))</x:f>
      </x:c>
      <x:c r="H400">
        <x:f>IFERROR(VLOOKUP(C400,02_Referentiels!$A$20:$D$99,3,FALSE),"")</x:f>
      </x:c>
      <x:c r="I400">
        <x:f>IFERROR(VLOOKUP(B400,02_Referentiels!$A$5:$C$16,2,FALSE),"")</x:f>
      </x:c>
      <x:c r="J400">
        <x:f>IF(A400="","",IF(OR(D400="",E400="",F400=""),1,IF(OR(D400&lt;0,D400&gt;3,E400&lt;0,E400&gt;3,F400&lt;0,F400&gt;3),1,0)))</x:f>
      </x:c>
      <x:c r="K400">
        <x:f>IF(A400="","",IF(G400="",1,0))</x:f>
      </x:c>
      <x:c r="L400">
        <x:f>IF(A400="","",IF(COUNTIFS($A$5:$A$2004,A400,$C$5:$C$2004,C400)&gt;1,1,0))</x:f>
      </x:c>
    </x:row>
    <x:row r="401">
      <x:c r="A401" s="8" t="n"/>
      <x:c r="B401" s="8" t="n"/>
      <x:c r="C401" s="8" t="n"/>
      <x:c r="D401" s="8" t="n"/>
      <x:c r="E401" s="8" t="n"/>
      <x:c r="F401" s="8" t="n"/>
      <x:c r="G401" s="7">
        <x:f>IF(A401="","",IF(01_Parametres!$B$11="Oui",IF((01_Parametres!$B$4*(D401&gt;0)+01_Parametres!$B$5*(E401&gt;0)+01_Parametres!$B$6*(F401&gt;0))=0,"",(01_Parametres!$B$4*IF(D401&gt;0,D401,0)+01_Parametres!$B$5*IF(E401&gt;0,E401,0)+01_Parametres!$B$6*IF(F401&gt;0,F401,0))/(01_Parametres!$B$4*(D401&gt;0)+01_Parametres!$B$5*(E401&gt;0)+01_Parametres!$B$6*(F401&gt;0))),IF(01_Parametres!$B$8=0,"",(01_Parametres!$B$4*D401+01_Parametres!$B$5*E401+01_Parametres!$B$6*F401)/01_Parametres!$B$8)))</x:f>
      </x:c>
      <x:c r="H401">
        <x:f>IFERROR(VLOOKUP(C401,02_Referentiels!$A$20:$D$99,3,FALSE),"")</x:f>
      </x:c>
      <x:c r="I401">
        <x:f>IFERROR(VLOOKUP(B401,02_Referentiels!$A$5:$C$16,2,FALSE),"")</x:f>
      </x:c>
      <x:c r="J401">
        <x:f>IF(A401="","",IF(OR(D401="",E401="",F401=""),1,IF(OR(D401&lt;0,D401&gt;3,E401&lt;0,E401&gt;3,F401&lt;0,F401&gt;3),1,0)))</x:f>
      </x:c>
      <x:c r="K401">
        <x:f>IF(A401="","",IF(G401="",1,0))</x:f>
      </x:c>
      <x:c r="L401">
        <x:f>IF(A401="","",IF(COUNTIFS($A$5:$A$2004,A401,$C$5:$C$2004,C401)&gt;1,1,0))</x:f>
      </x:c>
    </x:row>
    <x:row r="402">
      <x:c r="A402" s="8" t="n"/>
      <x:c r="B402" s="8" t="n"/>
      <x:c r="C402" s="8" t="n"/>
      <x:c r="D402" s="8" t="n"/>
      <x:c r="E402" s="8" t="n"/>
      <x:c r="F402" s="8" t="n"/>
      <x:c r="G402" s="7">
        <x:f>IF(A402="","",IF(01_Parametres!$B$11="Oui",IF((01_Parametres!$B$4*(D402&gt;0)+01_Parametres!$B$5*(E402&gt;0)+01_Parametres!$B$6*(F402&gt;0))=0,"",(01_Parametres!$B$4*IF(D402&gt;0,D402,0)+01_Parametres!$B$5*IF(E402&gt;0,E402,0)+01_Parametres!$B$6*IF(F402&gt;0,F402,0))/(01_Parametres!$B$4*(D402&gt;0)+01_Parametres!$B$5*(E402&gt;0)+01_Parametres!$B$6*(F402&gt;0))),IF(01_Parametres!$B$8=0,"",(01_Parametres!$B$4*D402+01_Parametres!$B$5*E402+01_Parametres!$B$6*F402)/01_Parametres!$B$8)))</x:f>
      </x:c>
      <x:c r="H402">
        <x:f>IFERROR(VLOOKUP(C402,02_Referentiels!$A$20:$D$99,3,FALSE),"")</x:f>
      </x:c>
      <x:c r="I402">
        <x:f>IFERROR(VLOOKUP(B402,02_Referentiels!$A$5:$C$16,2,FALSE),"")</x:f>
      </x:c>
      <x:c r="J402">
        <x:f>IF(A402="","",IF(OR(D402="",E402="",F402=""),1,IF(OR(D402&lt;0,D402&gt;3,E402&lt;0,E402&gt;3,F402&lt;0,F402&gt;3),1,0)))</x:f>
      </x:c>
      <x:c r="K402">
        <x:f>IF(A402="","",IF(G402="",1,0))</x:f>
      </x:c>
      <x:c r="L402">
        <x:f>IF(A402="","",IF(COUNTIFS($A$5:$A$2004,A402,$C$5:$C$2004,C402)&gt;1,1,0))</x:f>
      </x:c>
    </x:row>
    <x:row r="403">
      <x:c r="A403" s="8" t="n"/>
      <x:c r="B403" s="8" t="n"/>
      <x:c r="C403" s="8" t="n"/>
      <x:c r="D403" s="8" t="n"/>
      <x:c r="E403" s="8" t="n"/>
      <x:c r="F403" s="8" t="n"/>
      <x:c r="G403" s="7">
        <x:f>IF(A403="","",IF(01_Parametres!$B$11="Oui",IF((01_Parametres!$B$4*(D403&gt;0)+01_Parametres!$B$5*(E403&gt;0)+01_Parametres!$B$6*(F403&gt;0))=0,"",(01_Parametres!$B$4*IF(D403&gt;0,D403,0)+01_Parametres!$B$5*IF(E403&gt;0,E403,0)+01_Parametres!$B$6*IF(F403&gt;0,F403,0))/(01_Parametres!$B$4*(D403&gt;0)+01_Parametres!$B$5*(E403&gt;0)+01_Parametres!$B$6*(F403&gt;0))),IF(01_Parametres!$B$8=0,"",(01_Parametres!$B$4*D403+01_Parametres!$B$5*E403+01_Parametres!$B$6*F403)/01_Parametres!$B$8)))</x:f>
      </x:c>
      <x:c r="H403">
        <x:f>IFERROR(VLOOKUP(C403,02_Referentiels!$A$20:$D$99,3,FALSE),"")</x:f>
      </x:c>
      <x:c r="I403">
        <x:f>IFERROR(VLOOKUP(B403,02_Referentiels!$A$5:$C$16,2,FALSE),"")</x:f>
      </x:c>
      <x:c r="J403">
        <x:f>IF(A403="","",IF(OR(D403="",E403="",F403=""),1,IF(OR(D403&lt;0,D403&gt;3,E403&lt;0,E403&gt;3,F403&lt;0,F403&gt;3),1,0)))</x:f>
      </x:c>
      <x:c r="K403">
        <x:f>IF(A403="","",IF(G403="",1,0))</x:f>
      </x:c>
      <x:c r="L403">
        <x:f>IF(A403="","",IF(COUNTIFS($A$5:$A$2004,A403,$C$5:$C$2004,C403)&gt;1,1,0))</x:f>
      </x:c>
    </x:row>
    <x:row r="404">
      <x:c r="A404" s="8" t="n"/>
      <x:c r="B404" s="8" t="n"/>
      <x:c r="C404" s="8" t="n"/>
      <x:c r="D404" s="8" t="n"/>
      <x:c r="E404" s="8" t="n"/>
      <x:c r="F404" s="8" t="n"/>
      <x:c r="G404" s="7">
        <x:f>IF(A404="","",IF(01_Parametres!$B$11="Oui",IF((01_Parametres!$B$4*(D404&gt;0)+01_Parametres!$B$5*(E404&gt;0)+01_Parametres!$B$6*(F404&gt;0))=0,"",(01_Parametres!$B$4*IF(D404&gt;0,D404,0)+01_Parametres!$B$5*IF(E404&gt;0,E404,0)+01_Parametres!$B$6*IF(F404&gt;0,F404,0))/(01_Parametres!$B$4*(D404&gt;0)+01_Parametres!$B$5*(E404&gt;0)+01_Parametres!$B$6*(F404&gt;0))),IF(01_Parametres!$B$8=0,"",(01_Parametres!$B$4*D404+01_Parametres!$B$5*E404+01_Parametres!$B$6*F404)/01_Parametres!$B$8)))</x:f>
      </x:c>
      <x:c r="H404">
        <x:f>IFERROR(VLOOKUP(C404,02_Referentiels!$A$20:$D$99,3,FALSE),"")</x:f>
      </x:c>
      <x:c r="I404">
        <x:f>IFERROR(VLOOKUP(B404,02_Referentiels!$A$5:$C$16,2,FALSE),"")</x:f>
      </x:c>
      <x:c r="J404">
        <x:f>IF(A404="","",IF(OR(D404="",E404="",F404=""),1,IF(OR(D404&lt;0,D404&gt;3,E404&lt;0,E404&gt;3,F404&lt;0,F404&gt;3),1,0)))</x:f>
      </x:c>
      <x:c r="K404">
        <x:f>IF(A404="","",IF(G404="",1,0))</x:f>
      </x:c>
      <x:c r="L404">
        <x:f>IF(A404="","",IF(COUNTIFS($A$5:$A$2004,A404,$C$5:$C$2004,C404)&gt;1,1,0))</x:f>
      </x:c>
    </x:row>
    <x:row r="405">
      <x:c r="A405" s="8" t="n"/>
      <x:c r="B405" s="8" t="n"/>
      <x:c r="C405" s="8" t="n"/>
      <x:c r="D405" s="8" t="n"/>
      <x:c r="E405" s="8" t="n"/>
      <x:c r="F405" s="8" t="n"/>
      <x:c r="G405" s="7">
        <x:f>IF(A405="","",IF(01_Parametres!$B$11="Oui",IF((01_Parametres!$B$4*(D405&gt;0)+01_Parametres!$B$5*(E405&gt;0)+01_Parametres!$B$6*(F405&gt;0))=0,"",(01_Parametres!$B$4*IF(D405&gt;0,D405,0)+01_Parametres!$B$5*IF(E405&gt;0,E405,0)+01_Parametres!$B$6*IF(F405&gt;0,F405,0))/(01_Parametres!$B$4*(D405&gt;0)+01_Parametres!$B$5*(E405&gt;0)+01_Parametres!$B$6*(F405&gt;0))),IF(01_Parametres!$B$8=0,"",(01_Parametres!$B$4*D405+01_Parametres!$B$5*E405+01_Parametres!$B$6*F405)/01_Parametres!$B$8)))</x:f>
      </x:c>
      <x:c r="H405">
        <x:f>IFERROR(VLOOKUP(C405,02_Referentiels!$A$20:$D$99,3,FALSE),"")</x:f>
      </x:c>
      <x:c r="I405">
        <x:f>IFERROR(VLOOKUP(B405,02_Referentiels!$A$5:$C$16,2,FALSE),"")</x:f>
      </x:c>
      <x:c r="J405">
        <x:f>IF(A405="","",IF(OR(D405="",E405="",F405=""),1,IF(OR(D405&lt;0,D405&gt;3,E405&lt;0,E405&gt;3,F405&lt;0,F405&gt;3),1,0)))</x:f>
      </x:c>
      <x:c r="K405">
        <x:f>IF(A405="","",IF(G405="",1,0))</x:f>
      </x:c>
      <x:c r="L405">
        <x:f>IF(A405="","",IF(COUNTIFS($A$5:$A$2004,A405,$C$5:$C$2004,C405)&gt;1,1,0))</x:f>
      </x:c>
    </x:row>
    <x:row r="406">
      <x:c r="A406" s="8" t="n"/>
      <x:c r="B406" s="8" t="n"/>
      <x:c r="C406" s="8" t="n"/>
      <x:c r="D406" s="8" t="n"/>
      <x:c r="E406" s="8" t="n"/>
      <x:c r="F406" s="8" t="n"/>
      <x:c r="G406" s="7">
        <x:f>IF(A406="","",IF(01_Parametres!$B$11="Oui",IF((01_Parametres!$B$4*(D406&gt;0)+01_Parametres!$B$5*(E406&gt;0)+01_Parametres!$B$6*(F406&gt;0))=0,"",(01_Parametres!$B$4*IF(D406&gt;0,D406,0)+01_Parametres!$B$5*IF(E406&gt;0,E406,0)+01_Parametres!$B$6*IF(F406&gt;0,F406,0))/(01_Parametres!$B$4*(D406&gt;0)+01_Parametres!$B$5*(E406&gt;0)+01_Parametres!$B$6*(F406&gt;0))),IF(01_Parametres!$B$8=0,"",(01_Parametres!$B$4*D406+01_Parametres!$B$5*E406+01_Parametres!$B$6*F406)/01_Parametres!$B$8)))</x:f>
      </x:c>
      <x:c r="H406">
        <x:f>IFERROR(VLOOKUP(C406,02_Referentiels!$A$20:$D$99,3,FALSE),"")</x:f>
      </x:c>
      <x:c r="I406">
        <x:f>IFERROR(VLOOKUP(B406,02_Referentiels!$A$5:$C$16,2,FALSE),"")</x:f>
      </x:c>
      <x:c r="J406">
        <x:f>IF(A406="","",IF(OR(D406="",E406="",F406=""),1,IF(OR(D406&lt;0,D406&gt;3,E406&lt;0,E406&gt;3,F406&lt;0,F406&gt;3),1,0)))</x:f>
      </x:c>
      <x:c r="K406">
        <x:f>IF(A406="","",IF(G406="",1,0))</x:f>
      </x:c>
      <x:c r="L406">
        <x:f>IF(A406="","",IF(COUNTIFS($A$5:$A$2004,A406,$C$5:$C$2004,C406)&gt;1,1,0))</x:f>
      </x:c>
    </x:row>
    <x:row r="407">
      <x:c r="A407" s="8" t="n"/>
      <x:c r="B407" s="8" t="n"/>
      <x:c r="C407" s="8" t="n"/>
      <x:c r="D407" s="8" t="n"/>
      <x:c r="E407" s="8" t="n"/>
      <x:c r="F407" s="8" t="n"/>
      <x:c r="G407" s="7">
        <x:f>IF(A407="","",IF(01_Parametres!$B$11="Oui",IF((01_Parametres!$B$4*(D407&gt;0)+01_Parametres!$B$5*(E407&gt;0)+01_Parametres!$B$6*(F407&gt;0))=0,"",(01_Parametres!$B$4*IF(D407&gt;0,D407,0)+01_Parametres!$B$5*IF(E407&gt;0,E407,0)+01_Parametres!$B$6*IF(F407&gt;0,F407,0))/(01_Parametres!$B$4*(D407&gt;0)+01_Parametres!$B$5*(E407&gt;0)+01_Parametres!$B$6*(F407&gt;0))),IF(01_Parametres!$B$8=0,"",(01_Parametres!$B$4*D407+01_Parametres!$B$5*E407+01_Parametres!$B$6*F407)/01_Parametres!$B$8)))</x:f>
      </x:c>
      <x:c r="H407">
        <x:f>IFERROR(VLOOKUP(C407,02_Referentiels!$A$20:$D$99,3,FALSE),"")</x:f>
      </x:c>
      <x:c r="I407">
        <x:f>IFERROR(VLOOKUP(B407,02_Referentiels!$A$5:$C$16,2,FALSE),"")</x:f>
      </x:c>
      <x:c r="J407">
        <x:f>IF(A407="","",IF(OR(D407="",E407="",F407=""),1,IF(OR(D407&lt;0,D407&gt;3,E407&lt;0,E407&gt;3,F407&lt;0,F407&gt;3),1,0)))</x:f>
      </x:c>
      <x:c r="K407">
        <x:f>IF(A407="","",IF(G407="",1,0))</x:f>
      </x:c>
      <x:c r="L407">
        <x:f>IF(A407="","",IF(COUNTIFS($A$5:$A$2004,A407,$C$5:$C$2004,C407)&gt;1,1,0))</x:f>
      </x:c>
    </x:row>
    <x:row r="408">
      <x:c r="A408" s="8" t="n"/>
      <x:c r="B408" s="8" t="n"/>
      <x:c r="C408" s="8" t="n"/>
      <x:c r="D408" s="8" t="n"/>
      <x:c r="E408" s="8" t="n"/>
      <x:c r="F408" s="8" t="n"/>
      <x:c r="G408" s="7">
        <x:f>IF(A408="","",IF(01_Parametres!$B$11="Oui",IF((01_Parametres!$B$4*(D408&gt;0)+01_Parametres!$B$5*(E408&gt;0)+01_Parametres!$B$6*(F408&gt;0))=0,"",(01_Parametres!$B$4*IF(D408&gt;0,D408,0)+01_Parametres!$B$5*IF(E408&gt;0,E408,0)+01_Parametres!$B$6*IF(F408&gt;0,F408,0))/(01_Parametres!$B$4*(D408&gt;0)+01_Parametres!$B$5*(E408&gt;0)+01_Parametres!$B$6*(F408&gt;0))),IF(01_Parametres!$B$8=0,"",(01_Parametres!$B$4*D408+01_Parametres!$B$5*E408+01_Parametres!$B$6*F408)/01_Parametres!$B$8)))</x:f>
      </x:c>
      <x:c r="H408">
        <x:f>IFERROR(VLOOKUP(C408,02_Referentiels!$A$20:$D$99,3,FALSE),"")</x:f>
      </x:c>
      <x:c r="I408">
        <x:f>IFERROR(VLOOKUP(B408,02_Referentiels!$A$5:$C$16,2,FALSE),"")</x:f>
      </x:c>
      <x:c r="J408">
        <x:f>IF(A408="","",IF(OR(D408="",E408="",F408=""),1,IF(OR(D408&lt;0,D408&gt;3,E408&lt;0,E408&gt;3,F408&lt;0,F408&gt;3),1,0)))</x:f>
      </x:c>
      <x:c r="K408">
        <x:f>IF(A408="","",IF(G408="",1,0))</x:f>
      </x:c>
      <x:c r="L408">
        <x:f>IF(A408="","",IF(COUNTIFS($A$5:$A$2004,A408,$C$5:$C$2004,C408)&gt;1,1,0))</x:f>
      </x:c>
    </x:row>
    <x:row r="409">
      <x:c r="A409" s="8" t="n"/>
      <x:c r="B409" s="8" t="n"/>
      <x:c r="C409" s="8" t="n"/>
      <x:c r="D409" s="8" t="n"/>
      <x:c r="E409" s="8" t="n"/>
      <x:c r="F409" s="8" t="n"/>
      <x:c r="G409" s="7">
        <x:f>IF(A409="","",IF(01_Parametres!$B$11="Oui",IF((01_Parametres!$B$4*(D409&gt;0)+01_Parametres!$B$5*(E409&gt;0)+01_Parametres!$B$6*(F409&gt;0))=0,"",(01_Parametres!$B$4*IF(D409&gt;0,D409,0)+01_Parametres!$B$5*IF(E409&gt;0,E409,0)+01_Parametres!$B$6*IF(F409&gt;0,F409,0))/(01_Parametres!$B$4*(D409&gt;0)+01_Parametres!$B$5*(E409&gt;0)+01_Parametres!$B$6*(F409&gt;0))),IF(01_Parametres!$B$8=0,"",(01_Parametres!$B$4*D409+01_Parametres!$B$5*E409+01_Parametres!$B$6*F409)/01_Parametres!$B$8)))</x:f>
      </x:c>
      <x:c r="H409">
        <x:f>IFERROR(VLOOKUP(C409,02_Referentiels!$A$20:$D$99,3,FALSE),"")</x:f>
      </x:c>
      <x:c r="I409">
        <x:f>IFERROR(VLOOKUP(B409,02_Referentiels!$A$5:$C$16,2,FALSE),"")</x:f>
      </x:c>
      <x:c r="J409">
        <x:f>IF(A409="","",IF(OR(D409="",E409="",F409=""),1,IF(OR(D409&lt;0,D409&gt;3,E409&lt;0,E409&gt;3,F409&lt;0,F409&gt;3),1,0)))</x:f>
      </x:c>
      <x:c r="K409">
        <x:f>IF(A409="","",IF(G409="",1,0))</x:f>
      </x:c>
      <x:c r="L409">
        <x:f>IF(A409="","",IF(COUNTIFS($A$5:$A$2004,A409,$C$5:$C$2004,C409)&gt;1,1,0))</x:f>
      </x:c>
    </x:row>
    <x:row r="410">
      <x:c r="A410" s="8" t="n"/>
      <x:c r="B410" s="8" t="n"/>
      <x:c r="C410" s="8" t="n"/>
      <x:c r="D410" s="8" t="n"/>
      <x:c r="E410" s="8" t="n"/>
      <x:c r="F410" s="8" t="n"/>
      <x:c r="G410" s="7">
        <x:f>IF(A410="","",IF(01_Parametres!$B$11="Oui",IF((01_Parametres!$B$4*(D410&gt;0)+01_Parametres!$B$5*(E410&gt;0)+01_Parametres!$B$6*(F410&gt;0))=0,"",(01_Parametres!$B$4*IF(D410&gt;0,D410,0)+01_Parametres!$B$5*IF(E410&gt;0,E410,0)+01_Parametres!$B$6*IF(F410&gt;0,F410,0))/(01_Parametres!$B$4*(D410&gt;0)+01_Parametres!$B$5*(E410&gt;0)+01_Parametres!$B$6*(F410&gt;0))),IF(01_Parametres!$B$8=0,"",(01_Parametres!$B$4*D410+01_Parametres!$B$5*E410+01_Parametres!$B$6*F410)/01_Parametres!$B$8)))</x:f>
      </x:c>
      <x:c r="H410">
        <x:f>IFERROR(VLOOKUP(C410,02_Referentiels!$A$20:$D$99,3,FALSE),"")</x:f>
      </x:c>
      <x:c r="I410">
        <x:f>IFERROR(VLOOKUP(B410,02_Referentiels!$A$5:$C$16,2,FALSE),"")</x:f>
      </x:c>
      <x:c r="J410">
        <x:f>IF(A410="","",IF(OR(D410="",E410="",F410=""),1,IF(OR(D410&lt;0,D410&gt;3,E410&lt;0,E410&gt;3,F410&lt;0,F410&gt;3),1,0)))</x:f>
      </x:c>
      <x:c r="K410">
        <x:f>IF(A410="","",IF(G410="",1,0))</x:f>
      </x:c>
      <x:c r="L410">
        <x:f>IF(A410="","",IF(COUNTIFS($A$5:$A$2004,A410,$C$5:$C$2004,C410)&gt;1,1,0))</x:f>
      </x:c>
    </x:row>
    <x:row r="411">
      <x:c r="A411" s="8" t="n"/>
      <x:c r="B411" s="8" t="n"/>
      <x:c r="C411" s="8" t="n"/>
      <x:c r="D411" s="8" t="n"/>
      <x:c r="E411" s="8" t="n"/>
      <x:c r="F411" s="8" t="n"/>
      <x:c r="G411" s="7">
        <x:f>IF(A411="","",IF(01_Parametres!$B$11="Oui",IF((01_Parametres!$B$4*(D411&gt;0)+01_Parametres!$B$5*(E411&gt;0)+01_Parametres!$B$6*(F411&gt;0))=0,"",(01_Parametres!$B$4*IF(D411&gt;0,D411,0)+01_Parametres!$B$5*IF(E411&gt;0,E411,0)+01_Parametres!$B$6*IF(F411&gt;0,F411,0))/(01_Parametres!$B$4*(D411&gt;0)+01_Parametres!$B$5*(E411&gt;0)+01_Parametres!$B$6*(F411&gt;0))),IF(01_Parametres!$B$8=0,"",(01_Parametres!$B$4*D411+01_Parametres!$B$5*E411+01_Parametres!$B$6*F411)/01_Parametres!$B$8)))</x:f>
      </x:c>
      <x:c r="H411">
        <x:f>IFERROR(VLOOKUP(C411,02_Referentiels!$A$20:$D$99,3,FALSE),"")</x:f>
      </x:c>
      <x:c r="I411">
        <x:f>IFERROR(VLOOKUP(B411,02_Referentiels!$A$5:$C$16,2,FALSE),"")</x:f>
      </x:c>
      <x:c r="J411">
        <x:f>IF(A411="","",IF(OR(D411="",E411="",F411=""),1,IF(OR(D411&lt;0,D411&gt;3,E411&lt;0,E411&gt;3,F411&lt;0,F411&gt;3),1,0)))</x:f>
      </x:c>
      <x:c r="K411">
        <x:f>IF(A411="","",IF(G411="",1,0))</x:f>
      </x:c>
      <x:c r="L411">
        <x:f>IF(A411="","",IF(COUNTIFS($A$5:$A$2004,A411,$C$5:$C$2004,C411)&gt;1,1,0))</x:f>
      </x:c>
    </x:row>
    <x:row r="412">
      <x:c r="A412" s="8" t="n"/>
      <x:c r="B412" s="8" t="n"/>
      <x:c r="C412" s="8" t="n"/>
      <x:c r="D412" s="8" t="n"/>
      <x:c r="E412" s="8" t="n"/>
      <x:c r="F412" s="8" t="n"/>
      <x:c r="G412" s="7">
        <x:f>IF(A412="","",IF(01_Parametres!$B$11="Oui",IF((01_Parametres!$B$4*(D412&gt;0)+01_Parametres!$B$5*(E412&gt;0)+01_Parametres!$B$6*(F412&gt;0))=0,"",(01_Parametres!$B$4*IF(D412&gt;0,D412,0)+01_Parametres!$B$5*IF(E412&gt;0,E412,0)+01_Parametres!$B$6*IF(F412&gt;0,F412,0))/(01_Parametres!$B$4*(D412&gt;0)+01_Parametres!$B$5*(E412&gt;0)+01_Parametres!$B$6*(F412&gt;0))),IF(01_Parametres!$B$8=0,"",(01_Parametres!$B$4*D412+01_Parametres!$B$5*E412+01_Parametres!$B$6*F412)/01_Parametres!$B$8)))</x:f>
      </x:c>
      <x:c r="H412">
        <x:f>IFERROR(VLOOKUP(C412,02_Referentiels!$A$20:$D$99,3,FALSE),"")</x:f>
      </x:c>
      <x:c r="I412">
        <x:f>IFERROR(VLOOKUP(B412,02_Referentiels!$A$5:$C$16,2,FALSE),"")</x:f>
      </x:c>
      <x:c r="J412">
        <x:f>IF(A412="","",IF(OR(D412="",E412="",F412=""),1,IF(OR(D412&lt;0,D412&gt;3,E412&lt;0,E412&gt;3,F412&lt;0,F412&gt;3),1,0)))</x:f>
      </x:c>
      <x:c r="K412">
        <x:f>IF(A412="","",IF(G412="",1,0))</x:f>
      </x:c>
      <x:c r="L412">
        <x:f>IF(A412="","",IF(COUNTIFS($A$5:$A$2004,A412,$C$5:$C$2004,C412)&gt;1,1,0))</x:f>
      </x:c>
    </x:row>
    <x:row r="413">
      <x:c r="A413" s="8" t="n"/>
      <x:c r="B413" s="8" t="n"/>
      <x:c r="C413" s="8" t="n"/>
      <x:c r="D413" s="8" t="n"/>
      <x:c r="E413" s="8" t="n"/>
      <x:c r="F413" s="8" t="n"/>
      <x:c r="G413" s="7">
        <x:f>IF(A413="","",IF(01_Parametres!$B$11="Oui",IF((01_Parametres!$B$4*(D413&gt;0)+01_Parametres!$B$5*(E413&gt;0)+01_Parametres!$B$6*(F413&gt;0))=0,"",(01_Parametres!$B$4*IF(D413&gt;0,D413,0)+01_Parametres!$B$5*IF(E413&gt;0,E413,0)+01_Parametres!$B$6*IF(F413&gt;0,F413,0))/(01_Parametres!$B$4*(D413&gt;0)+01_Parametres!$B$5*(E413&gt;0)+01_Parametres!$B$6*(F413&gt;0))),IF(01_Parametres!$B$8=0,"",(01_Parametres!$B$4*D413+01_Parametres!$B$5*E413+01_Parametres!$B$6*F413)/01_Parametres!$B$8)))</x:f>
      </x:c>
      <x:c r="H413">
        <x:f>IFERROR(VLOOKUP(C413,02_Referentiels!$A$20:$D$99,3,FALSE),"")</x:f>
      </x:c>
      <x:c r="I413">
        <x:f>IFERROR(VLOOKUP(B413,02_Referentiels!$A$5:$C$16,2,FALSE),"")</x:f>
      </x:c>
      <x:c r="J413">
        <x:f>IF(A413="","",IF(OR(D413="",E413="",F413=""),1,IF(OR(D413&lt;0,D413&gt;3,E413&lt;0,E413&gt;3,F413&lt;0,F413&gt;3),1,0)))</x:f>
      </x:c>
      <x:c r="K413">
        <x:f>IF(A413="","",IF(G413="",1,0))</x:f>
      </x:c>
      <x:c r="L413">
        <x:f>IF(A413="","",IF(COUNTIFS($A$5:$A$2004,A413,$C$5:$C$2004,C413)&gt;1,1,0))</x:f>
      </x:c>
    </x:row>
    <x:row r="414">
      <x:c r="A414" s="8" t="n"/>
      <x:c r="B414" s="8" t="n"/>
      <x:c r="C414" s="8" t="n"/>
      <x:c r="D414" s="8" t="n"/>
      <x:c r="E414" s="8" t="n"/>
      <x:c r="F414" s="8" t="n"/>
      <x:c r="G414" s="7">
        <x:f>IF(A414="","",IF(01_Parametres!$B$11="Oui",IF((01_Parametres!$B$4*(D414&gt;0)+01_Parametres!$B$5*(E414&gt;0)+01_Parametres!$B$6*(F414&gt;0))=0,"",(01_Parametres!$B$4*IF(D414&gt;0,D414,0)+01_Parametres!$B$5*IF(E414&gt;0,E414,0)+01_Parametres!$B$6*IF(F414&gt;0,F414,0))/(01_Parametres!$B$4*(D414&gt;0)+01_Parametres!$B$5*(E414&gt;0)+01_Parametres!$B$6*(F414&gt;0))),IF(01_Parametres!$B$8=0,"",(01_Parametres!$B$4*D414+01_Parametres!$B$5*E414+01_Parametres!$B$6*F414)/01_Parametres!$B$8)))</x:f>
      </x:c>
      <x:c r="H414">
        <x:f>IFERROR(VLOOKUP(C414,02_Referentiels!$A$20:$D$99,3,FALSE),"")</x:f>
      </x:c>
      <x:c r="I414">
        <x:f>IFERROR(VLOOKUP(B414,02_Referentiels!$A$5:$C$16,2,FALSE),"")</x:f>
      </x:c>
      <x:c r="J414">
        <x:f>IF(A414="","",IF(OR(D414="",E414="",F414=""),1,IF(OR(D414&lt;0,D414&gt;3,E414&lt;0,E414&gt;3,F414&lt;0,F414&gt;3),1,0)))</x:f>
      </x:c>
      <x:c r="K414">
        <x:f>IF(A414="","",IF(G414="",1,0))</x:f>
      </x:c>
      <x:c r="L414">
        <x:f>IF(A414="","",IF(COUNTIFS($A$5:$A$2004,A414,$C$5:$C$2004,C414)&gt;1,1,0))</x:f>
      </x:c>
    </x:row>
    <x:row r="415">
      <x:c r="A415" s="8" t="n"/>
      <x:c r="B415" s="8" t="n"/>
      <x:c r="C415" s="8" t="n"/>
      <x:c r="D415" s="8" t="n"/>
      <x:c r="E415" s="8" t="n"/>
      <x:c r="F415" s="8" t="n"/>
      <x:c r="G415" s="7">
        <x:f>IF(A415="","",IF(01_Parametres!$B$11="Oui",IF((01_Parametres!$B$4*(D415&gt;0)+01_Parametres!$B$5*(E415&gt;0)+01_Parametres!$B$6*(F415&gt;0))=0,"",(01_Parametres!$B$4*IF(D415&gt;0,D415,0)+01_Parametres!$B$5*IF(E415&gt;0,E415,0)+01_Parametres!$B$6*IF(F415&gt;0,F415,0))/(01_Parametres!$B$4*(D415&gt;0)+01_Parametres!$B$5*(E415&gt;0)+01_Parametres!$B$6*(F415&gt;0))),IF(01_Parametres!$B$8=0,"",(01_Parametres!$B$4*D415+01_Parametres!$B$5*E415+01_Parametres!$B$6*F415)/01_Parametres!$B$8)))</x:f>
      </x:c>
      <x:c r="H415">
        <x:f>IFERROR(VLOOKUP(C415,02_Referentiels!$A$20:$D$99,3,FALSE),"")</x:f>
      </x:c>
      <x:c r="I415">
        <x:f>IFERROR(VLOOKUP(B415,02_Referentiels!$A$5:$C$16,2,FALSE),"")</x:f>
      </x:c>
      <x:c r="J415">
        <x:f>IF(A415="","",IF(OR(D415="",E415="",F415=""),1,IF(OR(D415&lt;0,D415&gt;3,E415&lt;0,E415&gt;3,F415&lt;0,F415&gt;3),1,0)))</x:f>
      </x:c>
      <x:c r="K415">
        <x:f>IF(A415="","",IF(G415="",1,0))</x:f>
      </x:c>
      <x:c r="L415">
        <x:f>IF(A415="","",IF(COUNTIFS($A$5:$A$2004,A415,$C$5:$C$2004,C415)&gt;1,1,0))</x:f>
      </x:c>
    </x:row>
    <x:row r="416">
      <x:c r="A416" s="8" t="n"/>
      <x:c r="B416" s="8" t="n"/>
      <x:c r="C416" s="8" t="n"/>
      <x:c r="D416" s="8" t="n"/>
      <x:c r="E416" s="8" t="n"/>
      <x:c r="F416" s="8" t="n"/>
      <x:c r="G416" s="7">
        <x:f>IF(A416="","",IF(01_Parametres!$B$11="Oui",IF((01_Parametres!$B$4*(D416&gt;0)+01_Parametres!$B$5*(E416&gt;0)+01_Parametres!$B$6*(F416&gt;0))=0,"",(01_Parametres!$B$4*IF(D416&gt;0,D416,0)+01_Parametres!$B$5*IF(E416&gt;0,E416,0)+01_Parametres!$B$6*IF(F416&gt;0,F416,0))/(01_Parametres!$B$4*(D416&gt;0)+01_Parametres!$B$5*(E416&gt;0)+01_Parametres!$B$6*(F416&gt;0))),IF(01_Parametres!$B$8=0,"",(01_Parametres!$B$4*D416+01_Parametres!$B$5*E416+01_Parametres!$B$6*F416)/01_Parametres!$B$8)))</x:f>
      </x:c>
      <x:c r="H416">
        <x:f>IFERROR(VLOOKUP(C416,02_Referentiels!$A$20:$D$99,3,FALSE),"")</x:f>
      </x:c>
      <x:c r="I416">
        <x:f>IFERROR(VLOOKUP(B416,02_Referentiels!$A$5:$C$16,2,FALSE),"")</x:f>
      </x:c>
      <x:c r="J416">
        <x:f>IF(A416="","",IF(OR(D416="",E416="",F416=""),1,IF(OR(D416&lt;0,D416&gt;3,E416&lt;0,E416&gt;3,F416&lt;0,F416&gt;3),1,0)))</x:f>
      </x:c>
      <x:c r="K416">
        <x:f>IF(A416="","",IF(G416="",1,0))</x:f>
      </x:c>
      <x:c r="L416">
        <x:f>IF(A416="","",IF(COUNTIFS($A$5:$A$2004,A416,$C$5:$C$2004,C416)&gt;1,1,0))</x:f>
      </x:c>
    </x:row>
    <x:row r="417">
      <x:c r="A417" s="8" t="n"/>
      <x:c r="B417" s="8" t="n"/>
      <x:c r="C417" s="8" t="n"/>
      <x:c r="D417" s="8" t="n"/>
      <x:c r="E417" s="8" t="n"/>
      <x:c r="F417" s="8" t="n"/>
      <x:c r="G417" s="7">
        <x:f>IF(A417="","",IF(01_Parametres!$B$11="Oui",IF((01_Parametres!$B$4*(D417&gt;0)+01_Parametres!$B$5*(E417&gt;0)+01_Parametres!$B$6*(F417&gt;0))=0,"",(01_Parametres!$B$4*IF(D417&gt;0,D417,0)+01_Parametres!$B$5*IF(E417&gt;0,E417,0)+01_Parametres!$B$6*IF(F417&gt;0,F417,0))/(01_Parametres!$B$4*(D417&gt;0)+01_Parametres!$B$5*(E417&gt;0)+01_Parametres!$B$6*(F417&gt;0))),IF(01_Parametres!$B$8=0,"",(01_Parametres!$B$4*D417+01_Parametres!$B$5*E417+01_Parametres!$B$6*F417)/01_Parametres!$B$8)))</x:f>
      </x:c>
      <x:c r="H417">
        <x:f>IFERROR(VLOOKUP(C417,02_Referentiels!$A$20:$D$99,3,FALSE),"")</x:f>
      </x:c>
      <x:c r="I417">
        <x:f>IFERROR(VLOOKUP(B417,02_Referentiels!$A$5:$C$16,2,FALSE),"")</x:f>
      </x:c>
      <x:c r="J417">
        <x:f>IF(A417="","",IF(OR(D417="",E417="",F417=""),1,IF(OR(D417&lt;0,D417&gt;3,E417&lt;0,E417&gt;3,F417&lt;0,F417&gt;3),1,0)))</x:f>
      </x:c>
      <x:c r="K417">
        <x:f>IF(A417="","",IF(G417="",1,0))</x:f>
      </x:c>
      <x:c r="L417">
        <x:f>IF(A417="","",IF(COUNTIFS($A$5:$A$2004,A417,$C$5:$C$2004,C417)&gt;1,1,0))</x:f>
      </x:c>
    </x:row>
    <x:row r="418">
      <x:c r="A418" s="8" t="n"/>
      <x:c r="B418" s="8" t="n"/>
      <x:c r="C418" s="8" t="n"/>
      <x:c r="D418" s="8" t="n"/>
      <x:c r="E418" s="8" t="n"/>
      <x:c r="F418" s="8" t="n"/>
      <x:c r="G418" s="7">
        <x:f>IF(A418="","",IF(01_Parametres!$B$11="Oui",IF((01_Parametres!$B$4*(D418&gt;0)+01_Parametres!$B$5*(E418&gt;0)+01_Parametres!$B$6*(F418&gt;0))=0,"",(01_Parametres!$B$4*IF(D418&gt;0,D418,0)+01_Parametres!$B$5*IF(E418&gt;0,E418,0)+01_Parametres!$B$6*IF(F418&gt;0,F418,0))/(01_Parametres!$B$4*(D418&gt;0)+01_Parametres!$B$5*(E418&gt;0)+01_Parametres!$B$6*(F418&gt;0))),IF(01_Parametres!$B$8=0,"",(01_Parametres!$B$4*D418+01_Parametres!$B$5*E418+01_Parametres!$B$6*F418)/01_Parametres!$B$8)))</x:f>
      </x:c>
      <x:c r="H418">
        <x:f>IFERROR(VLOOKUP(C418,02_Referentiels!$A$20:$D$99,3,FALSE),"")</x:f>
      </x:c>
      <x:c r="I418">
        <x:f>IFERROR(VLOOKUP(B418,02_Referentiels!$A$5:$C$16,2,FALSE),"")</x:f>
      </x:c>
      <x:c r="J418">
        <x:f>IF(A418="","",IF(OR(D418="",E418="",F418=""),1,IF(OR(D418&lt;0,D418&gt;3,E418&lt;0,E418&gt;3,F418&lt;0,F418&gt;3),1,0)))</x:f>
      </x:c>
      <x:c r="K418">
        <x:f>IF(A418="","",IF(G418="",1,0))</x:f>
      </x:c>
      <x:c r="L418">
        <x:f>IF(A418="","",IF(COUNTIFS($A$5:$A$2004,A418,$C$5:$C$2004,C418)&gt;1,1,0))</x:f>
      </x:c>
    </x:row>
    <x:row r="419">
      <x:c r="A419" s="8" t="n"/>
      <x:c r="B419" s="8" t="n"/>
      <x:c r="C419" s="8" t="n"/>
      <x:c r="D419" s="8" t="n"/>
      <x:c r="E419" s="8" t="n"/>
      <x:c r="F419" s="8" t="n"/>
      <x:c r="G419" s="7">
        <x:f>IF(A419="","",IF(01_Parametres!$B$11="Oui",IF((01_Parametres!$B$4*(D419&gt;0)+01_Parametres!$B$5*(E419&gt;0)+01_Parametres!$B$6*(F419&gt;0))=0,"",(01_Parametres!$B$4*IF(D419&gt;0,D419,0)+01_Parametres!$B$5*IF(E419&gt;0,E419,0)+01_Parametres!$B$6*IF(F419&gt;0,F419,0))/(01_Parametres!$B$4*(D419&gt;0)+01_Parametres!$B$5*(E419&gt;0)+01_Parametres!$B$6*(F419&gt;0))),IF(01_Parametres!$B$8=0,"",(01_Parametres!$B$4*D419+01_Parametres!$B$5*E419+01_Parametres!$B$6*F419)/01_Parametres!$B$8)))</x:f>
      </x:c>
      <x:c r="H419">
        <x:f>IFERROR(VLOOKUP(C419,02_Referentiels!$A$20:$D$99,3,FALSE),"")</x:f>
      </x:c>
      <x:c r="I419">
        <x:f>IFERROR(VLOOKUP(B419,02_Referentiels!$A$5:$C$16,2,FALSE),"")</x:f>
      </x:c>
      <x:c r="J419">
        <x:f>IF(A419="","",IF(OR(D419="",E419="",F419=""),1,IF(OR(D419&lt;0,D419&gt;3,E419&lt;0,E419&gt;3,F419&lt;0,F419&gt;3),1,0)))</x:f>
      </x:c>
      <x:c r="K419">
        <x:f>IF(A419="","",IF(G419="",1,0))</x:f>
      </x:c>
      <x:c r="L419">
        <x:f>IF(A419="","",IF(COUNTIFS($A$5:$A$2004,A419,$C$5:$C$2004,C419)&gt;1,1,0))</x:f>
      </x:c>
    </x:row>
    <x:row r="420">
      <x:c r="A420" s="8" t="n"/>
      <x:c r="B420" s="8" t="n"/>
      <x:c r="C420" s="8" t="n"/>
      <x:c r="D420" s="8" t="n"/>
      <x:c r="E420" s="8" t="n"/>
      <x:c r="F420" s="8" t="n"/>
      <x:c r="G420" s="7">
        <x:f>IF(A420="","",IF(01_Parametres!$B$11="Oui",IF((01_Parametres!$B$4*(D420&gt;0)+01_Parametres!$B$5*(E420&gt;0)+01_Parametres!$B$6*(F420&gt;0))=0,"",(01_Parametres!$B$4*IF(D420&gt;0,D420,0)+01_Parametres!$B$5*IF(E420&gt;0,E420,0)+01_Parametres!$B$6*IF(F420&gt;0,F420,0))/(01_Parametres!$B$4*(D420&gt;0)+01_Parametres!$B$5*(E420&gt;0)+01_Parametres!$B$6*(F420&gt;0))),IF(01_Parametres!$B$8=0,"",(01_Parametres!$B$4*D420+01_Parametres!$B$5*E420+01_Parametres!$B$6*F420)/01_Parametres!$B$8)))</x:f>
      </x:c>
      <x:c r="H420">
        <x:f>IFERROR(VLOOKUP(C420,02_Referentiels!$A$20:$D$99,3,FALSE),"")</x:f>
      </x:c>
      <x:c r="I420">
        <x:f>IFERROR(VLOOKUP(B420,02_Referentiels!$A$5:$C$16,2,FALSE),"")</x:f>
      </x:c>
      <x:c r="J420">
        <x:f>IF(A420="","",IF(OR(D420="",E420="",F420=""),1,IF(OR(D420&lt;0,D420&gt;3,E420&lt;0,E420&gt;3,F420&lt;0,F420&gt;3),1,0)))</x:f>
      </x:c>
      <x:c r="K420">
        <x:f>IF(A420="","",IF(G420="",1,0))</x:f>
      </x:c>
      <x:c r="L420">
        <x:f>IF(A420="","",IF(COUNTIFS($A$5:$A$2004,A420,$C$5:$C$2004,C420)&gt;1,1,0))</x:f>
      </x:c>
    </x:row>
    <x:row r="421">
      <x:c r="A421" s="8" t="n"/>
      <x:c r="B421" s="8" t="n"/>
      <x:c r="C421" s="8" t="n"/>
      <x:c r="D421" s="8" t="n"/>
      <x:c r="E421" s="8" t="n"/>
      <x:c r="F421" s="8" t="n"/>
      <x:c r="G421" s="7">
        <x:f>IF(A421="","",IF(01_Parametres!$B$11="Oui",IF((01_Parametres!$B$4*(D421&gt;0)+01_Parametres!$B$5*(E421&gt;0)+01_Parametres!$B$6*(F421&gt;0))=0,"",(01_Parametres!$B$4*IF(D421&gt;0,D421,0)+01_Parametres!$B$5*IF(E421&gt;0,E421,0)+01_Parametres!$B$6*IF(F421&gt;0,F421,0))/(01_Parametres!$B$4*(D421&gt;0)+01_Parametres!$B$5*(E421&gt;0)+01_Parametres!$B$6*(F421&gt;0))),IF(01_Parametres!$B$8=0,"",(01_Parametres!$B$4*D421+01_Parametres!$B$5*E421+01_Parametres!$B$6*F421)/01_Parametres!$B$8)))</x:f>
      </x:c>
      <x:c r="H421">
        <x:f>IFERROR(VLOOKUP(C421,02_Referentiels!$A$20:$D$99,3,FALSE),"")</x:f>
      </x:c>
      <x:c r="I421">
        <x:f>IFERROR(VLOOKUP(B421,02_Referentiels!$A$5:$C$16,2,FALSE),"")</x:f>
      </x:c>
      <x:c r="J421">
        <x:f>IF(A421="","",IF(OR(D421="",E421="",F421=""),1,IF(OR(D421&lt;0,D421&gt;3,E421&lt;0,E421&gt;3,F421&lt;0,F421&gt;3),1,0)))</x:f>
      </x:c>
      <x:c r="K421">
        <x:f>IF(A421="","",IF(G421="",1,0))</x:f>
      </x:c>
      <x:c r="L421">
        <x:f>IF(A421="","",IF(COUNTIFS($A$5:$A$2004,A421,$C$5:$C$2004,C421)&gt;1,1,0))</x:f>
      </x:c>
    </x:row>
    <x:row r="422">
      <x:c r="A422" s="8" t="n"/>
      <x:c r="B422" s="8" t="n"/>
      <x:c r="C422" s="8" t="n"/>
      <x:c r="D422" s="8" t="n"/>
      <x:c r="E422" s="8" t="n"/>
      <x:c r="F422" s="8" t="n"/>
      <x:c r="G422" s="7">
        <x:f>IF(A422="","",IF(01_Parametres!$B$11="Oui",IF((01_Parametres!$B$4*(D422&gt;0)+01_Parametres!$B$5*(E422&gt;0)+01_Parametres!$B$6*(F422&gt;0))=0,"",(01_Parametres!$B$4*IF(D422&gt;0,D422,0)+01_Parametres!$B$5*IF(E422&gt;0,E422,0)+01_Parametres!$B$6*IF(F422&gt;0,F422,0))/(01_Parametres!$B$4*(D422&gt;0)+01_Parametres!$B$5*(E422&gt;0)+01_Parametres!$B$6*(F422&gt;0))),IF(01_Parametres!$B$8=0,"",(01_Parametres!$B$4*D422+01_Parametres!$B$5*E422+01_Parametres!$B$6*F422)/01_Parametres!$B$8)))</x:f>
      </x:c>
      <x:c r="H422">
        <x:f>IFERROR(VLOOKUP(C422,02_Referentiels!$A$20:$D$99,3,FALSE),"")</x:f>
      </x:c>
      <x:c r="I422">
        <x:f>IFERROR(VLOOKUP(B422,02_Referentiels!$A$5:$C$16,2,FALSE),"")</x:f>
      </x:c>
      <x:c r="J422">
        <x:f>IF(A422="","",IF(OR(D422="",E422="",F422=""),1,IF(OR(D422&lt;0,D422&gt;3,E422&lt;0,E422&gt;3,F422&lt;0,F422&gt;3),1,0)))</x:f>
      </x:c>
      <x:c r="K422">
        <x:f>IF(A422="","",IF(G422="",1,0))</x:f>
      </x:c>
      <x:c r="L422">
        <x:f>IF(A422="","",IF(COUNTIFS($A$5:$A$2004,A422,$C$5:$C$2004,C422)&gt;1,1,0))</x:f>
      </x:c>
    </x:row>
    <x:row r="423">
      <x:c r="A423" s="8" t="n"/>
      <x:c r="B423" s="8" t="n"/>
      <x:c r="C423" s="8" t="n"/>
      <x:c r="D423" s="8" t="n"/>
      <x:c r="E423" s="8" t="n"/>
      <x:c r="F423" s="8" t="n"/>
      <x:c r="G423" s="7">
        <x:f>IF(A423="","",IF(01_Parametres!$B$11="Oui",IF((01_Parametres!$B$4*(D423&gt;0)+01_Parametres!$B$5*(E423&gt;0)+01_Parametres!$B$6*(F423&gt;0))=0,"",(01_Parametres!$B$4*IF(D423&gt;0,D423,0)+01_Parametres!$B$5*IF(E423&gt;0,E423,0)+01_Parametres!$B$6*IF(F423&gt;0,F423,0))/(01_Parametres!$B$4*(D423&gt;0)+01_Parametres!$B$5*(E423&gt;0)+01_Parametres!$B$6*(F423&gt;0))),IF(01_Parametres!$B$8=0,"",(01_Parametres!$B$4*D423+01_Parametres!$B$5*E423+01_Parametres!$B$6*F423)/01_Parametres!$B$8)))</x:f>
      </x:c>
      <x:c r="H423">
        <x:f>IFERROR(VLOOKUP(C423,02_Referentiels!$A$20:$D$99,3,FALSE),"")</x:f>
      </x:c>
      <x:c r="I423">
        <x:f>IFERROR(VLOOKUP(B423,02_Referentiels!$A$5:$C$16,2,FALSE),"")</x:f>
      </x:c>
      <x:c r="J423">
        <x:f>IF(A423="","",IF(OR(D423="",E423="",F423=""),1,IF(OR(D423&lt;0,D423&gt;3,E423&lt;0,E423&gt;3,F423&lt;0,F423&gt;3),1,0)))</x:f>
      </x:c>
      <x:c r="K423">
        <x:f>IF(A423="","",IF(G423="",1,0))</x:f>
      </x:c>
      <x:c r="L423">
        <x:f>IF(A423="","",IF(COUNTIFS($A$5:$A$2004,A423,$C$5:$C$2004,C423)&gt;1,1,0))</x:f>
      </x:c>
    </x:row>
    <x:row r="424">
      <x:c r="A424" s="8" t="n"/>
      <x:c r="B424" s="8" t="n"/>
      <x:c r="C424" s="8" t="n"/>
      <x:c r="D424" s="8" t="n"/>
      <x:c r="E424" s="8" t="n"/>
      <x:c r="F424" s="8" t="n"/>
      <x:c r="G424" s="7">
        <x:f>IF(A424="","",IF(01_Parametres!$B$11="Oui",IF((01_Parametres!$B$4*(D424&gt;0)+01_Parametres!$B$5*(E424&gt;0)+01_Parametres!$B$6*(F424&gt;0))=0,"",(01_Parametres!$B$4*IF(D424&gt;0,D424,0)+01_Parametres!$B$5*IF(E424&gt;0,E424,0)+01_Parametres!$B$6*IF(F424&gt;0,F424,0))/(01_Parametres!$B$4*(D424&gt;0)+01_Parametres!$B$5*(E424&gt;0)+01_Parametres!$B$6*(F424&gt;0))),IF(01_Parametres!$B$8=0,"",(01_Parametres!$B$4*D424+01_Parametres!$B$5*E424+01_Parametres!$B$6*F424)/01_Parametres!$B$8)))</x:f>
      </x:c>
      <x:c r="H424">
        <x:f>IFERROR(VLOOKUP(C424,02_Referentiels!$A$20:$D$99,3,FALSE),"")</x:f>
      </x:c>
      <x:c r="I424">
        <x:f>IFERROR(VLOOKUP(B424,02_Referentiels!$A$5:$C$16,2,FALSE),"")</x:f>
      </x:c>
      <x:c r="J424">
        <x:f>IF(A424="","",IF(OR(D424="",E424="",F424=""),1,IF(OR(D424&lt;0,D424&gt;3,E424&lt;0,E424&gt;3,F424&lt;0,F424&gt;3),1,0)))</x:f>
      </x:c>
      <x:c r="K424">
        <x:f>IF(A424="","",IF(G424="",1,0))</x:f>
      </x:c>
      <x:c r="L424">
        <x:f>IF(A424="","",IF(COUNTIFS($A$5:$A$2004,A424,$C$5:$C$2004,C424)&gt;1,1,0))</x:f>
      </x:c>
    </x:row>
    <x:row r="425">
      <x:c r="A425" s="8" t="n"/>
      <x:c r="B425" s="8" t="n"/>
      <x:c r="C425" s="8" t="n"/>
      <x:c r="D425" s="8" t="n"/>
      <x:c r="E425" s="8" t="n"/>
      <x:c r="F425" s="8" t="n"/>
      <x:c r="G425" s="7">
        <x:f>IF(A425="","",IF(01_Parametres!$B$11="Oui",IF((01_Parametres!$B$4*(D425&gt;0)+01_Parametres!$B$5*(E425&gt;0)+01_Parametres!$B$6*(F425&gt;0))=0,"",(01_Parametres!$B$4*IF(D425&gt;0,D425,0)+01_Parametres!$B$5*IF(E425&gt;0,E425,0)+01_Parametres!$B$6*IF(F425&gt;0,F425,0))/(01_Parametres!$B$4*(D425&gt;0)+01_Parametres!$B$5*(E425&gt;0)+01_Parametres!$B$6*(F425&gt;0))),IF(01_Parametres!$B$8=0,"",(01_Parametres!$B$4*D425+01_Parametres!$B$5*E425+01_Parametres!$B$6*F425)/01_Parametres!$B$8)))</x:f>
      </x:c>
      <x:c r="H425">
        <x:f>IFERROR(VLOOKUP(C425,02_Referentiels!$A$20:$D$99,3,FALSE),"")</x:f>
      </x:c>
      <x:c r="I425">
        <x:f>IFERROR(VLOOKUP(B425,02_Referentiels!$A$5:$C$16,2,FALSE),"")</x:f>
      </x:c>
      <x:c r="J425">
        <x:f>IF(A425="","",IF(OR(D425="",E425="",F425=""),1,IF(OR(D425&lt;0,D425&gt;3,E425&lt;0,E425&gt;3,F425&lt;0,F425&gt;3),1,0)))</x:f>
      </x:c>
      <x:c r="K425">
        <x:f>IF(A425="","",IF(G425="",1,0))</x:f>
      </x:c>
      <x:c r="L425">
        <x:f>IF(A425="","",IF(COUNTIFS($A$5:$A$2004,A425,$C$5:$C$2004,C425)&gt;1,1,0))</x:f>
      </x:c>
    </x:row>
    <x:row r="426">
      <x:c r="A426" s="8" t="n"/>
      <x:c r="B426" s="8" t="n"/>
      <x:c r="C426" s="8" t="n"/>
      <x:c r="D426" s="8" t="n"/>
      <x:c r="E426" s="8" t="n"/>
      <x:c r="F426" s="8" t="n"/>
      <x:c r="G426" s="7">
        <x:f>IF(A426="","",IF(01_Parametres!$B$11="Oui",IF((01_Parametres!$B$4*(D426&gt;0)+01_Parametres!$B$5*(E426&gt;0)+01_Parametres!$B$6*(F426&gt;0))=0,"",(01_Parametres!$B$4*IF(D426&gt;0,D426,0)+01_Parametres!$B$5*IF(E426&gt;0,E426,0)+01_Parametres!$B$6*IF(F426&gt;0,F426,0))/(01_Parametres!$B$4*(D426&gt;0)+01_Parametres!$B$5*(E426&gt;0)+01_Parametres!$B$6*(F426&gt;0))),IF(01_Parametres!$B$8=0,"",(01_Parametres!$B$4*D426+01_Parametres!$B$5*E426+01_Parametres!$B$6*F426)/01_Parametres!$B$8)))</x:f>
      </x:c>
      <x:c r="H426">
        <x:f>IFERROR(VLOOKUP(C426,02_Referentiels!$A$20:$D$99,3,FALSE),"")</x:f>
      </x:c>
      <x:c r="I426">
        <x:f>IFERROR(VLOOKUP(B426,02_Referentiels!$A$5:$C$16,2,FALSE),"")</x:f>
      </x:c>
      <x:c r="J426">
        <x:f>IF(A426="","",IF(OR(D426="",E426="",F426=""),1,IF(OR(D426&lt;0,D426&gt;3,E426&lt;0,E426&gt;3,F426&lt;0,F426&gt;3),1,0)))</x:f>
      </x:c>
      <x:c r="K426">
        <x:f>IF(A426="","",IF(G426="",1,0))</x:f>
      </x:c>
      <x:c r="L426">
        <x:f>IF(A426="","",IF(COUNTIFS($A$5:$A$2004,A426,$C$5:$C$2004,C426)&gt;1,1,0))</x:f>
      </x:c>
    </x:row>
    <x:row r="427">
      <x:c r="A427" s="8" t="n"/>
      <x:c r="B427" s="8" t="n"/>
      <x:c r="C427" s="8" t="n"/>
      <x:c r="D427" s="8" t="n"/>
      <x:c r="E427" s="8" t="n"/>
      <x:c r="F427" s="8" t="n"/>
      <x:c r="G427" s="7">
        <x:f>IF(A427="","",IF(01_Parametres!$B$11="Oui",IF((01_Parametres!$B$4*(D427&gt;0)+01_Parametres!$B$5*(E427&gt;0)+01_Parametres!$B$6*(F427&gt;0))=0,"",(01_Parametres!$B$4*IF(D427&gt;0,D427,0)+01_Parametres!$B$5*IF(E427&gt;0,E427,0)+01_Parametres!$B$6*IF(F427&gt;0,F427,0))/(01_Parametres!$B$4*(D427&gt;0)+01_Parametres!$B$5*(E427&gt;0)+01_Parametres!$B$6*(F427&gt;0))),IF(01_Parametres!$B$8=0,"",(01_Parametres!$B$4*D427+01_Parametres!$B$5*E427+01_Parametres!$B$6*F427)/01_Parametres!$B$8)))</x:f>
      </x:c>
      <x:c r="H427">
        <x:f>IFERROR(VLOOKUP(C427,02_Referentiels!$A$20:$D$99,3,FALSE),"")</x:f>
      </x:c>
      <x:c r="I427">
        <x:f>IFERROR(VLOOKUP(B427,02_Referentiels!$A$5:$C$16,2,FALSE),"")</x:f>
      </x:c>
      <x:c r="J427">
        <x:f>IF(A427="","",IF(OR(D427="",E427="",F427=""),1,IF(OR(D427&lt;0,D427&gt;3,E427&lt;0,E427&gt;3,F427&lt;0,F427&gt;3),1,0)))</x:f>
      </x:c>
      <x:c r="K427">
        <x:f>IF(A427="","",IF(G427="",1,0))</x:f>
      </x:c>
      <x:c r="L427">
        <x:f>IF(A427="","",IF(COUNTIFS($A$5:$A$2004,A427,$C$5:$C$2004,C427)&gt;1,1,0))</x:f>
      </x:c>
    </x:row>
    <x:row r="428">
      <x:c r="A428" s="8" t="n"/>
      <x:c r="B428" s="8" t="n"/>
      <x:c r="C428" s="8" t="n"/>
      <x:c r="D428" s="8" t="n"/>
      <x:c r="E428" s="8" t="n"/>
      <x:c r="F428" s="8" t="n"/>
      <x:c r="G428" s="7">
        <x:f>IF(A428="","",IF(01_Parametres!$B$11="Oui",IF((01_Parametres!$B$4*(D428&gt;0)+01_Parametres!$B$5*(E428&gt;0)+01_Parametres!$B$6*(F428&gt;0))=0,"",(01_Parametres!$B$4*IF(D428&gt;0,D428,0)+01_Parametres!$B$5*IF(E428&gt;0,E428,0)+01_Parametres!$B$6*IF(F428&gt;0,F428,0))/(01_Parametres!$B$4*(D428&gt;0)+01_Parametres!$B$5*(E428&gt;0)+01_Parametres!$B$6*(F428&gt;0))),IF(01_Parametres!$B$8=0,"",(01_Parametres!$B$4*D428+01_Parametres!$B$5*E428+01_Parametres!$B$6*F428)/01_Parametres!$B$8)))</x:f>
      </x:c>
      <x:c r="H428">
        <x:f>IFERROR(VLOOKUP(C428,02_Referentiels!$A$20:$D$99,3,FALSE),"")</x:f>
      </x:c>
      <x:c r="I428">
        <x:f>IFERROR(VLOOKUP(B428,02_Referentiels!$A$5:$C$16,2,FALSE),"")</x:f>
      </x:c>
      <x:c r="J428">
        <x:f>IF(A428="","",IF(OR(D428="",E428="",F428=""),1,IF(OR(D428&lt;0,D428&gt;3,E428&lt;0,E428&gt;3,F428&lt;0,F428&gt;3),1,0)))</x:f>
      </x:c>
      <x:c r="K428">
        <x:f>IF(A428="","",IF(G428="",1,0))</x:f>
      </x:c>
      <x:c r="L428">
        <x:f>IF(A428="","",IF(COUNTIFS($A$5:$A$2004,A428,$C$5:$C$2004,C428)&gt;1,1,0))</x:f>
      </x:c>
    </x:row>
    <x:row r="429">
      <x:c r="A429" s="8" t="n"/>
      <x:c r="B429" s="8" t="n"/>
      <x:c r="C429" s="8" t="n"/>
      <x:c r="D429" s="8" t="n"/>
      <x:c r="E429" s="8" t="n"/>
      <x:c r="F429" s="8" t="n"/>
      <x:c r="G429" s="7">
        <x:f>IF(A429="","",IF(01_Parametres!$B$11="Oui",IF((01_Parametres!$B$4*(D429&gt;0)+01_Parametres!$B$5*(E429&gt;0)+01_Parametres!$B$6*(F429&gt;0))=0,"",(01_Parametres!$B$4*IF(D429&gt;0,D429,0)+01_Parametres!$B$5*IF(E429&gt;0,E429,0)+01_Parametres!$B$6*IF(F429&gt;0,F429,0))/(01_Parametres!$B$4*(D429&gt;0)+01_Parametres!$B$5*(E429&gt;0)+01_Parametres!$B$6*(F429&gt;0))),IF(01_Parametres!$B$8=0,"",(01_Parametres!$B$4*D429+01_Parametres!$B$5*E429+01_Parametres!$B$6*F429)/01_Parametres!$B$8)))</x:f>
      </x:c>
      <x:c r="H429">
        <x:f>IFERROR(VLOOKUP(C429,02_Referentiels!$A$20:$D$99,3,FALSE),"")</x:f>
      </x:c>
      <x:c r="I429">
        <x:f>IFERROR(VLOOKUP(B429,02_Referentiels!$A$5:$C$16,2,FALSE),"")</x:f>
      </x:c>
      <x:c r="J429">
        <x:f>IF(A429="","",IF(OR(D429="",E429="",F429=""),1,IF(OR(D429&lt;0,D429&gt;3,E429&lt;0,E429&gt;3,F429&lt;0,F429&gt;3),1,0)))</x:f>
      </x:c>
      <x:c r="K429">
        <x:f>IF(A429="","",IF(G429="",1,0))</x:f>
      </x:c>
      <x:c r="L429">
        <x:f>IF(A429="","",IF(COUNTIFS($A$5:$A$2004,A429,$C$5:$C$2004,C429)&gt;1,1,0))</x:f>
      </x:c>
    </x:row>
    <x:row r="430">
      <x:c r="A430" s="8" t="n"/>
      <x:c r="B430" s="8" t="n"/>
      <x:c r="C430" s="8" t="n"/>
      <x:c r="D430" s="8" t="n"/>
      <x:c r="E430" s="8" t="n"/>
      <x:c r="F430" s="8" t="n"/>
      <x:c r="G430" s="7">
        <x:f>IF(A430="","",IF(01_Parametres!$B$11="Oui",IF((01_Parametres!$B$4*(D430&gt;0)+01_Parametres!$B$5*(E430&gt;0)+01_Parametres!$B$6*(F430&gt;0))=0,"",(01_Parametres!$B$4*IF(D430&gt;0,D430,0)+01_Parametres!$B$5*IF(E430&gt;0,E430,0)+01_Parametres!$B$6*IF(F430&gt;0,F430,0))/(01_Parametres!$B$4*(D430&gt;0)+01_Parametres!$B$5*(E430&gt;0)+01_Parametres!$B$6*(F430&gt;0))),IF(01_Parametres!$B$8=0,"",(01_Parametres!$B$4*D430+01_Parametres!$B$5*E430+01_Parametres!$B$6*F430)/01_Parametres!$B$8)))</x:f>
      </x:c>
      <x:c r="H430">
        <x:f>IFERROR(VLOOKUP(C430,02_Referentiels!$A$20:$D$99,3,FALSE),"")</x:f>
      </x:c>
      <x:c r="I430">
        <x:f>IFERROR(VLOOKUP(B430,02_Referentiels!$A$5:$C$16,2,FALSE),"")</x:f>
      </x:c>
      <x:c r="J430">
        <x:f>IF(A430="","",IF(OR(D430="",E430="",F430=""),1,IF(OR(D430&lt;0,D430&gt;3,E430&lt;0,E430&gt;3,F430&lt;0,F430&gt;3),1,0)))</x:f>
      </x:c>
      <x:c r="K430">
        <x:f>IF(A430="","",IF(G430="",1,0))</x:f>
      </x:c>
      <x:c r="L430">
        <x:f>IF(A430="","",IF(COUNTIFS($A$5:$A$2004,A430,$C$5:$C$2004,C430)&gt;1,1,0))</x:f>
      </x:c>
    </x:row>
    <x:row r="431">
      <x:c r="A431" s="8" t="n"/>
      <x:c r="B431" s="8" t="n"/>
      <x:c r="C431" s="8" t="n"/>
      <x:c r="D431" s="8" t="n"/>
      <x:c r="E431" s="8" t="n"/>
      <x:c r="F431" s="8" t="n"/>
      <x:c r="G431" s="7">
        <x:f>IF(A431="","",IF(01_Parametres!$B$11="Oui",IF((01_Parametres!$B$4*(D431&gt;0)+01_Parametres!$B$5*(E431&gt;0)+01_Parametres!$B$6*(F431&gt;0))=0,"",(01_Parametres!$B$4*IF(D431&gt;0,D431,0)+01_Parametres!$B$5*IF(E431&gt;0,E431,0)+01_Parametres!$B$6*IF(F431&gt;0,F431,0))/(01_Parametres!$B$4*(D431&gt;0)+01_Parametres!$B$5*(E431&gt;0)+01_Parametres!$B$6*(F431&gt;0))),IF(01_Parametres!$B$8=0,"",(01_Parametres!$B$4*D431+01_Parametres!$B$5*E431+01_Parametres!$B$6*F431)/01_Parametres!$B$8)))</x:f>
      </x:c>
      <x:c r="H431">
        <x:f>IFERROR(VLOOKUP(C431,02_Referentiels!$A$20:$D$99,3,FALSE),"")</x:f>
      </x:c>
      <x:c r="I431">
        <x:f>IFERROR(VLOOKUP(B431,02_Referentiels!$A$5:$C$16,2,FALSE),"")</x:f>
      </x:c>
      <x:c r="J431">
        <x:f>IF(A431="","",IF(OR(D431="",E431="",F431=""),1,IF(OR(D431&lt;0,D431&gt;3,E431&lt;0,E431&gt;3,F431&lt;0,F431&gt;3),1,0)))</x:f>
      </x:c>
      <x:c r="K431">
        <x:f>IF(A431="","",IF(G431="",1,0))</x:f>
      </x:c>
      <x:c r="L431">
        <x:f>IF(A431="","",IF(COUNTIFS($A$5:$A$2004,A431,$C$5:$C$2004,C431)&gt;1,1,0))</x:f>
      </x:c>
    </x:row>
    <x:row r="432">
      <x:c r="A432" s="8" t="n"/>
      <x:c r="B432" s="8" t="n"/>
      <x:c r="C432" s="8" t="n"/>
      <x:c r="D432" s="8" t="n"/>
      <x:c r="E432" s="8" t="n"/>
      <x:c r="F432" s="8" t="n"/>
      <x:c r="G432" s="7">
        <x:f>IF(A432="","",IF(01_Parametres!$B$11="Oui",IF((01_Parametres!$B$4*(D432&gt;0)+01_Parametres!$B$5*(E432&gt;0)+01_Parametres!$B$6*(F432&gt;0))=0,"",(01_Parametres!$B$4*IF(D432&gt;0,D432,0)+01_Parametres!$B$5*IF(E432&gt;0,E432,0)+01_Parametres!$B$6*IF(F432&gt;0,F432,0))/(01_Parametres!$B$4*(D432&gt;0)+01_Parametres!$B$5*(E432&gt;0)+01_Parametres!$B$6*(F432&gt;0))),IF(01_Parametres!$B$8=0,"",(01_Parametres!$B$4*D432+01_Parametres!$B$5*E432+01_Parametres!$B$6*F432)/01_Parametres!$B$8)))</x:f>
      </x:c>
      <x:c r="H432">
        <x:f>IFERROR(VLOOKUP(C432,02_Referentiels!$A$20:$D$99,3,FALSE),"")</x:f>
      </x:c>
      <x:c r="I432">
        <x:f>IFERROR(VLOOKUP(B432,02_Referentiels!$A$5:$C$16,2,FALSE),"")</x:f>
      </x:c>
      <x:c r="J432">
        <x:f>IF(A432="","",IF(OR(D432="",E432="",F432=""),1,IF(OR(D432&lt;0,D432&gt;3,E432&lt;0,E432&gt;3,F432&lt;0,F432&gt;3),1,0)))</x:f>
      </x:c>
      <x:c r="K432">
        <x:f>IF(A432="","",IF(G432="",1,0))</x:f>
      </x:c>
      <x:c r="L432">
        <x:f>IF(A432="","",IF(COUNTIFS($A$5:$A$2004,A432,$C$5:$C$2004,C432)&gt;1,1,0))</x:f>
      </x:c>
    </x:row>
    <x:row r="433">
      <x:c r="A433" s="8" t="n"/>
      <x:c r="B433" s="8" t="n"/>
      <x:c r="C433" s="8" t="n"/>
      <x:c r="D433" s="8" t="n"/>
      <x:c r="E433" s="8" t="n"/>
      <x:c r="F433" s="8" t="n"/>
      <x:c r="G433" s="7">
        <x:f>IF(A433="","",IF(01_Parametres!$B$11="Oui",IF((01_Parametres!$B$4*(D433&gt;0)+01_Parametres!$B$5*(E433&gt;0)+01_Parametres!$B$6*(F433&gt;0))=0,"",(01_Parametres!$B$4*IF(D433&gt;0,D433,0)+01_Parametres!$B$5*IF(E433&gt;0,E433,0)+01_Parametres!$B$6*IF(F433&gt;0,F433,0))/(01_Parametres!$B$4*(D433&gt;0)+01_Parametres!$B$5*(E433&gt;0)+01_Parametres!$B$6*(F433&gt;0))),IF(01_Parametres!$B$8=0,"",(01_Parametres!$B$4*D433+01_Parametres!$B$5*E433+01_Parametres!$B$6*F433)/01_Parametres!$B$8)))</x:f>
      </x:c>
      <x:c r="H433">
        <x:f>IFERROR(VLOOKUP(C433,02_Referentiels!$A$20:$D$99,3,FALSE),"")</x:f>
      </x:c>
      <x:c r="I433">
        <x:f>IFERROR(VLOOKUP(B433,02_Referentiels!$A$5:$C$16,2,FALSE),"")</x:f>
      </x:c>
      <x:c r="J433">
        <x:f>IF(A433="","",IF(OR(D433="",E433="",F433=""),1,IF(OR(D433&lt;0,D433&gt;3,E433&lt;0,E433&gt;3,F433&lt;0,F433&gt;3),1,0)))</x:f>
      </x:c>
      <x:c r="K433">
        <x:f>IF(A433="","",IF(G433="",1,0))</x:f>
      </x:c>
      <x:c r="L433">
        <x:f>IF(A433="","",IF(COUNTIFS($A$5:$A$2004,A433,$C$5:$C$2004,C433)&gt;1,1,0))</x:f>
      </x:c>
    </x:row>
    <x:row r="434">
      <x:c r="A434" s="8" t="n"/>
      <x:c r="B434" s="8" t="n"/>
      <x:c r="C434" s="8" t="n"/>
      <x:c r="D434" s="8" t="n"/>
      <x:c r="E434" s="8" t="n"/>
      <x:c r="F434" s="8" t="n"/>
      <x:c r="G434" s="7">
        <x:f>IF(A434="","",IF(01_Parametres!$B$11="Oui",IF((01_Parametres!$B$4*(D434&gt;0)+01_Parametres!$B$5*(E434&gt;0)+01_Parametres!$B$6*(F434&gt;0))=0,"",(01_Parametres!$B$4*IF(D434&gt;0,D434,0)+01_Parametres!$B$5*IF(E434&gt;0,E434,0)+01_Parametres!$B$6*IF(F434&gt;0,F434,0))/(01_Parametres!$B$4*(D434&gt;0)+01_Parametres!$B$5*(E434&gt;0)+01_Parametres!$B$6*(F434&gt;0))),IF(01_Parametres!$B$8=0,"",(01_Parametres!$B$4*D434+01_Parametres!$B$5*E434+01_Parametres!$B$6*F434)/01_Parametres!$B$8)))</x:f>
      </x:c>
      <x:c r="H434">
        <x:f>IFERROR(VLOOKUP(C434,02_Referentiels!$A$20:$D$99,3,FALSE),"")</x:f>
      </x:c>
      <x:c r="I434">
        <x:f>IFERROR(VLOOKUP(B434,02_Referentiels!$A$5:$C$16,2,FALSE),"")</x:f>
      </x:c>
      <x:c r="J434">
        <x:f>IF(A434="","",IF(OR(D434="",E434="",F434=""),1,IF(OR(D434&lt;0,D434&gt;3,E434&lt;0,E434&gt;3,F434&lt;0,F434&gt;3),1,0)))</x:f>
      </x:c>
      <x:c r="K434">
        <x:f>IF(A434="","",IF(G434="",1,0))</x:f>
      </x:c>
      <x:c r="L434">
        <x:f>IF(A434="","",IF(COUNTIFS($A$5:$A$2004,A434,$C$5:$C$2004,C434)&gt;1,1,0))</x:f>
      </x:c>
    </x:row>
    <x:row r="435">
      <x:c r="A435" s="8" t="n"/>
      <x:c r="B435" s="8" t="n"/>
      <x:c r="C435" s="8" t="n"/>
      <x:c r="D435" s="8" t="n"/>
      <x:c r="E435" s="8" t="n"/>
      <x:c r="F435" s="8" t="n"/>
      <x:c r="G435" s="7">
        <x:f>IF(A435="","",IF(01_Parametres!$B$11="Oui",IF((01_Parametres!$B$4*(D435&gt;0)+01_Parametres!$B$5*(E435&gt;0)+01_Parametres!$B$6*(F435&gt;0))=0,"",(01_Parametres!$B$4*IF(D435&gt;0,D435,0)+01_Parametres!$B$5*IF(E435&gt;0,E435,0)+01_Parametres!$B$6*IF(F435&gt;0,F435,0))/(01_Parametres!$B$4*(D435&gt;0)+01_Parametres!$B$5*(E435&gt;0)+01_Parametres!$B$6*(F435&gt;0))),IF(01_Parametres!$B$8=0,"",(01_Parametres!$B$4*D435+01_Parametres!$B$5*E435+01_Parametres!$B$6*F435)/01_Parametres!$B$8)))</x:f>
      </x:c>
      <x:c r="H435">
        <x:f>IFERROR(VLOOKUP(C435,02_Referentiels!$A$20:$D$99,3,FALSE),"")</x:f>
      </x:c>
      <x:c r="I435">
        <x:f>IFERROR(VLOOKUP(B435,02_Referentiels!$A$5:$C$16,2,FALSE),"")</x:f>
      </x:c>
      <x:c r="J435">
        <x:f>IF(A435="","",IF(OR(D435="",E435="",F435=""),1,IF(OR(D435&lt;0,D435&gt;3,E435&lt;0,E435&gt;3,F435&lt;0,F435&gt;3),1,0)))</x:f>
      </x:c>
      <x:c r="K435">
        <x:f>IF(A435="","",IF(G435="",1,0))</x:f>
      </x:c>
      <x:c r="L435">
        <x:f>IF(A435="","",IF(COUNTIFS($A$5:$A$2004,A435,$C$5:$C$2004,C435)&gt;1,1,0))</x:f>
      </x:c>
    </x:row>
    <x:row r="436">
      <x:c r="A436" s="8" t="n"/>
      <x:c r="B436" s="8" t="n"/>
      <x:c r="C436" s="8" t="n"/>
      <x:c r="D436" s="8" t="n"/>
      <x:c r="E436" s="8" t="n"/>
      <x:c r="F436" s="8" t="n"/>
      <x:c r="G436" s="7">
        <x:f>IF(A436="","",IF(01_Parametres!$B$11="Oui",IF((01_Parametres!$B$4*(D436&gt;0)+01_Parametres!$B$5*(E436&gt;0)+01_Parametres!$B$6*(F436&gt;0))=0,"",(01_Parametres!$B$4*IF(D436&gt;0,D436,0)+01_Parametres!$B$5*IF(E436&gt;0,E436,0)+01_Parametres!$B$6*IF(F436&gt;0,F436,0))/(01_Parametres!$B$4*(D436&gt;0)+01_Parametres!$B$5*(E436&gt;0)+01_Parametres!$B$6*(F436&gt;0))),IF(01_Parametres!$B$8=0,"",(01_Parametres!$B$4*D436+01_Parametres!$B$5*E436+01_Parametres!$B$6*F436)/01_Parametres!$B$8)))</x:f>
      </x:c>
      <x:c r="H436">
        <x:f>IFERROR(VLOOKUP(C436,02_Referentiels!$A$20:$D$99,3,FALSE),"")</x:f>
      </x:c>
      <x:c r="I436">
        <x:f>IFERROR(VLOOKUP(B436,02_Referentiels!$A$5:$C$16,2,FALSE),"")</x:f>
      </x:c>
      <x:c r="J436">
        <x:f>IF(A436="","",IF(OR(D436="",E436="",F436=""),1,IF(OR(D436&lt;0,D436&gt;3,E436&lt;0,E436&gt;3,F436&lt;0,F436&gt;3),1,0)))</x:f>
      </x:c>
      <x:c r="K436">
        <x:f>IF(A436="","",IF(G436="",1,0))</x:f>
      </x:c>
      <x:c r="L436">
        <x:f>IF(A436="","",IF(COUNTIFS($A$5:$A$2004,A436,$C$5:$C$2004,C436)&gt;1,1,0))</x:f>
      </x:c>
    </x:row>
    <x:row r="437">
      <x:c r="A437" s="8" t="n"/>
      <x:c r="B437" s="8" t="n"/>
      <x:c r="C437" s="8" t="n"/>
      <x:c r="D437" s="8" t="n"/>
      <x:c r="E437" s="8" t="n"/>
      <x:c r="F437" s="8" t="n"/>
      <x:c r="G437" s="7">
        <x:f>IF(A437="","",IF(01_Parametres!$B$11="Oui",IF((01_Parametres!$B$4*(D437&gt;0)+01_Parametres!$B$5*(E437&gt;0)+01_Parametres!$B$6*(F437&gt;0))=0,"",(01_Parametres!$B$4*IF(D437&gt;0,D437,0)+01_Parametres!$B$5*IF(E437&gt;0,E437,0)+01_Parametres!$B$6*IF(F437&gt;0,F437,0))/(01_Parametres!$B$4*(D437&gt;0)+01_Parametres!$B$5*(E437&gt;0)+01_Parametres!$B$6*(F437&gt;0))),IF(01_Parametres!$B$8=0,"",(01_Parametres!$B$4*D437+01_Parametres!$B$5*E437+01_Parametres!$B$6*F437)/01_Parametres!$B$8)))</x:f>
      </x:c>
      <x:c r="H437">
        <x:f>IFERROR(VLOOKUP(C437,02_Referentiels!$A$20:$D$99,3,FALSE),"")</x:f>
      </x:c>
      <x:c r="I437">
        <x:f>IFERROR(VLOOKUP(B437,02_Referentiels!$A$5:$C$16,2,FALSE),"")</x:f>
      </x:c>
      <x:c r="J437">
        <x:f>IF(A437="","",IF(OR(D437="",E437="",F437=""),1,IF(OR(D437&lt;0,D437&gt;3,E437&lt;0,E437&gt;3,F437&lt;0,F437&gt;3),1,0)))</x:f>
      </x:c>
      <x:c r="K437">
        <x:f>IF(A437="","",IF(G437="",1,0))</x:f>
      </x:c>
      <x:c r="L437">
        <x:f>IF(A437="","",IF(COUNTIFS($A$5:$A$2004,A437,$C$5:$C$2004,C437)&gt;1,1,0))</x:f>
      </x:c>
    </x:row>
    <x:row r="438">
      <x:c r="A438" s="8" t="n"/>
      <x:c r="B438" s="8" t="n"/>
      <x:c r="C438" s="8" t="n"/>
      <x:c r="D438" s="8" t="n"/>
      <x:c r="E438" s="8" t="n"/>
      <x:c r="F438" s="8" t="n"/>
      <x:c r="G438" s="7">
        <x:f>IF(A438="","",IF(01_Parametres!$B$11="Oui",IF((01_Parametres!$B$4*(D438&gt;0)+01_Parametres!$B$5*(E438&gt;0)+01_Parametres!$B$6*(F438&gt;0))=0,"",(01_Parametres!$B$4*IF(D438&gt;0,D438,0)+01_Parametres!$B$5*IF(E438&gt;0,E438,0)+01_Parametres!$B$6*IF(F438&gt;0,F438,0))/(01_Parametres!$B$4*(D438&gt;0)+01_Parametres!$B$5*(E438&gt;0)+01_Parametres!$B$6*(F438&gt;0))),IF(01_Parametres!$B$8=0,"",(01_Parametres!$B$4*D438+01_Parametres!$B$5*E438+01_Parametres!$B$6*F438)/01_Parametres!$B$8)))</x:f>
      </x:c>
      <x:c r="H438">
        <x:f>IFERROR(VLOOKUP(C438,02_Referentiels!$A$20:$D$99,3,FALSE),"")</x:f>
      </x:c>
      <x:c r="I438">
        <x:f>IFERROR(VLOOKUP(B438,02_Referentiels!$A$5:$C$16,2,FALSE),"")</x:f>
      </x:c>
      <x:c r="J438">
        <x:f>IF(A438="","",IF(OR(D438="",E438="",F438=""),1,IF(OR(D438&lt;0,D438&gt;3,E438&lt;0,E438&gt;3,F438&lt;0,F438&gt;3),1,0)))</x:f>
      </x:c>
      <x:c r="K438">
        <x:f>IF(A438="","",IF(G438="",1,0))</x:f>
      </x:c>
      <x:c r="L438">
        <x:f>IF(A438="","",IF(COUNTIFS($A$5:$A$2004,A438,$C$5:$C$2004,C438)&gt;1,1,0))</x:f>
      </x:c>
    </x:row>
    <x:row r="439">
      <x:c r="A439" s="8" t="n"/>
      <x:c r="B439" s="8" t="n"/>
      <x:c r="C439" s="8" t="n"/>
      <x:c r="D439" s="8" t="n"/>
      <x:c r="E439" s="8" t="n"/>
      <x:c r="F439" s="8" t="n"/>
      <x:c r="G439" s="7">
        <x:f>IF(A439="","",IF(01_Parametres!$B$11="Oui",IF((01_Parametres!$B$4*(D439&gt;0)+01_Parametres!$B$5*(E439&gt;0)+01_Parametres!$B$6*(F439&gt;0))=0,"",(01_Parametres!$B$4*IF(D439&gt;0,D439,0)+01_Parametres!$B$5*IF(E439&gt;0,E439,0)+01_Parametres!$B$6*IF(F439&gt;0,F439,0))/(01_Parametres!$B$4*(D439&gt;0)+01_Parametres!$B$5*(E439&gt;0)+01_Parametres!$B$6*(F439&gt;0))),IF(01_Parametres!$B$8=0,"",(01_Parametres!$B$4*D439+01_Parametres!$B$5*E439+01_Parametres!$B$6*F439)/01_Parametres!$B$8)))</x:f>
      </x:c>
      <x:c r="H439">
        <x:f>IFERROR(VLOOKUP(C439,02_Referentiels!$A$20:$D$99,3,FALSE),"")</x:f>
      </x:c>
      <x:c r="I439">
        <x:f>IFERROR(VLOOKUP(B439,02_Referentiels!$A$5:$C$16,2,FALSE),"")</x:f>
      </x:c>
      <x:c r="J439">
        <x:f>IF(A439="","",IF(OR(D439="",E439="",F439=""),1,IF(OR(D439&lt;0,D439&gt;3,E439&lt;0,E439&gt;3,F439&lt;0,F439&gt;3),1,0)))</x:f>
      </x:c>
      <x:c r="K439">
        <x:f>IF(A439="","",IF(G439="",1,0))</x:f>
      </x:c>
      <x:c r="L439">
        <x:f>IF(A439="","",IF(COUNTIFS($A$5:$A$2004,A439,$C$5:$C$2004,C439)&gt;1,1,0))</x:f>
      </x:c>
    </x:row>
    <x:row r="440">
      <x:c r="A440" s="8" t="n"/>
      <x:c r="B440" s="8" t="n"/>
      <x:c r="C440" s="8" t="n"/>
      <x:c r="D440" s="8" t="n"/>
      <x:c r="E440" s="8" t="n"/>
      <x:c r="F440" s="8" t="n"/>
      <x:c r="G440" s="7">
        <x:f>IF(A440="","",IF(01_Parametres!$B$11="Oui",IF((01_Parametres!$B$4*(D440&gt;0)+01_Parametres!$B$5*(E440&gt;0)+01_Parametres!$B$6*(F440&gt;0))=0,"",(01_Parametres!$B$4*IF(D440&gt;0,D440,0)+01_Parametres!$B$5*IF(E440&gt;0,E440,0)+01_Parametres!$B$6*IF(F440&gt;0,F440,0))/(01_Parametres!$B$4*(D440&gt;0)+01_Parametres!$B$5*(E440&gt;0)+01_Parametres!$B$6*(F440&gt;0))),IF(01_Parametres!$B$8=0,"",(01_Parametres!$B$4*D440+01_Parametres!$B$5*E440+01_Parametres!$B$6*F440)/01_Parametres!$B$8)))</x:f>
      </x:c>
      <x:c r="H440">
        <x:f>IFERROR(VLOOKUP(C440,02_Referentiels!$A$20:$D$99,3,FALSE),"")</x:f>
      </x:c>
      <x:c r="I440">
        <x:f>IFERROR(VLOOKUP(B440,02_Referentiels!$A$5:$C$16,2,FALSE),"")</x:f>
      </x:c>
      <x:c r="J440">
        <x:f>IF(A440="","",IF(OR(D440="",E440="",F440=""),1,IF(OR(D440&lt;0,D440&gt;3,E440&lt;0,E440&gt;3,F440&lt;0,F440&gt;3),1,0)))</x:f>
      </x:c>
      <x:c r="K440">
        <x:f>IF(A440="","",IF(G440="",1,0))</x:f>
      </x:c>
      <x:c r="L440">
        <x:f>IF(A440="","",IF(COUNTIFS($A$5:$A$2004,A440,$C$5:$C$2004,C440)&gt;1,1,0))</x:f>
      </x:c>
    </x:row>
    <x:row r="441">
      <x:c r="A441" s="8" t="n"/>
      <x:c r="B441" s="8" t="n"/>
      <x:c r="C441" s="8" t="n"/>
      <x:c r="D441" s="8" t="n"/>
      <x:c r="E441" s="8" t="n"/>
      <x:c r="F441" s="8" t="n"/>
      <x:c r="G441" s="7">
        <x:f>IF(A441="","",IF(01_Parametres!$B$11="Oui",IF((01_Parametres!$B$4*(D441&gt;0)+01_Parametres!$B$5*(E441&gt;0)+01_Parametres!$B$6*(F441&gt;0))=0,"",(01_Parametres!$B$4*IF(D441&gt;0,D441,0)+01_Parametres!$B$5*IF(E441&gt;0,E441,0)+01_Parametres!$B$6*IF(F441&gt;0,F441,0))/(01_Parametres!$B$4*(D441&gt;0)+01_Parametres!$B$5*(E441&gt;0)+01_Parametres!$B$6*(F441&gt;0))),IF(01_Parametres!$B$8=0,"",(01_Parametres!$B$4*D441+01_Parametres!$B$5*E441+01_Parametres!$B$6*F441)/01_Parametres!$B$8)))</x:f>
      </x:c>
      <x:c r="H441">
        <x:f>IFERROR(VLOOKUP(C441,02_Referentiels!$A$20:$D$99,3,FALSE),"")</x:f>
      </x:c>
      <x:c r="I441">
        <x:f>IFERROR(VLOOKUP(B441,02_Referentiels!$A$5:$C$16,2,FALSE),"")</x:f>
      </x:c>
      <x:c r="J441">
        <x:f>IF(A441="","",IF(OR(D441="",E441="",F441=""),1,IF(OR(D441&lt;0,D441&gt;3,E441&lt;0,E441&gt;3,F441&lt;0,F441&gt;3),1,0)))</x:f>
      </x:c>
      <x:c r="K441">
        <x:f>IF(A441="","",IF(G441="",1,0))</x:f>
      </x:c>
      <x:c r="L441">
        <x:f>IF(A441="","",IF(COUNTIFS($A$5:$A$2004,A441,$C$5:$C$2004,C441)&gt;1,1,0))</x:f>
      </x:c>
    </x:row>
    <x:row r="442">
      <x:c r="A442" s="8" t="n"/>
      <x:c r="B442" s="8" t="n"/>
      <x:c r="C442" s="8" t="n"/>
      <x:c r="D442" s="8" t="n"/>
      <x:c r="E442" s="8" t="n"/>
      <x:c r="F442" s="8" t="n"/>
      <x:c r="G442" s="7">
        <x:f>IF(A442="","",IF(01_Parametres!$B$11="Oui",IF((01_Parametres!$B$4*(D442&gt;0)+01_Parametres!$B$5*(E442&gt;0)+01_Parametres!$B$6*(F442&gt;0))=0,"",(01_Parametres!$B$4*IF(D442&gt;0,D442,0)+01_Parametres!$B$5*IF(E442&gt;0,E442,0)+01_Parametres!$B$6*IF(F442&gt;0,F442,0))/(01_Parametres!$B$4*(D442&gt;0)+01_Parametres!$B$5*(E442&gt;0)+01_Parametres!$B$6*(F442&gt;0))),IF(01_Parametres!$B$8=0,"",(01_Parametres!$B$4*D442+01_Parametres!$B$5*E442+01_Parametres!$B$6*F442)/01_Parametres!$B$8)))</x:f>
      </x:c>
      <x:c r="H442">
        <x:f>IFERROR(VLOOKUP(C442,02_Referentiels!$A$20:$D$99,3,FALSE),"")</x:f>
      </x:c>
      <x:c r="I442">
        <x:f>IFERROR(VLOOKUP(B442,02_Referentiels!$A$5:$C$16,2,FALSE),"")</x:f>
      </x:c>
      <x:c r="J442">
        <x:f>IF(A442="","",IF(OR(D442="",E442="",F442=""),1,IF(OR(D442&lt;0,D442&gt;3,E442&lt;0,E442&gt;3,F442&lt;0,F442&gt;3),1,0)))</x:f>
      </x:c>
      <x:c r="K442">
        <x:f>IF(A442="","",IF(G442="",1,0))</x:f>
      </x:c>
      <x:c r="L442">
        <x:f>IF(A442="","",IF(COUNTIFS($A$5:$A$2004,A442,$C$5:$C$2004,C442)&gt;1,1,0))</x:f>
      </x:c>
    </x:row>
    <x:row r="443">
      <x:c r="A443" s="8" t="n"/>
      <x:c r="B443" s="8" t="n"/>
      <x:c r="C443" s="8" t="n"/>
      <x:c r="D443" s="8" t="n"/>
      <x:c r="E443" s="8" t="n"/>
      <x:c r="F443" s="8" t="n"/>
      <x:c r="G443" s="7">
        <x:f>IF(A443="","",IF(01_Parametres!$B$11="Oui",IF((01_Parametres!$B$4*(D443&gt;0)+01_Parametres!$B$5*(E443&gt;0)+01_Parametres!$B$6*(F443&gt;0))=0,"",(01_Parametres!$B$4*IF(D443&gt;0,D443,0)+01_Parametres!$B$5*IF(E443&gt;0,E443,0)+01_Parametres!$B$6*IF(F443&gt;0,F443,0))/(01_Parametres!$B$4*(D443&gt;0)+01_Parametres!$B$5*(E443&gt;0)+01_Parametres!$B$6*(F443&gt;0))),IF(01_Parametres!$B$8=0,"",(01_Parametres!$B$4*D443+01_Parametres!$B$5*E443+01_Parametres!$B$6*F443)/01_Parametres!$B$8)))</x:f>
      </x:c>
      <x:c r="H443">
        <x:f>IFERROR(VLOOKUP(C443,02_Referentiels!$A$20:$D$99,3,FALSE),"")</x:f>
      </x:c>
      <x:c r="I443">
        <x:f>IFERROR(VLOOKUP(B443,02_Referentiels!$A$5:$C$16,2,FALSE),"")</x:f>
      </x:c>
      <x:c r="J443">
        <x:f>IF(A443="","",IF(OR(D443="",E443="",F443=""),1,IF(OR(D443&lt;0,D443&gt;3,E443&lt;0,E443&gt;3,F443&lt;0,F443&gt;3),1,0)))</x:f>
      </x:c>
      <x:c r="K443">
        <x:f>IF(A443="","",IF(G443="",1,0))</x:f>
      </x:c>
      <x:c r="L443">
        <x:f>IF(A443="","",IF(COUNTIFS($A$5:$A$2004,A443,$C$5:$C$2004,C443)&gt;1,1,0))</x:f>
      </x:c>
    </x:row>
    <x:row r="444">
      <x:c r="A444" s="8" t="n"/>
      <x:c r="B444" s="8" t="n"/>
      <x:c r="C444" s="8" t="n"/>
      <x:c r="D444" s="8" t="n"/>
      <x:c r="E444" s="8" t="n"/>
      <x:c r="F444" s="8" t="n"/>
      <x:c r="G444" s="7">
        <x:f>IF(A444="","",IF(01_Parametres!$B$11="Oui",IF((01_Parametres!$B$4*(D444&gt;0)+01_Parametres!$B$5*(E444&gt;0)+01_Parametres!$B$6*(F444&gt;0))=0,"",(01_Parametres!$B$4*IF(D444&gt;0,D444,0)+01_Parametres!$B$5*IF(E444&gt;0,E444,0)+01_Parametres!$B$6*IF(F444&gt;0,F444,0))/(01_Parametres!$B$4*(D444&gt;0)+01_Parametres!$B$5*(E444&gt;0)+01_Parametres!$B$6*(F444&gt;0))),IF(01_Parametres!$B$8=0,"",(01_Parametres!$B$4*D444+01_Parametres!$B$5*E444+01_Parametres!$B$6*F444)/01_Parametres!$B$8)))</x:f>
      </x:c>
      <x:c r="H444">
        <x:f>IFERROR(VLOOKUP(C444,02_Referentiels!$A$20:$D$99,3,FALSE),"")</x:f>
      </x:c>
      <x:c r="I444">
        <x:f>IFERROR(VLOOKUP(B444,02_Referentiels!$A$5:$C$16,2,FALSE),"")</x:f>
      </x:c>
      <x:c r="J444">
        <x:f>IF(A444="","",IF(OR(D444="",E444="",F444=""),1,IF(OR(D444&lt;0,D444&gt;3,E444&lt;0,E444&gt;3,F444&lt;0,F444&gt;3),1,0)))</x:f>
      </x:c>
      <x:c r="K444">
        <x:f>IF(A444="","",IF(G444="",1,0))</x:f>
      </x:c>
      <x:c r="L444">
        <x:f>IF(A444="","",IF(COUNTIFS($A$5:$A$2004,A444,$C$5:$C$2004,C444)&gt;1,1,0))</x:f>
      </x:c>
    </x:row>
    <x:row r="445">
      <x:c r="A445" s="8" t="n"/>
      <x:c r="B445" s="8" t="n"/>
      <x:c r="C445" s="8" t="n"/>
      <x:c r="D445" s="8" t="n"/>
      <x:c r="E445" s="8" t="n"/>
      <x:c r="F445" s="8" t="n"/>
      <x:c r="G445" s="7">
        <x:f>IF(A445="","",IF(01_Parametres!$B$11="Oui",IF((01_Parametres!$B$4*(D445&gt;0)+01_Parametres!$B$5*(E445&gt;0)+01_Parametres!$B$6*(F445&gt;0))=0,"",(01_Parametres!$B$4*IF(D445&gt;0,D445,0)+01_Parametres!$B$5*IF(E445&gt;0,E445,0)+01_Parametres!$B$6*IF(F445&gt;0,F445,0))/(01_Parametres!$B$4*(D445&gt;0)+01_Parametres!$B$5*(E445&gt;0)+01_Parametres!$B$6*(F445&gt;0))),IF(01_Parametres!$B$8=0,"",(01_Parametres!$B$4*D445+01_Parametres!$B$5*E445+01_Parametres!$B$6*F445)/01_Parametres!$B$8)))</x:f>
      </x:c>
      <x:c r="H445">
        <x:f>IFERROR(VLOOKUP(C445,02_Referentiels!$A$20:$D$99,3,FALSE),"")</x:f>
      </x:c>
      <x:c r="I445">
        <x:f>IFERROR(VLOOKUP(B445,02_Referentiels!$A$5:$C$16,2,FALSE),"")</x:f>
      </x:c>
      <x:c r="J445">
        <x:f>IF(A445="","",IF(OR(D445="",E445="",F445=""),1,IF(OR(D445&lt;0,D445&gt;3,E445&lt;0,E445&gt;3,F445&lt;0,F445&gt;3),1,0)))</x:f>
      </x:c>
      <x:c r="K445">
        <x:f>IF(A445="","",IF(G445="",1,0))</x:f>
      </x:c>
      <x:c r="L445">
        <x:f>IF(A445="","",IF(COUNTIFS($A$5:$A$2004,A445,$C$5:$C$2004,C445)&gt;1,1,0))</x:f>
      </x:c>
    </x:row>
    <x:row r="446">
      <x:c r="A446" s="8" t="n"/>
      <x:c r="B446" s="8" t="n"/>
      <x:c r="C446" s="8" t="n"/>
      <x:c r="D446" s="8" t="n"/>
      <x:c r="E446" s="8" t="n"/>
      <x:c r="F446" s="8" t="n"/>
      <x:c r="G446" s="7">
        <x:f>IF(A446="","",IF(01_Parametres!$B$11="Oui",IF((01_Parametres!$B$4*(D446&gt;0)+01_Parametres!$B$5*(E446&gt;0)+01_Parametres!$B$6*(F446&gt;0))=0,"",(01_Parametres!$B$4*IF(D446&gt;0,D446,0)+01_Parametres!$B$5*IF(E446&gt;0,E446,0)+01_Parametres!$B$6*IF(F446&gt;0,F446,0))/(01_Parametres!$B$4*(D446&gt;0)+01_Parametres!$B$5*(E446&gt;0)+01_Parametres!$B$6*(F446&gt;0))),IF(01_Parametres!$B$8=0,"",(01_Parametres!$B$4*D446+01_Parametres!$B$5*E446+01_Parametres!$B$6*F446)/01_Parametres!$B$8)))</x:f>
      </x:c>
      <x:c r="H446">
        <x:f>IFERROR(VLOOKUP(C446,02_Referentiels!$A$20:$D$99,3,FALSE),"")</x:f>
      </x:c>
      <x:c r="I446">
        <x:f>IFERROR(VLOOKUP(B446,02_Referentiels!$A$5:$C$16,2,FALSE),"")</x:f>
      </x:c>
      <x:c r="J446">
        <x:f>IF(A446="","",IF(OR(D446="",E446="",F446=""),1,IF(OR(D446&lt;0,D446&gt;3,E446&lt;0,E446&gt;3,F446&lt;0,F446&gt;3),1,0)))</x:f>
      </x:c>
      <x:c r="K446">
        <x:f>IF(A446="","",IF(G446="",1,0))</x:f>
      </x:c>
      <x:c r="L446">
        <x:f>IF(A446="","",IF(COUNTIFS($A$5:$A$2004,A446,$C$5:$C$2004,C446)&gt;1,1,0))</x:f>
      </x:c>
    </x:row>
    <x:row r="447">
      <x:c r="A447" s="8" t="n"/>
      <x:c r="B447" s="8" t="n"/>
      <x:c r="C447" s="8" t="n"/>
      <x:c r="D447" s="8" t="n"/>
      <x:c r="E447" s="8" t="n"/>
      <x:c r="F447" s="8" t="n"/>
      <x:c r="G447" s="7">
        <x:f>IF(A447="","",IF(01_Parametres!$B$11="Oui",IF((01_Parametres!$B$4*(D447&gt;0)+01_Parametres!$B$5*(E447&gt;0)+01_Parametres!$B$6*(F447&gt;0))=0,"",(01_Parametres!$B$4*IF(D447&gt;0,D447,0)+01_Parametres!$B$5*IF(E447&gt;0,E447,0)+01_Parametres!$B$6*IF(F447&gt;0,F447,0))/(01_Parametres!$B$4*(D447&gt;0)+01_Parametres!$B$5*(E447&gt;0)+01_Parametres!$B$6*(F447&gt;0))),IF(01_Parametres!$B$8=0,"",(01_Parametres!$B$4*D447+01_Parametres!$B$5*E447+01_Parametres!$B$6*F447)/01_Parametres!$B$8)))</x:f>
      </x:c>
      <x:c r="H447">
        <x:f>IFERROR(VLOOKUP(C447,02_Referentiels!$A$20:$D$99,3,FALSE),"")</x:f>
      </x:c>
      <x:c r="I447">
        <x:f>IFERROR(VLOOKUP(B447,02_Referentiels!$A$5:$C$16,2,FALSE),"")</x:f>
      </x:c>
      <x:c r="J447">
        <x:f>IF(A447="","",IF(OR(D447="",E447="",F447=""),1,IF(OR(D447&lt;0,D447&gt;3,E447&lt;0,E447&gt;3,F447&lt;0,F447&gt;3),1,0)))</x:f>
      </x:c>
      <x:c r="K447">
        <x:f>IF(A447="","",IF(G447="",1,0))</x:f>
      </x:c>
      <x:c r="L447">
        <x:f>IF(A447="","",IF(COUNTIFS($A$5:$A$2004,A447,$C$5:$C$2004,C447)&gt;1,1,0))</x:f>
      </x:c>
    </x:row>
    <x:row r="448">
      <x:c r="A448" s="8" t="n"/>
      <x:c r="B448" s="8" t="n"/>
      <x:c r="C448" s="8" t="n"/>
      <x:c r="D448" s="8" t="n"/>
      <x:c r="E448" s="8" t="n"/>
      <x:c r="F448" s="8" t="n"/>
      <x:c r="G448" s="7">
        <x:f>IF(A448="","",IF(01_Parametres!$B$11="Oui",IF((01_Parametres!$B$4*(D448&gt;0)+01_Parametres!$B$5*(E448&gt;0)+01_Parametres!$B$6*(F448&gt;0))=0,"",(01_Parametres!$B$4*IF(D448&gt;0,D448,0)+01_Parametres!$B$5*IF(E448&gt;0,E448,0)+01_Parametres!$B$6*IF(F448&gt;0,F448,0))/(01_Parametres!$B$4*(D448&gt;0)+01_Parametres!$B$5*(E448&gt;0)+01_Parametres!$B$6*(F448&gt;0))),IF(01_Parametres!$B$8=0,"",(01_Parametres!$B$4*D448+01_Parametres!$B$5*E448+01_Parametres!$B$6*F448)/01_Parametres!$B$8)))</x:f>
      </x:c>
      <x:c r="H448">
        <x:f>IFERROR(VLOOKUP(C448,02_Referentiels!$A$20:$D$99,3,FALSE),"")</x:f>
      </x:c>
      <x:c r="I448">
        <x:f>IFERROR(VLOOKUP(B448,02_Referentiels!$A$5:$C$16,2,FALSE),"")</x:f>
      </x:c>
      <x:c r="J448">
        <x:f>IF(A448="","",IF(OR(D448="",E448="",F448=""),1,IF(OR(D448&lt;0,D448&gt;3,E448&lt;0,E448&gt;3,F448&lt;0,F448&gt;3),1,0)))</x:f>
      </x:c>
      <x:c r="K448">
        <x:f>IF(A448="","",IF(G448="",1,0))</x:f>
      </x:c>
      <x:c r="L448">
        <x:f>IF(A448="","",IF(COUNTIFS($A$5:$A$2004,A448,$C$5:$C$2004,C448)&gt;1,1,0))</x:f>
      </x:c>
    </x:row>
    <x:row r="449">
      <x:c r="A449" s="8" t="n"/>
      <x:c r="B449" s="8" t="n"/>
      <x:c r="C449" s="8" t="n"/>
      <x:c r="D449" s="8" t="n"/>
      <x:c r="E449" s="8" t="n"/>
      <x:c r="F449" s="8" t="n"/>
      <x:c r="G449" s="7">
        <x:f>IF(A449="","",IF(01_Parametres!$B$11="Oui",IF((01_Parametres!$B$4*(D449&gt;0)+01_Parametres!$B$5*(E449&gt;0)+01_Parametres!$B$6*(F449&gt;0))=0,"",(01_Parametres!$B$4*IF(D449&gt;0,D449,0)+01_Parametres!$B$5*IF(E449&gt;0,E449,0)+01_Parametres!$B$6*IF(F449&gt;0,F449,0))/(01_Parametres!$B$4*(D449&gt;0)+01_Parametres!$B$5*(E449&gt;0)+01_Parametres!$B$6*(F449&gt;0))),IF(01_Parametres!$B$8=0,"",(01_Parametres!$B$4*D449+01_Parametres!$B$5*E449+01_Parametres!$B$6*F449)/01_Parametres!$B$8)))</x:f>
      </x:c>
      <x:c r="H449">
        <x:f>IFERROR(VLOOKUP(C449,02_Referentiels!$A$20:$D$99,3,FALSE),"")</x:f>
      </x:c>
      <x:c r="I449">
        <x:f>IFERROR(VLOOKUP(B449,02_Referentiels!$A$5:$C$16,2,FALSE),"")</x:f>
      </x:c>
      <x:c r="J449">
        <x:f>IF(A449="","",IF(OR(D449="",E449="",F449=""),1,IF(OR(D449&lt;0,D449&gt;3,E449&lt;0,E449&gt;3,F449&lt;0,F449&gt;3),1,0)))</x:f>
      </x:c>
      <x:c r="K449">
        <x:f>IF(A449="","",IF(G449="",1,0))</x:f>
      </x:c>
      <x:c r="L449">
        <x:f>IF(A449="","",IF(COUNTIFS($A$5:$A$2004,A449,$C$5:$C$2004,C449)&gt;1,1,0))</x:f>
      </x:c>
    </x:row>
    <x:row r="450">
      <x:c r="A450" s="8" t="n"/>
      <x:c r="B450" s="8" t="n"/>
      <x:c r="C450" s="8" t="n"/>
      <x:c r="D450" s="8" t="n"/>
      <x:c r="E450" s="8" t="n"/>
      <x:c r="F450" s="8" t="n"/>
      <x:c r="G450" s="7">
        <x:f>IF(A450="","",IF(01_Parametres!$B$11="Oui",IF((01_Parametres!$B$4*(D450&gt;0)+01_Parametres!$B$5*(E450&gt;0)+01_Parametres!$B$6*(F450&gt;0))=0,"",(01_Parametres!$B$4*IF(D450&gt;0,D450,0)+01_Parametres!$B$5*IF(E450&gt;0,E450,0)+01_Parametres!$B$6*IF(F450&gt;0,F450,0))/(01_Parametres!$B$4*(D450&gt;0)+01_Parametres!$B$5*(E450&gt;0)+01_Parametres!$B$6*(F450&gt;0))),IF(01_Parametres!$B$8=0,"",(01_Parametres!$B$4*D450+01_Parametres!$B$5*E450+01_Parametres!$B$6*F450)/01_Parametres!$B$8)))</x:f>
      </x:c>
      <x:c r="H450">
        <x:f>IFERROR(VLOOKUP(C450,02_Referentiels!$A$20:$D$99,3,FALSE),"")</x:f>
      </x:c>
      <x:c r="I450">
        <x:f>IFERROR(VLOOKUP(B450,02_Referentiels!$A$5:$C$16,2,FALSE),"")</x:f>
      </x:c>
      <x:c r="J450">
        <x:f>IF(A450="","",IF(OR(D450="",E450="",F450=""),1,IF(OR(D450&lt;0,D450&gt;3,E450&lt;0,E450&gt;3,F450&lt;0,F450&gt;3),1,0)))</x:f>
      </x:c>
      <x:c r="K450">
        <x:f>IF(A450="","",IF(G450="",1,0))</x:f>
      </x:c>
      <x:c r="L450">
        <x:f>IF(A450="","",IF(COUNTIFS($A$5:$A$2004,A450,$C$5:$C$2004,C450)&gt;1,1,0))</x:f>
      </x:c>
    </x:row>
    <x:row r="451">
      <x:c r="A451" s="8" t="n"/>
      <x:c r="B451" s="8" t="n"/>
      <x:c r="C451" s="8" t="n"/>
      <x:c r="D451" s="8" t="n"/>
      <x:c r="E451" s="8" t="n"/>
      <x:c r="F451" s="8" t="n"/>
      <x:c r="G451" s="7">
        <x:f>IF(A451="","",IF(01_Parametres!$B$11="Oui",IF((01_Parametres!$B$4*(D451&gt;0)+01_Parametres!$B$5*(E451&gt;0)+01_Parametres!$B$6*(F451&gt;0))=0,"",(01_Parametres!$B$4*IF(D451&gt;0,D451,0)+01_Parametres!$B$5*IF(E451&gt;0,E451,0)+01_Parametres!$B$6*IF(F451&gt;0,F451,0))/(01_Parametres!$B$4*(D451&gt;0)+01_Parametres!$B$5*(E451&gt;0)+01_Parametres!$B$6*(F451&gt;0))),IF(01_Parametres!$B$8=0,"",(01_Parametres!$B$4*D451+01_Parametres!$B$5*E451+01_Parametres!$B$6*F451)/01_Parametres!$B$8)))</x:f>
      </x:c>
      <x:c r="H451">
        <x:f>IFERROR(VLOOKUP(C451,02_Referentiels!$A$20:$D$99,3,FALSE),"")</x:f>
      </x:c>
      <x:c r="I451">
        <x:f>IFERROR(VLOOKUP(B451,02_Referentiels!$A$5:$C$16,2,FALSE),"")</x:f>
      </x:c>
      <x:c r="J451">
        <x:f>IF(A451="","",IF(OR(D451="",E451="",F451=""),1,IF(OR(D451&lt;0,D451&gt;3,E451&lt;0,E451&gt;3,F451&lt;0,F451&gt;3),1,0)))</x:f>
      </x:c>
      <x:c r="K451">
        <x:f>IF(A451="","",IF(G451="",1,0))</x:f>
      </x:c>
      <x:c r="L451">
        <x:f>IF(A451="","",IF(COUNTIFS($A$5:$A$2004,A451,$C$5:$C$2004,C451)&gt;1,1,0))</x:f>
      </x:c>
    </x:row>
    <x:row r="452">
      <x:c r="A452" s="8" t="n"/>
      <x:c r="B452" s="8" t="n"/>
      <x:c r="C452" s="8" t="n"/>
      <x:c r="D452" s="8" t="n"/>
      <x:c r="E452" s="8" t="n"/>
      <x:c r="F452" s="8" t="n"/>
      <x:c r="G452" s="7">
        <x:f>IF(A452="","",IF(01_Parametres!$B$11="Oui",IF((01_Parametres!$B$4*(D452&gt;0)+01_Parametres!$B$5*(E452&gt;0)+01_Parametres!$B$6*(F452&gt;0))=0,"",(01_Parametres!$B$4*IF(D452&gt;0,D452,0)+01_Parametres!$B$5*IF(E452&gt;0,E452,0)+01_Parametres!$B$6*IF(F452&gt;0,F452,0))/(01_Parametres!$B$4*(D452&gt;0)+01_Parametres!$B$5*(E452&gt;0)+01_Parametres!$B$6*(F452&gt;0))),IF(01_Parametres!$B$8=0,"",(01_Parametres!$B$4*D452+01_Parametres!$B$5*E452+01_Parametres!$B$6*F452)/01_Parametres!$B$8)))</x:f>
      </x:c>
      <x:c r="H452">
        <x:f>IFERROR(VLOOKUP(C452,02_Referentiels!$A$20:$D$99,3,FALSE),"")</x:f>
      </x:c>
      <x:c r="I452">
        <x:f>IFERROR(VLOOKUP(B452,02_Referentiels!$A$5:$C$16,2,FALSE),"")</x:f>
      </x:c>
      <x:c r="J452">
        <x:f>IF(A452="","",IF(OR(D452="",E452="",F452=""),1,IF(OR(D452&lt;0,D452&gt;3,E452&lt;0,E452&gt;3,F452&lt;0,F452&gt;3),1,0)))</x:f>
      </x:c>
      <x:c r="K452">
        <x:f>IF(A452="","",IF(G452="",1,0))</x:f>
      </x:c>
      <x:c r="L452">
        <x:f>IF(A452="","",IF(COUNTIFS($A$5:$A$2004,A452,$C$5:$C$2004,C452)&gt;1,1,0))</x:f>
      </x:c>
    </x:row>
    <x:row r="453">
      <x:c r="A453" s="8" t="n"/>
      <x:c r="B453" s="8" t="n"/>
      <x:c r="C453" s="8" t="n"/>
      <x:c r="D453" s="8" t="n"/>
      <x:c r="E453" s="8" t="n"/>
      <x:c r="F453" s="8" t="n"/>
      <x:c r="G453" s="7">
        <x:f>IF(A453="","",IF(01_Parametres!$B$11="Oui",IF((01_Parametres!$B$4*(D453&gt;0)+01_Parametres!$B$5*(E453&gt;0)+01_Parametres!$B$6*(F453&gt;0))=0,"",(01_Parametres!$B$4*IF(D453&gt;0,D453,0)+01_Parametres!$B$5*IF(E453&gt;0,E453,0)+01_Parametres!$B$6*IF(F453&gt;0,F453,0))/(01_Parametres!$B$4*(D453&gt;0)+01_Parametres!$B$5*(E453&gt;0)+01_Parametres!$B$6*(F453&gt;0))),IF(01_Parametres!$B$8=0,"",(01_Parametres!$B$4*D453+01_Parametres!$B$5*E453+01_Parametres!$B$6*F453)/01_Parametres!$B$8)))</x:f>
      </x:c>
      <x:c r="H453">
        <x:f>IFERROR(VLOOKUP(C453,02_Referentiels!$A$20:$D$99,3,FALSE),"")</x:f>
      </x:c>
      <x:c r="I453">
        <x:f>IFERROR(VLOOKUP(B453,02_Referentiels!$A$5:$C$16,2,FALSE),"")</x:f>
      </x:c>
      <x:c r="J453">
        <x:f>IF(A453="","",IF(OR(D453="",E453="",F453=""),1,IF(OR(D453&lt;0,D453&gt;3,E453&lt;0,E453&gt;3,F453&lt;0,F453&gt;3),1,0)))</x:f>
      </x:c>
      <x:c r="K453">
        <x:f>IF(A453="","",IF(G453="",1,0))</x:f>
      </x:c>
      <x:c r="L453">
        <x:f>IF(A453="","",IF(COUNTIFS($A$5:$A$2004,A453,$C$5:$C$2004,C453)&gt;1,1,0))</x:f>
      </x:c>
    </x:row>
    <x:row r="454">
      <x:c r="A454" s="8" t="n"/>
      <x:c r="B454" s="8" t="n"/>
      <x:c r="C454" s="8" t="n"/>
      <x:c r="D454" s="8" t="n"/>
      <x:c r="E454" s="8" t="n"/>
      <x:c r="F454" s="8" t="n"/>
      <x:c r="G454" s="7">
        <x:f>IF(A454="","",IF(01_Parametres!$B$11="Oui",IF((01_Parametres!$B$4*(D454&gt;0)+01_Parametres!$B$5*(E454&gt;0)+01_Parametres!$B$6*(F454&gt;0))=0,"",(01_Parametres!$B$4*IF(D454&gt;0,D454,0)+01_Parametres!$B$5*IF(E454&gt;0,E454,0)+01_Parametres!$B$6*IF(F454&gt;0,F454,0))/(01_Parametres!$B$4*(D454&gt;0)+01_Parametres!$B$5*(E454&gt;0)+01_Parametres!$B$6*(F454&gt;0))),IF(01_Parametres!$B$8=0,"",(01_Parametres!$B$4*D454+01_Parametres!$B$5*E454+01_Parametres!$B$6*F454)/01_Parametres!$B$8)))</x:f>
      </x:c>
      <x:c r="H454">
        <x:f>IFERROR(VLOOKUP(C454,02_Referentiels!$A$20:$D$99,3,FALSE),"")</x:f>
      </x:c>
      <x:c r="I454">
        <x:f>IFERROR(VLOOKUP(B454,02_Referentiels!$A$5:$C$16,2,FALSE),"")</x:f>
      </x:c>
      <x:c r="J454">
        <x:f>IF(A454="","",IF(OR(D454="",E454="",F454=""),1,IF(OR(D454&lt;0,D454&gt;3,E454&lt;0,E454&gt;3,F454&lt;0,F454&gt;3),1,0)))</x:f>
      </x:c>
      <x:c r="K454">
        <x:f>IF(A454="","",IF(G454="",1,0))</x:f>
      </x:c>
      <x:c r="L454">
        <x:f>IF(A454="","",IF(COUNTIFS($A$5:$A$2004,A454,$C$5:$C$2004,C454)&gt;1,1,0))</x:f>
      </x:c>
    </x:row>
    <x:row r="455">
      <x:c r="A455" s="8" t="n"/>
      <x:c r="B455" s="8" t="n"/>
      <x:c r="C455" s="8" t="n"/>
      <x:c r="D455" s="8" t="n"/>
      <x:c r="E455" s="8" t="n"/>
      <x:c r="F455" s="8" t="n"/>
      <x:c r="G455" s="7">
        <x:f>IF(A455="","",IF(01_Parametres!$B$11="Oui",IF((01_Parametres!$B$4*(D455&gt;0)+01_Parametres!$B$5*(E455&gt;0)+01_Parametres!$B$6*(F455&gt;0))=0,"",(01_Parametres!$B$4*IF(D455&gt;0,D455,0)+01_Parametres!$B$5*IF(E455&gt;0,E455,0)+01_Parametres!$B$6*IF(F455&gt;0,F455,0))/(01_Parametres!$B$4*(D455&gt;0)+01_Parametres!$B$5*(E455&gt;0)+01_Parametres!$B$6*(F455&gt;0))),IF(01_Parametres!$B$8=0,"",(01_Parametres!$B$4*D455+01_Parametres!$B$5*E455+01_Parametres!$B$6*F455)/01_Parametres!$B$8)))</x:f>
      </x:c>
      <x:c r="H455">
        <x:f>IFERROR(VLOOKUP(C455,02_Referentiels!$A$20:$D$99,3,FALSE),"")</x:f>
      </x:c>
      <x:c r="I455">
        <x:f>IFERROR(VLOOKUP(B455,02_Referentiels!$A$5:$C$16,2,FALSE),"")</x:f>
      </x:c>
      <x:c r="J455">
        <x:f>IF(A455="","",IF(OR(D455="",E455="",F455=""),1,IF(OR(D455&lt;0,D455&gt;3,E455&lt;0,E455&gt;3,F455&lt;0,F455&gt;3),1,0)))</x:f>
      </x:c>
      <x:c r="K455">
        <x:f>IF(A455="","",IF(G455="",1,0))</x:f>
      </x:c>
      <x:c r="L455">
        <x:f>IF(A455="","",IF(COUNTIFS($A$5:$A$2004,A455,$C$5:$C$2004,C455)&gt;1,1,0))</x:f>
      </x:c>
    </x:row>
    <x:row r="456">
      <x:c r="A456" s="8" t="n"/>
      <x:c r="B456" s="8" t="n"/>
      <x:c r="C456" s="8" t="n"/>
      <x:c r="D456" s="8" t="n"/>
      <x:c r="E456" s="8" t="n"/>
      <x:c r="F456" s="8" t="n"/>
      <x:c r="G456" s="7">
        <x:f>IF(A456="","",IF(01_Parametres!$B$11="Oui",IF((01_Parametres!$B$4*(D456&gt;0)+01_Parametres!$B$5*(E456&gt;0)+01_Parametres!$B$6*(F456&gt;0))=0,"",(01_Parametres!$B$4*IF(D456&gt;0,D456,0)+01_Parametres!$B$5*IF(E456&gt;0,E456,0)+01_Parametres!$B$6*IF(F456&gt;0,F456,0))/(01_Parametres!$B$4*(D456&gt;0)+01_Parametres!$B$5*(E456&gt;0)+01_Parametres!$B$6*(F456&gt;0))),IF(01_Parametres!$B$8=0,"",(01_Parametres!$B$4*D456+01_Parametres!$B$5*E456+01_Parametres!$B$6*F456)/01_Parametres!$B$8)))</x:f>
      </x:c>
      <x:c r="H456">
        <x:f>IFERROR(VLOOKUP(C456,02_Referentiels!$A$20:$D$99,3,FALSE),"")</x:f>
      </x:c>
      <x:c r="I456">
        <x:f>IFERROR(VLOOKUP(B456,02_Referentiels!$A$5:$C$16,2,FALSE),"")</x:f>
      </x:c>
      <x:c r="J456">
        <x:f>IF(A456="","",IF(OR(D456="",E456="",F456=""),1,IF(OR(D456&lt;0,D456&gt;3,E456&lt;0,E456&gt;3,F456&lt;0,F456&gt;3),1,0)))</x:f>
      </x:c>
      <x:c r="K456">
        <x:f>IF(A456="","",IF(G456="",1,0))</x:f>
      </x:c>
      <x:c r="L456">
        <x:f>IF(A456="","",IF(COUNTIFS($A$5:$A$2004,A456,$C$5:$C$2004,C456)&gt;1,1,0))</x:f>
      </x:c>
    </x:row>
    <x:row r="457">
      <x:c r="A457" s="8" t="n"/>
      <x:c r="B457" s="8" t="n"/>
      <x:c r="C457" s="8" t="n"/>
      <x:c r="D457" s="8" t="n"/>
      <x:c r="E457" s="8" t="n"/>
      <x:c r="F457" s="8" t="n"/>
      <x:c r="G457" s="7">
        <x:f>IF(A457="","",IF(01_Parametres!$B$11="Oui",IF((01_Parametres!$B$4*(D457&gt;0)+01_Parametres!$B$5*(E457&gt;0)+01_Parametres!$B$6*(F457&gt;0))=0,"",(01_Parametres!$B$4*IF(D457&gt;0,D457,0)+01_Parametres!$B$5*IF(E457&gt;0,E457,0)+01_Parametres!$B$6*IF(F457&gt;0,F457,0))/(01_Parametres!$B$4*(D457&gt;0)+01_Parametres!$B$5*(E457&gt;0)+01_Parametres!$B$6*(F457&gt;0))),IF(01_Parametres!$B$8=0,"",(01_Parametres!$B$4*D457+01_Parametres!$B$5*E457+01_Parametres!$B$6*F457)/01_Parametres!$B$8)))</x:f>
      </x:c>
      <x:c r="H457">
        <x:f>IFERROR(VLOOKUP(C457,02_Referentiels!$A$20:$D$99,3,FALSE),"")</x:f>
      </x:c>
      <x:c r="I457">
        <x:f>IFERROR(VLOOKUP(B457,02_Referentiels!$A$5:$C$16,2,FALSE),"")</x:f>
      </x:c>
      <x:c r="J457">
        <x:f>IF(A457="","",IF(OR(D457="",E457="",F457=""),1,IF(OR(D457&lt;0,D457&gt;3,E457&lt;0,E457&gt;3,F457&lt;0,F457&gt;3),1,0)))</x:f>
      </x:c>
      <x:c r="K457">
        <x:f>IF(A457="","",IF(G457="",1,0))</x:f>
      </x:c>
      <x:c r="L457">
        <x:f>IF(A457="","",IF(COUNTIFS($A$5:$A$2004,A457,$C$5:$C$2004,C457)&gt;1,1,0))</x:f>
      </x:c>
    </x:row>
    <x:row r="458">
      <x:c r="A458" s="8" t="n"/>
      <x:c r="B458" s="8" t="n"/>
      <x:c r="C458" s="8" t="n"/>
      <x:c r="D458" s="8" t="n"/>
      <x:c r="E458" s="8" t="n"/>
      <x:c r="F458" s="8" t="n"/>
      <x:c r="G458" s="7">
        <x:f>IF(A458="","",IF(01_Parametres!$B$11="Oui",IF((01_Parametres!$B$4*(D458&gt;0)+01_Parametres!$B$5*(E458&gt;0)+01_Parametres!$B$6*(F458&gt;0))=0,"",(01_Parametres!$B$4*IF(D458&gt;0,D458,0)+01_Parametres!$B$5*IF(E458&gt;0,E458,0)+01_Parametres!$B$6*IF(F458&gt;0,F458,0))/(01_Parametres!$B$4*(D458&gt;0)+01_Parametres!$B$5*(E458&gt;0)+01_Parametres!$B$6*(F458&gt;0))),IF(01_Parametres!$B$8=0,"",(01_Parametres!$B$4*D458+01_Parametres!$B$5*E458+01_Parametres!$B$6*F458)/01_Parametres!$B$8)))</x:f>
      </x:c>
      <x:c r="H458">
        <x:f>IFERROR(VLOOKUP(C458,02_Referentiels!$A$20:$D$99,3,FALSE),"")</x:f>
      </x:c>
      <x:c r="I458">
        <x:f>IFERROR(VLOOKUP(B458,02_Referentiels!$A$5:$C$16,2,FALSE),"")</x:f>
      </x:c>
      <x:c r="J458">
        <x:f>IF(A458="","",IF(OR(D458="",E458="",F458=""),1,IF(OR(D458&lt;0,D458&gt;3,E458&lt;0,E458&gt;3,F458&lt;0,F458&gt;3),1,0)))</x:f>
      </x:c>
      <x:c r="K458">
        <x:f>IF(A458="","",IF(G458="",1,0))</x:f>
      </x:c>
      <x:c r="L458">
        <x:f>IF(A458="","",IF(COUNTIFS($A$5:$A$2004,A458,$C$5:$C$2004,C458)&gt;1,1,0))</x:f>
      </x:c>
    </x:row>
    <x:row r="459">
      <x:c r="A459" s="8" t="n"/>
      <x:c r="B459" s="8" t="n"/>
      <x:c r="C459" s="8" t="n"/>
      <x:c r="D459" s="8" t="n"/>
      <x:c r="E459" s="8" t="n"/>
      <x:c r="F459" s="8" t="n"/>
      <x:c r="G459" s="7">
        <x:f>IF(A459="","",IF(01_Parametres!$B$11="Oui",IF((01_Parametres!$B$4*(D459&gt;0)+01_Parametres!$B$5*(E459&gt;0)+01_Parametres!$B$6*(F459&gt;0))=0,"",(01_Parametres!$B$4*IF(D459&gt;0,D459,0)+01_Parametres!$B$5*IF(E459&gt;0,E459,0)+01_Parametres!$B$6*IF(F459&gt;0,F459,0))/(01_Parametres!$B$4*(D459&gt;0)+01_Parametres!$B$5*(E459&gt;0)+01_Parametres!$B$6*(F459&gt;0))),IF(01_Parametres!$B$8=0,"",(01_Parametres!$B$4*D459+01_Parametres!$B$5*E459+01_Parametres!$B$6*F459)/01_Parametres!$B$8)))</x:f>
      </x:c>
      <x:c r="H459">
        <x:f>IFERROR(VLOOKUP(C459,02_Referentiels!$A$20:$D$99,3,FALSE),"")</x:f>
      </x:c>
      <x:c r="I459">
        <x:f>IFERROR(VLOOKUP(B459,02_Referentiels!$A$5:$C$16,2,FALSE),"")</x:f>
      </x:c>
      <x:c r="J459">
        <x:f>IF(A459="","",IF(OR(D459="",E459="",F459=""),1,IF(OR(D459&lt;0,D459&gt;3,E459&lt;0,E459&gt;3,F459&lt;0,F459&gt;3),1,0)))</x:f>
      </x:c>
      <x:c r="K459">
        <x:f>IF(A459="","",IF(G459="",1,0))</x:f>
      </x:c>
      <x:c r="L459">
        <x:f>IF(A459="","",IF(COUNTIFS($A$5:$A$2004,A459,$C$5:$C$2004,C459)&gt;1,1,0))</x:f>
      </x:c>
    </x:row>
    <x:row r="460">
      <x:c r="A460" s="8" t="n"/>
      <x:c r="B460" s="8" t="n"/>
      <x:c r="C460" s="8" t="n"/>
      <x:c r="D460" s="8" t="n"/>
      <x:c r="E460" s="8" t="n"/>
      <x:c r="F460" s="8" t="n"/>
      <x:c r="G460" s="7">
        <x:f>IF(A460="","",IF(01_Parametres!$B$11="Oui",IF((01_Parametres!$B$4*(D460&gt;0)+01_Parametres!$B$5*(E460&gt;0)+01_Parametres!$B$6*(F460&gt;0))=0,"",(01_Parametres!$B$4*IF(D460&gt;0,D460,0)+01_Parametres!$B$5*IF(E460&gt;0,E460,0)+01_Parametres!$B$6*IF(F460&gt;0,F460,0))/(01_Parametres!$B$4*(D460&gt;0)+01_Parametres!$B$5*(E460&gt;0)+01_Parametres!$B$6*(F460&gt;0))),IF(01_Parametres!$B$8=0,"",(01_Parametres!$B$4*D460+01_Parametres!$B$5*E460+01_Parametres!$B$6*F460)/01_Parametres!$B$8)))</x:f>
      </x:c>
      <x:c r="H460">
        <x:f>IFERROR(VLOOKUP(C460,02_Referentiels!$A$20:$D$99,3,FALSE),"")</x:f>
      </x:c>
      <x:c r="I460">
        <x:f>IFERROR(VLOOKUP(B460,02_Referentiels!$A$5:$C$16,2,FALSE),"")</x:f>
      </x:c>
      <x:c r="J460">
        <x:f>IF(A460="","",IF(OR(D460="",E460="",F460=""),1,IF(OR(D460&lt;0,D460&gt;3,E460&lt;0,E460&gt;3,F460&lt;0,F460&gt;3),1,0)))</x:f>
      </x:c>
      <x:c r="K460">
        <x:f>IF(A460="","",IF(G460="",1,0))</x:f>
      </x:c>
      <x:c r="L460">
        <x:f>IF(A460="","",IF(COUNTIFS($A$5:$A$2004,A460,$C$5:$C$2004,C460)&gt;1,1,0))</x:f>
      </x:c>
    </x:row>
    <x:row r="461">
      <x:c r="A461" s="8" t="n"/>
      <x:c r="B461" s="8" t="n"/>
      <x:c r="C461" s="8" t="n"/>
      <x:c r="D461" s="8" t="n"/>
      <x:c r="E461" s="8" t="n"/>
      <x:c r="F461" s="8" t="n"/>
      <x:c r="G461" s="7">
        <x:f>IF(A461="","",IF(01_Parametres!$B$11="Oui",IF((01_Parametres!$B$4*(D461&gt;0)+01_Parametres!$B$5*(E461&gt;0)+01_Parametres!$B$6*(F461&gt;0))=0,"",(01_Parametres!$B$4*IF(D461&gt;0,D461,0)+01_Parametres!$B$5*IF(E461&gt;0,E461,0)+01_Parametres!$B$6*IF(F461&gt;0,F461,0))/(01_Parametres!$B$4*(D461&gt;0)+01_Parametres!$B$5*(E461&gt;0)+01_Parametres!$B$6*(F461&gt;0))),IF(01_Parametres!$B$8=0,"",(01_Parametres!$B$4*D461+01_Parametres!$B$5*E461+01_Parametres!$B$6*F461)/01_Parametres!$B$8)))</x:f>
      </x:c>
      <x:c r="H461">
        <x:f>IFERROR(VLOOKUP(C461,02_Referentiels!$A$20:$D$99,3,FALSE),"")</x:f>
      </x:c>
      <x:c r="I461">
        <x:f>IFERROR(VLOOKUP(B461,02_Referentiels!$A$5:$C$16,2,FALSE),"")</x:f>
      </x:c>
      <x:c r="J461">
        <x:f>IF(A461="","",IF(OR(D461="",E461="",F461=""),1,IF(OR(D461&lt;0,D461&gt;3,E461&lt;0,E461&gt;3,F461&lt;0,F461&gt;3),1,0)))</x:f>
      </x:c>
      <x:c r="K461">
        <x:f>IF(A461="","",IF(G461="",1,0))</x:f>
      </x:c>
      <x:c r="L461">
        <x:f>IF(A461="","",IF(COUNTIFS($A$5:$A$2004,A461,$C$5:$C$2004,C461)&gt;1,1,0))</x:f>
      </x:c>
    </x:row>
    <x:row r="462">
      <x:c r="A462" s="8" t="n"/>
      <x:c r="B462" s="8" t="n"/>
      <x:c r="C462" s="8" t="n"/>
      <x:c r="D462" s="8" t="n"/>
      <x:c r="E462" s="8" t="n"/>
      <x:c r="F462" s="8" t="n"/>
      <x:c r="G462" s="7">
        <x:f>IF(A462="","",IF(01_Parametres!$B$11="Oui",IF((01_Parametres!$B$4*(D462&gt;0)+01_Parametres!$B$5*(E462&gt;0)+01_Parametres!$B$6*(F462&gt;0))=0,"",(01_Parametres!$B$4*IF(D462&gt;0,D462,0)+01_Parametres!$B$5*IF(E462&gt;0,E462,0)+01_Parametres!$B$6*IF(F462&gt;0,F462,0))/(01_Parametres!$B$4*(D462&gt;0)+01_Parametres!$B$5*(E462&gt;0)+01_Parametres!$B$6*(F462&gt;0))),IF(01_Parametres!$B$8=0,"",(01_Parametres!$B$4*D462+01_Parametres!$B$5*E462+01_Parametres!$B$6*F462)/01_Parametres!$B$8)))</x:f>
      </x:c>
      <x:c r="H462">
        <x:f>IFERROR(VLOOKUP(C462,02_Referentiels!$A$20:$D$99,3,FALSE),"")</x:f>
      </x:c>
      <x:c r="I462">
        <x:f>IFERROR(VLOOKUP(B462,02_Referentiels!$A$5:$C$16,2,FALSE),"")</x:f>
      </x:c>
      <x:c r="J462">
        <x:f>IF(A462="","",IF(OR(D462="",E462="",F462=""),1,IF(OR(D462&lt;0,D462&gt;3,E462&lt;0,E462&gt;3,F462&lt;0,F462&gt;3),1,0)))</x:f>
      </x:c>
      <x:c r="K462">
        <x:f>IF(A462="","",IF(G462="",1,0))</x:f>
      </x:c>
      <x:c r="L462">
        <x:f>IF(A462="","",IF(COUNTIFS($A$5:$A$2004,A462,$C$5:$C$2004,C462)&gt;1,1,0))</x:f>
      </x:c>
    </x:row>
    <x:row r="463">
      <x:c r="A463" s="8" t="n"/>
      <x:c r="B463" s="8" t="n"/>
      <x:c r="C463" s="8" t="n"/>
      <x:c r="D463" s="8" t="n"/>
      <x:c r="E463" s="8" t="n"/>
      <x:c r="F463" s="8" t="n"/>
      <x:c r="G463" s="7">
        <x:f>IF(A463="","",IF(01_Parametres!$B$11="Oui",IF((01_Parametres!$B$4*(D463&gt;0)+01_Parametres!$B$5*(E463&gt;0)+01_Parametres!$B$6*(F463&gt;0))=0,"",(01_Parametres!$B$4*IF(D463&gt;0,D463,0)+01_Parametres!$B$5*IF(E463&gt;0,E463,0)+01_Parametres!$B$6*IF(F463&gt;0,F463,0))/(01_Parametres!$B$4*(D463&gt;0)+01_Parametres!$B$5*(E463&gt;0)+01_Parametres!$B$6*(F463&gt;0))),IF(01_Parametres!$B$8=0,"",(01_Parametres!$B$4*D463+01_Parametres!$B$5*E463+01_Parametres!$B$6*F463)/01_Parametres!$B$8)))</x:f>
      </x:c>
      <x:c r="H463">
        <x:f>IFERROR(VLOOKUP(C463,02_Referentiels!$A$20:$D$99,3,FALSE),"")</x:f>
      </x:c>
      <x:c r="I463">
        <x:f>IFERROR(VLOOKUP(B463,02_Referentiels!$A$5:$C$16,2,FALSE),"")</x:f>
      </x:c>
      <x:c r="J463">
        <x:f>IF(A463="","",IF(OR(D463="",E463="",F463=""),1,IF(OR(D463&lt;0,D463&gt;3,E463&lt;0,E463&gt;3,F463&lt;0,F463&gt;3),1,0)))</x:f>
      </x:c>
      <x:c r="K463">
        <x:f>IF(A463="","",IF(G463="",1,0))</x:f>
      </x:c>
      <x:c r="L463">
        <x:f>IF(A463="","",IF(COUNTIFS($A$5:$A$2004,A463,$C$5:$C$2004,C463)&gt;1,1,0))</x:f>
      </x:c>
    </x:row>
    <x:row r="464">
      <x:c r="A464" s="8" t="n"/>
      <x:c r="B464" s="8" t="n"/>
      <x:c r="C464" s="8" t="n"/>
      <x:c r="D464" s="8" t="n"/>
      <x:c r="E464" s="8" t="n"/>
      <x:c r="F464" s="8" t="n"/>
      <x:c r="G464" s="7">
        <x:f>IF(A464="","",IF(01_Parametres!$B$11="Oui",IF((01_Parametres!$B$4*(D464&gt;0)+01_Parametres!$B$5*(E464&gt;0)+01_Parametres!$B$6*(F464&gt;0))=0,"",(01_Parametres!$B$4*IF(D464&gt;0,D464,0)+01_Parametres!$B$5*IF(E464&gt;0,E464,0)+01_Parametres!$B$6*IF(F464&gt;0,F464,0))/(01_Parametres!$B$4*(D464&gt;0)+01_Parametres!$B$5*(E464&gt;0)+01_Parametres!$B$6*(F464&gt;0))),IF(01_Parametres!$B$8=0,"",(01_Parametres!$B$4*D464+01_Parametres!$B$5*E464+01_Parametres!$B$6*F464)/01_Parametres!$B$8)))</x:f>
      </x:c>
      <x:c r="H464">
        <x:f>IFERROR(VLOOKUP(C464,02_Referentiels!$A$20:$D$99,3,FALSE),"")</x:f>
      </x:c>
      <x:c r="I464">
        <x:f>IFERROR(VLOOKUP(B464,02_Referentiels!$A$5:$C$16,2,FALSE),"")</x:f>
      </x:c>
      <x:c r="J464">
        <x:f>IF(A464="","",IF(OR(D464="",E464="",F464=""),1,IF(OR(D464&lt;0,D464&gt;3,E464&lt;0,E464&gt;3,F464&lt;0,F464&gt;3),1,0)))</x:f>
      </x:c>
      <x:c r="K464">
        <x:f>IF(A464="","",IF(G464="",1,0))</x:f>
      </x:c>
      <x:c r="L464">
        <x:f>IF(A464="","",IF(COUNTIFS($A$5:$A$2004,A464,$C$5:$C$2004,C464)&gt;1,1,0))</x:f>
      </x:c>
    </x:row>
    <x:row r="465">
      <x:c r="A465" s="8" t="n"/>
      <x:c r="B465" s="8" t="n"/>
      <x:c r="C465" s="8" t="n"/>
      <x:c r="D465" s="8" t="n"/>
      <x:c r="E465" s="8" t="n"/>
      <x:c r="F465" s="8" t="n"/>
      <x:c r="G465" s="7">
        <x:f>IF(A465="","",IF(01_Parametres!$B$11="Oui",IF((01_Parametres!$B$4*(D465&gt;0)+01_Parametres!$B$5*(E465&gt;0)+01_Parametres!$B$6*(F465&gt;0))=0,"",(01_Parametres!$B$4*IF(D465&gt;0,D465,0)+01_Parametres!$B$5*IF(E465&gt;0,E465,0)+01_Parametres!$B$6*IF(F465&gt;0,F465,0))/(01_Parametres!$B$4*(D465&gt;0)+01_Parametres!$B$5*(E465&gt;0)+01_Parametres!$B$6*(F465&gt;0))),IF(01_Parametres!$B$8=0,"",(01_Parametres!$B$4*D465+01_Parametres!$B$5*E465+01_Parametres!$B$6*F465)/01_Parametres!$B$8)))</x:f>
      </x:c>
      <x:c r="H465">
        <x:f>IFERROR(VLOOKUP(C465,02_Referentiels!$A$20:$D$99,3,FALSE),"")</x:f>
      </x:c>
      <x:c r="I465">
        <x:f>IFERROR(VLOOKUP(B465,02_Referentiels!$A$5:$C$16,2,FALSE),"")</x:f>
      </x:c>
      <x:c r="J465">
        <x:f>IF(A465="","",IF(OR(D465="",E465="",F465=""),1,IF(OR(D465&lt;0,D465&gt;3,E465&lt;0,E465&gt;3,F465&lt;0,F465&gt;3),1,0)))</x:f>
      </x:c>
      <x:c r="K465">
        <x:f>IF(A465="","",IF(G465="",1,0))</x:f>
      </x:c>
      <x:c r="L465">
        <x:f>IF(A465="","",IF(COUNTIFS($A$5:$A$2004,A465,$C$5:$C$2004,C465)&gt;1,1,0))</x:f>
      </x:c>
    </x:row>
    <x:row r="466">
      <x:c r="A466" s="8" t="n"/>
      <x:c r="B466" s="8" t="n"/>
      <x:c r="C466" s="8" t="n"/>
      <x:c r="D466" s="8" t="n"/>
      <x:c r="E466" s="8" t="n"/>
      <x:c r="F466" s="8" t="n"/>
      <x:c r="G466" s="7">
        <x:f>IF(A466="","",IF(01_Parametres!$B$11="Oui",IF((01_Parametres!$B$4*(D466&gt;0)+01_Parametres!$B$5*(E466&gt;0)+01_Parametres!$B$6*(F466&gt;0))=0,"",(01_Parametres!$B$4*IF(D466&gt;0,D466,0)+01_Parametres!$B$5*IF(E466&gt;0,E466,0)+01_Parametres!$B$6*IF(F466&gt;0,F466,0))/(01_Parametres!$B$4*(D466&gt;0)+01_Parametres!$B$5*(E466&gt;0)+01_Parametres!$B$6*(F466&gt;0))),IF(01_Parametres!$B$8=0,"",(01_Parametres!$B$4*D466+01_Parametres!$B$5*E466+01_Parametres!$B$6*F466)/01_Parametres!$B$8)))</x:f>
      </x:c>
      <x:c r="H466">
        <x:f>IFERROR(VLOOKUP(C466,02_Referentiels!$A$20:$D$99,3,FALSE),"")</x:f>
      </x:c>
      <x:c r="I466">
        <x:f>IFERROR(VLOOKUP(B466,02_Referentiels!$A$5:$C$16,2,FALSE),"")</x:f>
      </x:c>
      <x:c r="J466">
        <x:f>IF(A466="","",IF(OR(D466="",E466="",F466=""),1,IF(OR(D466&lt;0,D466&gt;3,E466&lt;0,E466&gt;3,F466&lt;0,F466&gt;3),1,0)))</x:f>
      </x:c>
      <x:c r="K466">
        <x:f>IF(A466="","",IF(G466="",1,0))</x:f>
      </x:c>
      <x:c r="L466">
        <x:f>IF(A466="","",IF(COUNTIFS($A$5:$A$2004,A466,$C$5:$C$2004,C466)&gt;1,1,0))</x:f>
      </x:c>
    </x:row>
    <x:row r="467">
      <x:c r="A467" s="8" t="n"/>
      <x:c r="B467" s="8" t="n"/>
      <x:c r="C467" s="8" t="n"/>
      <x:c r="D467" s="8" t="n"/>
      <x:c r="E467" s="8" t="n"/>
      <x:c r="F467" s="8" t="n"/>
      <x:c r="G467" s="7">
        <x:f>IF(A467="","",IF(01_Parametres!$B$11="Oui",IF((01_Parametres!$B$4*(D467&gt;0)+01_Parametres!$B$5*(E467&gt;0)+01_Parametres!$B$6*(F467&gt;0))=0,"",(01_Parametres!$B$4*IF(D467&gt;0,D467,0)+01_Parametres!$B$5*IF(E467&gt;0,E467,0)+01_Parametres!$B$6*IF(F467&gt;0,F467,0))/(01_Parametres!$B$4*(D467&gt;0)+01_Parametres!$B$5*(E467&gt;0)+01_Parametres!$B$6*(F467&gt;0))),IF(01_Parametres!$B$8=0,"",(01_Parametres!$B$4*D467+01_Parametres!$B$5*E467+01_Parametres!$B$6*F467)/01_Parametres!$B$8)))</x:f>
      </x:c>
      <x:c r="H467">
        <x:f>IFERROR(VLOOKUP(C467,02_Referentiels!$A$20:$D$99,3,FALSE),"")</x:f>
      </x:c>
      <x:c r="I467">
        <x:f>IFERROR(VLOOKUP(B467,02_Referentiels!$A$5:$C$16,2,FALSE),"")</x:f>
      </x:c>
      <x:c r="J467">
        <x:f>IF(A467="","",IF(OR(D467="",E467="",F467=""),1,IF(OR(D467&lt;0,D467&gt;3,E467&lt;0,E467&gt;3,F467&lt;0,F467&gt;3),1,0)))</x:f>
      </x:c>
      <x:c r="K467">
        <x:f>IF(A467="","",IF(G467="",1,0))</x:f>
      </x:c>
      <x:c r="L467">
        <x:f>IF(A467="","",IF(COUNTIFS($A$5:$A$2004,A467,$C$5:$C$2004,C467)&gt;1,1,0))</x:f>
      </x:c>
    </x:row>
    <x:row r="468">
      <x:c r="A468" s="8" t="n"/>
      <x:c r="B468" s="8" t="n"/>
      <x:c r="C468" s="8" t="n"/>
      <x:c r="D468" s="8" t="n"/>
      <x:c r="E468" s="8" t="n"/>
      <x:c r="F468" s="8" t="n"/>
      <x:c r="G468" s="7">
        <x:f>IF(A468="","",IF(01_Parametres!$B$11="Oui",IF((01_Parametres!$B$4*(D468&gt;0)+01_Parametres!$B$5*(E468&gt;0)+01_Parametres!$B$6*(F468&gt;0))=0,"",(01_Parametres!$B$4*IF(D468&gt;0,D468,0)+01_Parametres!$B$5*IF(E468&gt;0,E468,0)+01_Parametres!$B$6*IF(F468&gt;0,F468,0))/(01_Parametres!$B$4*(D468&gt;0)+01_Parametres!$B$5*(E468&gt;0)+01_Parametres!$B$6*(F468&gt;0))),IF(01_Parametres!$B$8=0,"",(01_Parametres!$B$4*D468+01_Parametres!$B$5*E468+01_Parametres!$B$6*F468)/01_Parametres!$B$8)))</x:f>
      </x:c>
      <x:c r="H468">
        <x:f>IFERROR(VLOOKUP(C468,02_Referentiels!$A$20:$D$99,3,FALSE),"")</x:f>
      </x:c>
      <x:c r="I468">
        <x:f>IFERROR(VLOOKUP(B468,02_Referentiels!$A$5:$C$16,2,FALSE),"")</x:f>
      </x:c>
      <x:c r="J468">
        <x:f>IF(A468="","",IF(OR(D468="",E468="",F468=""),1,IF(OR(D468&lt;0,D468&gt;3,E468&lt;0,E468&gt;3,F468&lt;0,F468&gt;3),1,0)))</x:f>
      </x:c>
      <x:c r="K468">
        <x:f>IF(A468="","",IF(G468="",1,0))</x:f>
      </x:c>
      <x:c r="L468">
        <x:f>IF(A468="","",IF(COUNTIFS($A$5:$A$2004,A468,$C$5:$C$2004,C468)&gt;1,1,0))</x:f>
      </x:c>
    </x:row>
    <x:row r="469">
      <x:c r="A469" s="8" t="n"/>
      <x:c r="B469" s="8" t="n"/>
      <x:c r="C469" s="8" t="n"/>
      <x:c r="D469" s="8" t="n"/>
      <x:c r="E469" s="8" t="n"/>
      <x:c r="F469" s="8" t="n"/>
      <x:c r="G469" s="7">
        <x:f>IF(A469="","",IF(01_Parametres!$B$11="Oui",IF((01_Parametres!$B$4*(D469&gt;0)+01_Parametres!$B$5*(E469&gt;0)+01_Parametres!$B$6*(F469&gt;0))=0,"",(01_Parametres!$B$4*IF(D469&gt;0,D469,0)+01_Parametres!$B$5*IF(E469&gt;0,E469,0)+01_Parametres!$B$6*IF(F469&gt;0,F469,0))/(01_Parametres!$B$4*(D469&gt;0)+01_Parametres!$B$5*(E469&gt;0)+01_Parametres!$B$6*(F469&gt;0))),IF(01_Parametres!$B$8=0,"",(01_Parametres!$B$4*D469+01_Parametres!$B$5*E469+01_Parametres!$B$6*F469)/01_Parametres!$B$8)))</x:f>
      </x:c>
      <x:c r="H469">
        <x:f>IFERROR(VLOOKUP(C469,02_Referentiels!$A$20:$D$99,3,FALSE),"")</x:f>
      </x:c>
      <x:c r="I469">
        <x:f>IFERROR(VLOOKUP(B469,02_Referentiels!$A$5:$C$16,2,FALSE),"")</x:f>
      </x:c>
      <x:c r="J469">
        <x:f>IF(A469="","",IF(OR(D469="",E469="",F469=""),1,IF(OR(D469&lt;0,D469&gt;3,E469&lt;0,E469&gt;3,F469&lt;0,F469&gt;3),1,0)))</x:f>
      </x:c>
      <x:c r="K469">
        <x:f>IF(A469="","",IF(G469="",1,0))</x:f>
      </x:c>
      <x:c r="L469">
        <x:f>IF(A469="","",IF(COUNTIFS($A$5:$A$2004,A469,$C$5:$C$2004,C469)&gt;1,1,0))</x:f>
      </x:c>
    </x:row>
    <x:row r="470">
      <x:c r="A470" s="8" t="n"/>
      <x:c r="B470" s="8" t="n"/>
      <x:c r="C470" s="8" t="n"/>
      <x:c r="D470" s="8" t="n"/>
      <x:c r="E470" s="8" t="n"/>
      <x:c r="F470" s="8" t="n"/>
      <x:c r="G470" s="7">
        <x:f>IF(A470="","",IF(01_Parametres!$B$11="Oui",IF((01_Parametres!$B$4*(D470&gt;0)+01_Parametres!$B$5*(E470&gt;0)+01_Parametres!$B$6*(F470&gt;0))=0,"",(01_Parametres!$B$4*IF(D470&gt;0,D470,0)+01_Parametres!$B$5*IF(E470&gt;0,E470,0)+01_Parametres!$B$6*IF(F470&gt;0,F470,0))/(01_Parametres!$B$4*(D470&gt;0)+01_Parametres!$B$5*(E470&gt;0)+01_Parametres!$B$6*(F470&gt;0))),IF(01_Parametres!$B$8=0,"",(01_Parametres!$B$4*D470+01_Parametres!$B$5*E470+01_Parametres!$B$6*F470)/01_Parametres!$B$8)))</x:f>
      </x:c>
      <x:c r="H470">
        <x:f>IFERROR(VLOOKUP(C470,02_Referentiels!$A$20:$D$99,3,FALSE),"")</x:f>
      </x:c>
      <x:c r="I470">
        <x:f>IFERROR(VLOOKUP(B470,02_Referentiels!$A$5:$C$16,2,FALSE),"")</x:f>
      </x:c>
      <x:c r="J470">
        <x:f>IF(A470="","",IF(OR(D470="",E470="",F470=""),1,IF(OR(D470&lt;0,D470&gt;3,E470&lt;0,E470&gt;3,F470&lt;0,F470&gt;3),1,0)))</x:f>
      </x:c>
      <x:c r="K470">
        <x:f>IF(A470="","",IF(G470="",1,0))</x:f>
      </x:c>
      <x:c r="L470">
        <x:f>IF(A470="","",IF(COUNTIFS($A$5:$A$2004,A470,$C$5:$C$2004,C470)&gt;1,1,0))</x:f>
      </x:c>
    </x:row>
    <x:row r="471">
      <x:c r="A471" s="8" t="n"/>
      <x:c r="B471" s="8" t="n"/>
      <x:c r="C471" s="8" t="n"/>
      <x:c r="D471" s="8" t="n"/>
      <x:c r="E471" s="8" t="n"/>
      <x:c r="F471" s="8" t="n"/>
      <x:c r="G471" s="7">
        <x:f>IF(A471="","",IF(01_Parametres!$B$11="Oui",IF((01_Parametres!$B$4*(D471&gt;0)+01_Parametres!$B$5*(E471&gt;0)+01_Parametres!$B$6*(F471&gt;0))=0,"",(01_Parametres!$B$4*IF(D471&gt;0,D471,0)+01_Parametres!$B$5*IF(E471&gt;0,E471,0)+01_Parametres!$B$6*IF(F471&gt;0,F471,0))/(01_Parametres!$B$4*(D471&gt;0)+01_Parametres!$B$5*(E471&gt;0)+01_Parametres!$B$6*(F471&gt;0))),IF(01_Parametres!$B$8=0,"",(01_Parametres!$B$4*D471+01_Parametres!$B$5*E471+01_Parametres!$B$6*F471)/01_Parametres!$B$8)))</x:f>
      </x:c>
      <x:c r="H471">
        <x:f>IFERROR(VLOOKUP(C471,02_Referentiels!$A$20:$D$99,3,FALSE),"")</x:f>
      </x:c>
      <x:c r="I471">
        <x:f>IFERROR(VLOOKUP(B471,02_Referentiels!$A$5:$C$16,2,FALSE),"")</x:f>
      </x:c>
      <x:c r="J471">
        <x:f>IF(A471="","",IF(OR(D471="",E471="",F471=""),1,IF(OR(D471&lt;0,D471&gt;3,E471&lt;0,E471&gt;3,F471&lt;0,F471&gt;3),1,0)))</x:f>
      </x:c>
      <x:c r="K471">
        <x:f>IF(A471="","",IF(G471="",1,0))</x:f>
      </x:c>
      <x:c r="L471">
        <x:f>IF(A471="","",IF(COUNTIFS($A$5:$A$2004,A471,$C$5:$C$2004,C471)&gt;1,1,0))</x:f>
      </x:c>
    </x:row>
    <x:row r="472">
      <x:c r="A472" s="8" t="n"/>
      <x:c r="B472" s="8" t="n"/>
      <x:c r="C472" s="8" t="n"/>
      <x:c r="D472" s="8" t="n"/>
      <x:c r="E472" s="8" t="n"/>
      <x:c r="F472" s="8" t="n"/>
      <x:c r="G472" s="7">
        <x:f>IF(A472="","",IF(01_Parametres!$B$11="Oui",IF((01_Parametres!$B$4*(D472&gt;0)+01_Parametres!$B$5*(E472&gt;0)+01_Parametres!$B$6*(F472&gt;0))=0,"",(01_Parametres!$B$4*IF(D472&gt;0,D472,0)+01_Parametres!$B$5*IF(E472&gt;0,E472,0)+01_Parametres!$B$6*IF(F472&gt;0,F472,0))/(01_Parametres!$B$4*(D472&gt;0)+01_Parametres!$B$5*(E472&gt;0)+01_Parametres!$B$6*(F472&gt;0))),IF(01_Parametres!$B$8=0,"",(01_Parametres!$B$4*D472+01_Parametres!$B$5*E472+01_Parametres!$B$6*F472)/01_Parametres!$B$8)))</x:f>
      </x:c>
      <x:c r="H472">
        <x:f>IFERROR(VLOOKUP(C472,02_Referentiels!$A$20:$D$99,3,FALSE),"")</x:f>
      </x:c>
      <x:c r="I472">
        <x:f>IFERROR(VLOOKUP(B472,02_Referentiels!$A$5:$C$16,2,FALSE),"")</x:f>
      </x:c>
      <x:c r="J472">
        <x:f>IF(A472="","",IF(OR(D472="",E472="",F472=""),1,IF(OR(D472&lt;0,D472&gt;3,E472&lt;0,E472&gt;3,F472&lt;0,F472&gt;3),1,0)))</x:f>
      </x:c>
      <x:c r="K472">
        <x:f>IF(A472="","",IF(G472="",1,0))</x:f>
      </x:c>
      <x:c r="L472">
        <x:f>IF(A472="","",IF(COUNTIFS($A$5:$A$2004,A472,$C$5:$C$2004,C472)&gt;1,1,0))</x:f>
      </x:c>
    </x:row>
    <x:row r="473">
      <x:c r="A473" s="8" t="n"/>
      <x:c r="B473" s="8" t="n"/>
      <x:c r="C473" s="8" t="n"/>
      <x:c r="D473" s="8" t="n"/>
      <x:c r="E473" s="8" t="n"/>
      <x:c r="F473" s="8" t="n"/>
      <x:c r="G473" s="7">
        <x:f>IF(A473="","",IF(01_Parametres!$B$11="Oui",IF((01_Parametres!$B$4*(D473&gt;0)+01_Parametres!$B$5*(E473&gt;0)+01_Parametres!$B$6*(F473&gt;0))=0,"",(01_Parametres!$B$4*IF(D473&gt;0,D473,0)+01_Parametres!$B$5*IF(E473&gt;0,E473,0)+01_Parametres!$B$6*IF(F473&gt;0,F473,0))/(01_Parametres!$B$4*(D473&gt;0)+01_Parametres!$B$5*(E473&gt;0)+01_Parametres!$B$6*(F473&gt;0))),IF(01_Parametres!$B$8=0,"",(01_Parametres!$B$4*D473+01_Parametres!$B$5*E473+01_Parametres!$B$6*F473)/01_Parametres!$B$8)))</x:f>
      </x:c>
      <x:c r="H473">
        <x:f>IFERROR(VLOOKUP(C473,02_Referentiels!$A$20:$D$99,3,FALSE),"")</x:f>
      </x:c>
      <x:c r="I473">
        <x:f>IFERROR(VLOOKUP(B473,02_Referentiels!$A$5:$C$16,2,FALSE),"")</x:f>
      </x:c>
      <x:c r="J473">
        <x:f>IF(A473="","",IF(OR(D473="",E473="",F473=""),1,IF(OR(D473&lt;0,D473&gt;3,E473&lt;0,E473&gt;3,F473&lt;0,F473&gt;3),1,0)))</x:f>
      </x:c>
      <x:c r="K473">
        <x:f>IF(A473="","",IF(G473="",1,0))</x:f>
      </x:c>
      <x:c r="L473">
        <x:f>IF(A473="","",IF(COUNTIFS($A$5:$A$2004,A473,$C$5:$C$2004,C473)&gt;1,1,0))</x:f>
      </x:c>
    </x:row>
    <x:row r="474">
      <x:c r="A474" s="8" t="n"/>
      <x:c r="B474" s="8" t="n"/>
      <x:c r="C474" s="8" t="n"/>
      <x:c r="D474" s="8" t="n"/>
      <x:c r="E474" s="8" t="n"/>
      <x:c r="F474" s="8" t="n"/>
      <x:c r="G474" s="7">
        <x:f>IF(A474="","",IF(01_Parametres!$B$11="Oui",IF((01_Parametres!$B$4*(D474&gt;0)+01_Parametres!$B$5*(E474&gt;0)+01_Parametres!$B$6*(F474&gt;0))=0,"",(01_Parametres!$B$4*IF(D474&gt;0,D474,0)+01_Parametres!$B$5*IF(E474&gt;0,E474,0)+01_Parametres!$B$6*IF(F474&gt;0,F474,0))/(01_Parametres!$B$4*(D474&gt;0)+01_Parametres!$B$5*(E474&gt;0)+01_Parametres!$B$6*(F474&gt;0))),IF(01_Parametres!$B$8=0,"",(01_Parametres!$B$4*D474+01_Parametres!$B$5*E474+01_Parametres!$B$6*F474)/01_Parametres!$B$8)))</x:f>
      </x:c>
      <x:c r="H474">
        <x:f>IFERROR(VLOOKUP(C474,02_Referentiels!$A$20:$D$99,3,FALSE),"")</x:f>
      </x:c>
      <x:c r="I474">
        <x:f>IFERROR(VLOOKUP(B474,02_Referentiels!$A$5:$C$16,2,FALSE),"")</x:f>
      </x:c>
      <x:c r="J474">
        <x:f>IF(A474="","",IF(OR(D474="",E474="",F474=""),1,IF(OR(D474&lt;0,D474&gt;3,E474&lt;0,E474&gt;3,F474&lt;0,F474&gt;3),1,0)))</x:f>
      </x:c>
      <x:c r="K474">
        <x:f>IF(A474="","",IF(G474="",1,0))</x:f>
      </x:c>
      <x:c r="L474">
        <x:f>IF(A474="","",IF(COUNTIFS($A$5:$A$2004,A474,$C$5:$C$2004,C474)&gt;1,1,0))</x:f>
      </x:c>
    </x:row>
    <x:row r="475">
      <x:c r="A475" s="8" t="n"/>
      <x:c r="B475" s="8" t="n"/>
      <x:c r="C475" s="8" t="n"/>
      <x:c r="D475" s="8" t="n"/>
      <x:c r="E475" s="8" t="n"/>
      <x:c r="F475" s="8" t="n"/>
      <x:c r="G475" s="7">
        <x:f>IF(A475="","",IF(01_Parametres!$B$11="Oui",IF((01_Parametres!$B$4*(D475&gt;0)+01_Parametres!$B$5*(E475&gt;0)+01_Parametres!$B$6*(F475&gt;0))=0,"",(01_Parametres!$B$4*IF(D475&gt;0,D475,0)+01_Parametres!$B$5*IF(E475&gt;0,E475,0)+01_Parametres!$B$6*IF(F475&gt;0,F475,0))/(01_Parametres!$B$4*(D475&gt;0)+01_Parametres!$B$5*(E475&gt;0)+01_Parametres!$B$6*(F475&gt;0))),IF(01_Parametres!$B$8=0,"",(01_Parametres!$B$4*D475+01_Parametres!$B$5*E475+01_Parametres!$B$6*F475)/01_Parametres!$B$8)))</x:f>
      </x:c>
      <x:c r="H475">
        <x:f>IFERROR(VLOOKUP(C475,02_Referentiels!$A$20:$D$99,3,FALSE),"")</x:f>
      </x:c>
      <x:c r="I475">
        <x:f>IFERROR(VLOOKUP(B475,02_Referentiels!$A$5:$C$16,2,FALSE),"")</x:f>
      </x:c>
      <x:c r="J475">
        <x:f>IF(A475="","",IF(OR(D475="",E475="",F475=""),1,IF(OR(D475&lt;0,D475&gt;3,E475&lt;0,E475&gt;3,F475&lt;0,F475&gt;3),1,0)))</x:f>
      </x:c>
      <x:c r="K475">
        <x:f>IF(A475="","",IF(G475="",1,0))</x:f>
      </x:c>
      <x:c r="L475">
        <x:f>IF(A475="","",IF(COUNTIFS($A$5:$A$2004,A475,$C$5:$C$2004,C475)&gt;1,1,0))</x:f>
      </x:c>
    </x:row>
    <x:row r="476">
      <x:c r="A476" s="8" t="n"/>
      <x:c r="B476" s="8" t="n"/>
      <x:c r="C476" s="8" t="n"/>
      <x:c r="D476" s="8" t="n"/>
      <x:c r="E476" s="8" t="n"/>
      <x:c r="F476" s="8" t="n"/>
      <x:c r="G476" s="7">
        <x:f>IF(A476="","",IF(01_Parametres!$B$11="Oui",IF((01_Parametres!$B$4*(D476&gt;0)+01_Parametres!$B$5*(E476&gt;0)+01_Parametres!$B$6*(F476&gt;0))=0,"",(01_Parametres!$B$4*IF(D476&gt;0,D476,0)+01_Parametres!$B$5*IF(E476&gt;0,E476,0)+01_Parametres!$B$6*IF(F476&gt;0,F476,0))/(01_Parametres!$B$4*(D476&gt;0)+01_Parametres!$B$5*(E476&gt;0)+01_Parametres!$B$6*(F476&gt;0))),IF(01_Parametres!$B$8=0,"",(01_Parametres!$B$4*D476+01_Parametres!$B$5*E476+01_Parametres!$B$6*F476)/01_Parametres!$B$8)))</x:f>
      </x:c>
      <x:c r="H476">
        <x:f>IFERROR(VLOOKUP(C476,02_Referentiels!$A$20:$D$99,3,FALSE),"")</x:f>
      </x:c>
      <x:c r="I476">
        <x:f>IFERROR(VLOOKUP(B476,02_Referentiels!$A$5:$C$16,2,FALSE),"")</x:f>
      </x:c>
      <x:c r="J476">
        <x:f>IF(A476="","",IF(OR(D476="",E476="",F476=""),1,IF(OR(D476&lt;0,D476&gt;3,E476&lt;0,E476&gt;3,F476&lt;0,F476&gt;3),1,0)))</x:f>
      </x:c>
      <x:c r="K476">
        <x:f>IF(A476="","",IF(G476="",1,0))</x:f>
      </x:c>
      <x:c r="L476">
        <x:f>IF(A476="","",IF(COUNTIFS($A$5:$A$2004,A476,$C$5:$C$2004,C476)&gt;1,1,0))</x:f>
      </x:c>
    </x:row>
    <x:row r="477">
      <x:c r="A477" s="8" t="n"/>
      <x:c r="B477" s="8" t="n"/>
      <x:c r="C477" s="8" t="n"/>
      <x:c r="D477" s="8" t="n"/>
      <x:c r="E477" s="8" t="n"/>
      <x:c r="F477" s="8" t="n"/>
      <x:c r="G477" s="7">
        <x:f>IF(A477="","",IF(01_Parametres!$B$11="Oui",IF((01_Parametres!$B$4*(D477&gt;0)+01_Parametres!$B$5*(E477&gt;0)+01_Parametres!$B$6*(F477&gt;0))=0,"",(01_Parametres!$B$4*IF(D477&gt;0,D477,0)+01_Parametres!$B$5*IF(E477&gt;0,E477,0)+01_Parametres!$B$6*IF(F477&gt;0,F477,0))/(01_Parametres!$B$4*(D477&gt;0)+01_Parametres!$B$5*(E477&gt;0)+01_Parametres!$B$6*(F477&gt;0))),IF(01_Parametres!$B$8=0,"",(01_Parametres!$B$4*D477+01_Parametres!$B$5*E477+01_Parametres!$B$6*F477)/01_Parametres!$B$8)))</x:f>
      </x:c>
      <x:c r="H477">
        <x:f>IFERROR(VLOOKUP(C477,02_Referentiels!$A$20:$D$99,3,FALSE),"")</x:f>
      </x:c>
      <x:c r="I477">
        <x:f>IFERROR(VLOOKUP(B477,02_Referentiels!$A$5:$C$16,2,FALSE),"")</x:f>
      </x:c>
      <x:c r="J477">
        <x:f>IF(A477="","",IF(OR(D477="",E477="",F477=""),1,IF(OR(D477&lt;0,D477&gt;3,E477&lt;0,E477&gt;3,F477&lt;0,F477&gt;3),1,0)))</x:f>
      </x:c>
      <x:c r="K477">
        <x:f>IF(A477="","",IF(G477="",1,0))</x:f>
      </x:c>
      <x:c r="L477">
        <x:f>IF(A477="","",IF(COUNTIFS($A$5:$A$2004,A477,$C$5:$C$2004,C477)&gt;1,1,0))</x:f>
      </x:c>
    </x:row>
    <x:row r="478">
      <x:c r="A478" s="8" t="n"/>
      <x:c r="B478" s="8" t="n"/>
      <x:c r="C478" s="8" t="n"/>
      <x:c r="D478" s="8" t="n"/>
      <x:c r="E478" s="8" t="n"/>
      <x:c r="F478" s="8" t="n"/>
      <x:c r="G478" s="7">
        <x:f>IF(A478="","",IF(01_Parametres!$B$11="Oui",IF((01_Parametres!$B$4*(D478&gt;0)+01_Parametres!$B$5*(E478&gt;0)+01_Parametres!$B$6*(F478&gt;0))=0,"",(01_Parametres!$B$4*IF(D478&gt;0,D478,0)+01_Parametres!$B$5*IF(E478&gt;0,E478,0)+01_Parametres!$B$6*IF(F478&gt;0,F478,0))/(01_Parametres!$B$4*(D478&gt;0)+01_Parametres!$B$5*(E478&gt;0)+01_Parametres!$B$6*(F478&gt;0))),IF(01_Parametres!$B$8=0,"",(01_Parametres!$B$4*D478+01_Parametres!$B$5*E478+01_Parametres!$B$6*F478)/01_Parametres!$B$8)))</x:f>
      </x:c>
      <x:c r="H478">
        <x:f>IFERROR(VLOOKUP(C478,02_Referentiels!$A$20:$D$99,3,FALSE),"")</x:f>
      </x:c>
      <x:c r="I478">
        <x:f>IFERROR(VLOOKUP(B478,02_Referentiels!$A$5:$C$16,2,FALSE),"")</x:f>
      </x:c>
      <x:c r="J478">
        <x:f>IF(A478="","",IF(OR(D478="",E478="",F478=""),1,IF(OR(D478&lt;0,D478&gt;3,E478&lt;0,E478&gt;3,F478&lt;0,F478&gt;3),1,0)))</x:f>
      </x:c>
      <x:c r="K478">
        <x:f>IF(A478="","",IF(G478="",1,0))</x:f>
      </x:c>
      <x:c r="L478">
        <x:f>IF(A478="","",IF(COUNTIFS($A$5:$A$2004,A478,$C$5:$C$2004,C478)&gt;1,1,0))</x:f>
      </x:c>
    </x:row>
    <x:row r="479">
      <x:c r="A479" s="8" t="n"/>
      <x:c r="B479" s="8" t="n"/>
      <x:c r="C479" s="8" t="n"/>
      <x:c r="D479" s="8" t="n"/>
      <x:c r="E479" s="8" t="n"/>
      <x:c r="F479" s="8" t="n"/>
      <x:c r="G479" s="7">
        <x:f>IF(A479="","",IF(01_Parametres!$B$11="Oui",IF((01_Parametres!$B$4*(D479&gt;0)+01_Parametres!$B$5*(E479&gt;0)+01_Parametres!$B$6*(F479&gt;0))=0,"",(01_Parametres!$B$4*IF(D479&gt;0,D479,0)+01_Parametres!$B$5*IF(E479&gt;0,E479,0)+01_Parametres!$B$6*IF(F479&gt;0,F479,0))/(01_Parametres!$B$4*(D479&gt;0)+01_Parametres!$B$5*(E479&gt;0)+01_Parametres!$B$6*(F479&gt;0))),IF(01_Parametres!$B$8=0,"",(01_Parametres!$B$4*D479+01_Parametres!$B$5*E479+01_Parametres!$B$6*F479)/01_Parametres!$B$8)))</x:f>
      </x:c>
      <x:c r="H479">
        <x:f>IFERROR(VLOOKUP(C479,02_Referentiels!$A$20:$D$99,3,FALSE),"")</x:f>
      </x:c>
      <x:c r="I479">
        <x:f>IFERROR(VLOOKUP(B479,02_Referentiels!$A$5:$C$16,2,FALSE),"")</x:f>
      </x:c>
      <x:c r="J479">
        <x:f>IF(A479="","",IF(OR(D479="",E479="",F479=""),1,IF(OR(D479&lt;0,D479&gt;3,E479&lt;0,E479&gt;3,F479&lt;0,F479&gt;3),1,0)))</x:f>
      </x:c>
      <x:c r="K479">
        <x:f>IF(A479="","",IF(G479="",1,0))</x:f>
      </x:c>
      <x:c r="L479">
        <x:f>IF(A479="","",IF(COUNTIFS($A$5:$A$2004,A479,$C$5:$C$2004,C479)&gt;1,1,0))</x:f>
      </x:c>
    </x:row>
    <x:row r="480">
      <x:c r="A480" s="8" t="n"/>
      <x:c r="B480" s="8" t="n"/>
      <x:c r="C480" s="8" t="n"/>
      <x:c r="D480" s="8" t="n"/>
      <x:c r="E480" s="8" t="n"/>
      <x:c r="F480" s="8" t="n"/>
      <x:c r="G480" s="7">
        <x:f>IF(A480="","",IF(01_Parametres!$B$11="Oui",IF((01_Parametres!$B$4*(D480&gt;0)+01_Parametres!$B$5*(E480&gt;0)+01_Parametres!$B$6*(F480&gt;0))=0,"",(01_Parametres!$B$4*IF(D480&gt;0,D480,0)+01_Parametres!$B$5*IF(E480&gt;0,E480,0)+01_Parametres!$B$6*IF(F480&gt;0,F480,0))/(01_Parametres!$B$4*(D480&gt;0)+01_Parametres!$B$5*(E480&gt;0)+01_Parametres!$B$6*(F480&gt;0))),IF(01_Parametres!$B$8=0,"",(01_Parametres!$B$4*D480+01_Parametres!$B$5*E480+01_Parametres!$B$6*F480)/01_Parametres!$B$8)))</x:f>
      </x:c>
      <x:c r="H480">
        <x:f>IFERROR(VLOOKUP(C480,02_Referentiels!$A$20:$D$99,3,FALSE),"")</x:f>
      </x:c>
      <x:c r="I480">
        <x:f>IFERROR(VLOOKUP(B480,02_Referentiels!$A$5:$C$16,2,FALSE),"")</x:f>
      </x:c>
      <x:c r="J480">
        <x:f>IF(A480="","",IF(OR(D480="",E480="",F480=""),1,IF(OR(D480&lt;0,D480&gt;3,E480&lt;0,E480&gt;3,F480&lt;0,F480&gt;3),1,0)))</x:f>
      </x:c>
      <x:c r="K480">
        <x:f>IF(A480="","",IF(G480="",1,0))</x:f>
      </x:c>
      <x:c r="L480">
        <x:f>IF(A480="","",IF(COUNTIFS($A$5:$A$2004,A480,$C$5:$C$2004,C480)&gt;1,1,0))</x:f>
      </x:c>
    </x:row>
    <x:row r="481">
      <x:c r="A481" s="8" t="n"/>
      <x:c r="B481" s="8" t="n"/>
      <x:c r="C481" s="8" t="n"/>
      <x:c r="D481" s="8" t="n"/>
      <x:c r="E481" s="8" t="n"/>
      <x:c r="F481" s="8" t="n"/>
      <x:c r="G481" s="7">
        <x:f>IF(A481="","",IF(01_Parametres!$B$11="Oui",IF((01_Parametres!$B$4*(D481&gt;0)+01_Parametres!$B$5*(E481&gt;0)+01_Parametres!$B$6*(F481&gt;0))=0,"",(01_Parametres!$B$4*IF(D481&gt;0,D481,0)+01_Parametres!$B$5*IF(E481&gt;0,E481,0)+01_Parametres!$B$6*IF(F481&gt;0,F481,0))/(01_Parametres!$B$4*(D481&gt;0)+01_Parametres!$B$5*(E481&gt;0)+01_Parametres!$B$6*(F481&gt;0))),IF(01_Parametres!$B$8=0,"",(01_Parametres!$B$4*D481+01_Parametres!$B$5*E481+01_Parametres!$B$6*F481)/01_Parametres!$B$8)))</x:f>
      </x:c>
      <x:c r="H481">
        <x:f>IFERROR(VLOOKUP(C481,02_Referentiels!$A$20:$D$99,3,FALSE),"")</x:f>
      </x:c>
      <x:c r="I481">
        <x:f>IFERROR(VLOOKUP(B481,02_Referentiels!$A$5:$C$16,2,FALSE),"")</x:f>
      </x:c>
      <x:c r="J481">
        <x:f>IF(A481="","",IF(OR(D481="",E481="",F481=""),1,IF(OR(D481&lt;0,D481&gt;3,E481&lt;0,E481&gt;3,F481&lt;0,F481&gt;3),1,0)))</x:f>
      </x:c>
      <x:c r="K481">
        <x:f>IF(A481="","",IF(G481="",1,0))</x:f>
      </x:c>
      <x:c r="L481">
        <x:f>IF(A481="","",IF(COUNTIFS($A$5:$A$2004,A481,$C$5:$C$2004,C481)&gt;1,1,0))</x:f>
      </x:c>
    </x:row>
    <x:row r="482">
      <x:c r="A482" s="8" t="n"/>
      <x:c r="B482" s="8" t="n"/>
      <x:c r="C482" s="8" t="n"/>
      <x:c r="D482" s="8" t="n"/>
      <x:c r="E482" s="8" t="n"/>
      <x:c r="F482" s="8" t="n"/>
      <x:c r="G482" s="7">
        <x:f>IF(A482="","",IF(01_Parametres!$B$11="Oui",IF((01_Parametres!$B$4*(D482&gt;0)+01_Parametres!$B$5*(E482&gt;0)+01_Parametres!$B$6*(F482&gt;0))=0,"",(01_Parametres!$B$4*IF(D482&gt;0,D482,0)+01_Parametres!$B$5*IF(E482&gt;0,E482,0)+01_Parametres!$B$6*IF(F482&gt;0,F482,0))/(01_Parametres!$B$4*(D482&gt;0)+01_Parametres!$B$5*(E482&gt;0)+01_Parametres!$B$6*(F482&gt;0))),IF(01_Parametres!$B$8=0,"",(01_Parametres!$B$4*D482+01_Parametres!$B$5*E482+01_Parametres!$B$6*F482)/01_Parametres!$B$8)))</x:f>
      </x:c>
      <x:c r="H482">
        <x:f>IFERROR(VLOOKUP(C482,02_Referentiels!$A$20:$D$99,3,FALSE),"")</x:f>
      </x:c>
      <x:c r="I482">
        <x:f>IFERROR(VLOOKUP(B482,02_Referentiels!$A$5:$C$16,2,FALSE),"")</x:f>
      </x:c>
      <x:c r="J482">
        <x:f>IF(A482="","",IF(OR(D482="",E482="",F482=""),1,IF(OR(D482&lt;0,D482&gt;3,E482&lt;0,E482&gt;3,F482&lt;0,F482&gt;3),1,0)))</x:f>
      </x:c>
      <x:c r="K482">
        <x:f>IF(A482="","",IF(G482="",1,0))</x:f>
      </x:c>
      <x:c r="L482">
        <x:f>IF(A482="","",IF(COUNTIFS($A$5:$A$2004,A482,$C$5:$C$2004,C482)&gt;1,1,0))</x:f>
      </x:c>
    </x:row>
    <x:row r="483">
      <x:c r="A483" s="8" t="n"/>
      <x:c r="B483" s="8" t="n"/>
      <x:c r="C483" s="8" t="n"/>
      <x:c r="D483" s="8" t="n"/>
      <x:c r="E483" s="8" t="n"/>
      <x:c r="F483" s="8" t="n"/>
      <x:c r="G483" s="7">
        <x:f>IF(A483="","",IF(01_Parametres!$B$11="Oui",IF((01_Parametres!$B$4*(D483&gt;0)+01_Parametres!$B$5*(E483&gt;0)+01_Parametres!$B$6*(F483&gt;0))=0,"",(01_Parametres!$B$4*IF(D483&gt;0,D483,0)+01_Parametres!$B$5*IF(E483&gt;0,E483,0)+01_Parametres!$B$6*IF(F483&gt;0,F483,0))/(01_Parametres!$B$4*(D483&gt;0)+01_Parametres!$B$5*(E483&gt;0)+01_Parametres!$B$6*(F483&gt;0))),IF(01_Parametres!$B$8=0,"",(01_Parametres!$B$4*D483+01_Parametres!$B$5*E483+01_Parametres!$B$6*F483)/01_Parametres!$B$8)))</x:f>
      </x:c>
      <x:c r="H483">
        <x:f>IFERROR(VLOOKUP(C483,02_Referentiels!$A$20:$D$99,3,FALSE),"")</x:f>
      </x:c>
      <x:c r="I483">
        <x:f>IFERROR(VLOOKUP(B483,02_Referentiels!$A$5:$C$16,2,FALSE),"")</x:f>
      </x:c>
      <x:c r="J483">
        <x:f>IF(A483="","",IF(OR(D483="",E483="",F483=""),1,IF(OR(D483&lt;0,D483&gt;3,E483&lt;0,E483&gt;3,F483&lt;0,F483&gt;3),1,0)))</x:f>
      </x:c>
      <x:c r="K483">
        <x:f>IF(A483="","",IF(G483="",1,0))</x:f>
      </x:c>
      <x:c r="L483">
        <x:f>IF(A483="","",IF(COUNTIFS($A$5:$A$2004,A483,$C$5:$C$2004,C483)&gt;1,1,0))</x:f>
      </x:c>
    </x:row>
    <x:row r="484">
      <x:c r="A484" s="8" t="n"/>
      <x:c r="B484" s="8" t="n"/>
      <x:c r="C484" s="8" t="n"/>
      <x:c r="D484" s="8" t="n"/>
      <x:c r="E484" s="8" t="n"/>
      <x:c r="F484" s="8" t="n"/>
      <x:c r="G484" s="7">
        <x:f>IF(A484="","",IF(01_Parametres!$B$11="Oui",IF((01_Parametres!$B$4*(D484&gt;0)+01_Parametres!$B$5*(E484&gt;0)+01_Parametres!$B$6*(F484&gt;0))=0,"",(01_Parametres!$B$4*IF(D484&gt;0,D484,0)+01_Parametres!$B$5*IF(E484&gt;0,E484,0)+01_Parametres!$B$6*IF(F484&gt;0,F484,0))/(01_Parametres!$B$4*(D484&gt;0)+01_Parametres!$B$5*(E484&gt;0)+01_Parametres!$B$6*(F484&gt;0))),IF(01_Parametres!$B$8=0,"",(01_Parametres!$B$4*D484+01_Parametres!$B$5*E484+01_Parametres!$B$6*F484)/01_Parametres!$B$8)))</x:f>
      </x:c>
      <x:c r="H484">
        <x:f>IFERROR(VLOOKUP(C484,02_Referentiels!$A$20:$D$99,3,FALSE),"")</x:f>
      </x:c>
      <x:c r="I484">
        <x:f>IFERROR(VLOOKUP(B484,02_Referentiels!$A$5:$C$16,2,FALSE),"")</x:f>
      </x:c>
      <x:c r="J484">
        <x:f>IF(A484="","",IF(OR(D484="",E484="",F484=""),1,IF(OR(D484&lt;0,D484&gt;3,E484&lt;0,E484&gt;3,F484&lt;0,F484&gt;3),1,0)))</x:f>
      </x:c>
      <x:c r="K484">
        <x:f>IF(A484="","",IF(G484="",1,0))</x:f>
      </x:c>
      <x:c r="L484">
        <x:f>IF(A484="","",IF(COUNTIFS($A$5:$A$2004,A484,$C$5:$C$2004,C484)&gt;1,1,0))</x:f>
      </x:c>
    </x:row>
    <x:row r="485">
      <x:c r="A485" s="8" t="n"/>
      <x:c r="B485" s="8" t="n"/>
      <x:c r="C485" s="8" t="n"/>
      <x:c r="D485" s="8" t="n"/>
      <x:c r="E485" s="8" t="n"/>
      <x:c r="F485" s="8" t="n"/>
      <x:c r="G485" s="7">
        <x:f>IF(A485="","",IF(01_Parametres!$B$11="Oui",IF((01_Parametres!$B$4*(D485&gt;0)+01_Parametres!$B$5*(E485&gt;0)+01_Parametres!$B$6*(F485&gt;0))=0,"",(01_Parametres!$B$4*IF(D485&gt;0,D485,0)+01_Parametres!$B$5*IF(E485&gt;0,E485,0)+01_Parametres!$B$6*IF(F485&gt;0,F485,0))/(01_Parametres!$B$4*(D485&gt;0)+01_Parametres!$B$5*(E485&gt;0)+01_Parametres!$B$6*(F485&gt;0))),IF(01_Parametres!$B$8=0,"",(01_Parametres!$B$4*D485+01_Parametres!$B$5*E485+01_Parametres!$B$6*F485)/01_Parametres!$B$8)))</x:f>
      </x:c>
      <x:c r="H485">
        <x:f>IFERROR(VLOOKUP(C485,02_Referentiels!$A$20:$D$99,3,FALSE),"")</x:f>
      </x:c>
      <x:c r="I485">
        <x:f>IFERROR(VLOOKUP(B485,02_Referentiels!$A$5:$C$16,2,FALSE),"")</x:f>
      </x:c>
      <x:c r="J485">
        <x:f>IF(A485="","",IF(OR(D485="",E485="",F485=""),1,IF(OR(D485&lt;0,D485&gt;3,E485&lt;0,E485&gt;3,F485&lt;0,F485&gt;3),1,0)))</x:f>
      </x:c>
      <x:c r="K485">
        <x:f>IF(A485="","",IF(G485="",1,0))</x:f>
      </x:c>
      <x:c r="L485">
        <x:f>IF(A485="","",IF(COUNTIFS($A$5:$A$2004,A485,$C$5:$C$2004,C485)&gt;1,1,0))</x:f>
      </x:c>
    </x:row>
    <x:row r="486">
      <x:c r="A486" s="8" t="n"/>
      <x:c r="B486" s="8" t="n"/>
      <x:c r="C486" s="8" t="n"/>
      <x:c r="D486" s="8" t="n"/>
      <x:c r="E486" s="8" t="n"/>
      <x:c r="F486" s="8" t="n"/>
      <x:c r="G486" s="7">
        <x:f>IF(A486="","",IF(01_Parametres!$B$11="Oui",IF((01_Parametres!$B$4*(D486&gt;0)+01_Parametres!$B$5*(E486&gt;0)+01_Parametres!$B$6*(F486&gt;0))=0,"",(01_Parametres!$B$4*IF(D486&gt;0,D486,0)+01_Parametres!$B$5*IF(E486&gt;0,E486,0)+01_Parametres!$B$6*IF(F486&gt;0,F486,0))/(01_Parametres!$B$4*(D486&gt;0)+01_Parametres!$B$5*(E486&gt;0)+01_Parametres!$B$6*(F486&gt;0))),IF(01_Parametres!$B$8=0,"",(01_Parametres!$B$4*D486+01_Parametres!$B$5*E486+01_Parametres!$B$6*F486)/01_Parametres!$B$8)))</x:f>
      </x:c>
      <x:c r="H486">
        <x:f>IFERROR(VLOOKUP(C486,02_Referentiels!$A$20:$D$99,3,FALSE),"")</x:f>
      </x:c>
      <x:c r="I486">
        <x:f>IFERROR(VLOOKUP(B486,02_Referentiels!$A$5:$C$16,2,FALSE),"")</x:f>
      </x:c>
      <x:c r="J486">
        <x:f>IF(A486="","",IF(OR(D486="",E486="",F486=""),1,IF(OR(D486&lt;0,D486&gt;3,E486&lt;0,E486&gt;3,F486&lt;0,F486&gt;3),1,0)))</x:f>
      </x:c>
      <x:c r="K486">
        <x:f>IF(A486="","",IF(G486="",1,0))</x:f>
      </x:c>
      <x:c r="L486">
        <x:f>IF(A486="","",IF(COUNTIFS($A$5:$A$2004,A486,$C$5:$C$2004,C486)&gt;1,1,0))</x:f>
      </x:c>
    </x:row>
    <x:row r="487">
      <x:c r="A487" s="8" t="n"/>
      <x:c r="B487" s="8" t="n"/>
      <x:c r="C487" s="8" t="n"/>
      <x:c r="D487" s="8" t="n"/>
      <x:c r="E487" s="8" t="n"/>
      <x:c r="F487" s="8" t="n"/>
      <x:c r="G487" s="7">
        <x:f>IF(A487="","",IF(01_Parametres!$B$11="Oui",IF((01_Parametres!$B$4*(D487&gt;0)+01_Parametres!$B$5*(E487&gt;0)+01_Parametres!$B$6*(F487&gt;0))=0,"",(01_Parametres!$B$4*IF(D487&gt;0,D487,0)+01_Parametres!$B$5*IF(E487&gt;0,E487,0)+01_Parametres!$B$6*IF(F487&gt;0,F487,0))/(01_Parametres!$B$4*(D487&gt;0)+01_Parametres!$B$5*(E487&gt;0)+01_Parametres!$B$6*(F487&gt;0))),IF(01_Parametres!$B$8=0,"",(01_Parametres!$B$4*D487+01_Parametres!$B$5*E487+01_Parametres!$B$6*F487)/01_Parametres!$B$8)))</x:f>
      </x:c>
      <x:c r="H487">
        <x:f>IFERROR(VLOOKUP(C487,02_Referentiels!$A$20:$D$99,3,FALSE),"")</x:f>
      </x:c>
      <x:c r="I487">
        <x:f>IFERROR(VLOOKUP(B487,02_Referentiels!$A$5:$C$16,2,FALSE),"")</x:f>
      </x:c>
      <x:c r="J487">
        <x:f>IF(A487="","",IF(OR(D487="",E487="",F487=""),1,IF(OR(D487&lt;0,D487&gt;3,E487&lt;0,E487&gt;3,F487&lt;0,F487&gt;3),1,0)))</x:f>
      </x:c>
      <x:c r="K487">
        <x:f>IF(A487="","",IF(G487="",1,0))</x:f>
      </x:c>
      <x:c r="L487">
        <x:f>IF(A487="","",IF(COUNTIFS($A$5:$A$2004,A487,$C$5:$C$2004,C487)&gt;1,1,0))</x:f>
      </x:c>
    </x:row>
    <x:row r="488">
      <x:c r="A488" s="8" t="n"/>
      <x:c r="B488" s="8" t="n"/>
      <x:c r="C488" s="8" t="n"/>
      <x:c r="D488" s="8" t="n"/>
      <x:c r="E488" s="8" t="n"/>
      <x:c r="F488" s="8" t="n"/>
      <x:c r="G488" s="7">
        <x:f>IF(A488="","",IF(01_Parametres!$B$11="Oui",IF((01_Parametres!$B$4*(D488&gt;0)+01_Parametres!$B$5*(E488&gt;0)+01_Parametres!$B$6*(F488&gt;0))=0,"",(01_Parametres!$B$4*IF(D488&gt;0,D488,0)+01_Parametres!$B$5*IF(E488&gt;0,E488,0)+01_Parametres!$B$6*IF(F488&gt;0,F488,0))/(01_Parametres!$B$4*(D488&gt;0)+01_Parametres!$B$5*(E488&gt;0)+01_Parametres!$B$6*(F488&gt;0))),IF(01_Parametres!$B$8=0,"",(01_Parametres!$B$4*D488+01_Parametres!$B$5*E488+01_Parametres!$B$6*F488)/01_Parametres!$B$8)))</x:f>
      </x:c>
      <x:c r="H488">
        <x:f>IFERROR(VLOOKUP(C488,02_Referentiels!$A$20:$D$99,3,FALSE),"")</x:f>
      </x:c>
      <x:c r="I488">
        <x:f>IFERROR(VLOOKUP(B488,02_Referentiels!$A$5:$C$16,2,FALSE),"")</x:f>
      </x:c>
      <x:c r="J488">
        <x:f>IF(A488="","",IF(OR(D488="",E488="",F488=""),1,IF(OR(D488&lt;0,D488&gt;3,E488&lt;0,E488&gt;3,F488&lt;0,F488&gt;3),1,0)))</x:f>
      </x:c>
      <x:c r="K488">
        <x:f>IF(A488="","",IF(G488="",1,0))</x:f>
      </x:c>
      <x:c r="L488">
        <x:f>IF(A488="","",IF(COUNTIFS($A$5:$A$2004,A488,$C$5:$C$2004,C488)&gt;1,1,0))</x:f>
      </x:c>
    </x:row>
    <x:row r="489">
      <x:c r="A489" s="8" t="n"/>
      <x:c r="B489" s="8" t="n"/>
      <x:c r="C489" s="8" t="n"/>
      <x:c r="D489" s="8" t="n"/>
      <x:c r="E489" s="8" t="n"/>
      <x:c r="F489" s="8" t="n"/>
      <x:c r="G489" s="7">
        <x:f>IF(A489="","",IF(01_Parametres!$B$11="Oui",IF((01_Parametres!$B$4*(D489&gt;0)+01_Parametres!$B$5*(E489&gt;0)+01_Parametres!$B$6*(F489&gt;0))=0,"",(01_Parametres!$B$4*IF(D489&gt;0,D489,0)+01_Parametres!$B$5*IF(E489&gt;0,E489,0)+01_Parametres!$B$6*IF(F489&gt;0,F489,0))/(01_Parametres!$B$4*(D489&gt;0)+01_Parametres!$B$5*(E489&gt;0)+01_Parametres!$B$6*(F489&gt;0))),IF(01_Parametres!$B$8=0,"",(01_Parametres!$B$4*D489+01_Parametres!$B$5*E489+01_Parametres!$B$6*F489)/01_Parametres!$B$8)))</x:f>
      </x:c>
      <x:c r="H489">
        <x:f>IFERROR(VLOOKUP(C489,02_Referentiels!$A$20:$D$99,3,FALSE),"")</x:f>
      </x:c>
      <x:c r="I489">
        <x:f>IFERROR(VLOOKUP(B489,02_Referentiels!$A$5:$C$16,2,FALSE),"")</x:f>
      </x:c>
      <x:c r="J489">
        <x:f>IF(A489="","",IF(OR(D489="",E489="",F489=""),1,IF(OR(D489&lt;0,D489&gt;3,E489&lt;0,E489&gt;3,F489&lt;0,F489&gt;3),1,0)))</x:f>
      </x:c>
      <x:c r="K489">
        <x:f>IF(A489="","",IF(G489="",1,0))</x:f>
      </x:c>
      <x:c r="L489">
        <x:f>IF(A489="","",IF(COUNTIFS($A$5:$A$2004,A489,$C$5:$C$2004,C489)&gt;1,1,0))</x:f>
      </x:c>
    </x:row>
    <x:row r="490">
      <x:c r="A490" s="8" t="n"/>
      <x:c r="B490" s="8" t="n"/>
      <x:c r="C490" s="8" t="n"/>
      <x:c r="D490" s="8" t="n"/>
      <x:c r="E490" s="8" t="n"/>
      <x:c r="F490" s="8" t="n"/>
      <x:c r="G490" s="7">
        <x:f>IF(A490="","",IF(01_Parametres!$B$11="Oui",IF((01_Parametres!$B$4*(D490&gt;0)+01_Parametres!$B$5*(E490&gt;0)+01_Parametres!$B$6*(F490&gt;0))=0,"",(01_Parametres!$B$4*IF(D490&gt;0,D490,0)+01_Parametres!$B$5*IF(E490&gt;0,E490,0)+01_Parametres!$B$6*IF(F490&gt;0,F490,0))/(01_Parametres!$B$4*(D490&gt;0)+01_Parametres!$B$5*(E490&gt;0)+01_Parametres!$B$6*(F490&gt;0))),IF(01_Parametres!$B$8=0,"",(01_Parametres!$B$4*D490+01_Parametres!$B$5*E490+01_Parametres!$B$6*F490)/01_Parametres!$B$8)))</x:f>
      </x:c>
      <x:c r="H490">
        <x:f>IFERROR(VLOOKUP(C490,02_Referentiels!$A$20:$D$99,3,FALSE),"")</x:f>
      </x:c>
      <x:c r="I490">
        <x:f>IFERROR(VLOOKUP(B490,02_Referentiels!$A$5:$C$16,2,FALSE),"")</x:f>
      </x:c>
      <x:c r="J490">
        <x:f>IF(A490="","",IF(OR(D490="",E490="",F490=""),1,IF(OR(D490&lt;0,D490&gt;3,E490&lt;0,E490&gt;3,F490&lt;0,F490&gt;3),1,0)))</x:f>
      </x:c>
      <x:c r="K490">
        <x:f>IF(A490="","",IF(G490="",1,0))</x:f>
      </x:c>
      <x:c r="L490">
        <x:f>IF(A490="","",IF(COUNTIFS($A$5:$A$2004,A490,$C$5:$C$2004,C490)&gt;1,1,0))</x:f>
      </x:c>
    </x:row>
    <x:row r="491">
      <x:c r="A491" s="8" t="n"/>
      <x:c r="B491" s="8" t="n"/>
      <x:c r="C491" s="8" t="n"/>
      <x:c r="D491" s="8" t="n"/>
      <x:c r="E491" s="8" t="n"/>
      <x:c r="F491" s="8" t="n"/>
      <x:c r="G491" s="7">
        <x:f>IF(A491="","",IF(01_Parametres!$B$11="Oui",IF((01_Parametres!$B$4*(D491&gt;0)+01_Parametres!$B$5*(E491&gt;0)+01_Parametres!$B$6*(F491&gt;0))=0,"",(01_Parametres!$B$4*IF(D491&gt;0,D491,0)+01_Parametres!$B$5*IF(E491&gt;0,E491,0)+01_Parametres!$B$6*IF(F491&gt;0,F491,0))/(01_Parametres!$B$4*(D491&gt;0)+01_Parametres!$B$5*(E491&gt;0)+01_Parametres!$B$6*(F491&gt;0))),IF(01_Parametres!$B$8=0,"",(01_Parametres!$B$4*D491+01_Parametres!$B$5*E491+01_Parametres!$B$6*F491)/01_Parametres!$B$8)))</x:f>
      </x:c>
      <x:c r="H491">
        <x:f>IFERROR(VLOOKUP(C491,02_Referentiels!$A$20:$D$99,3,FALSE),"")</x:f>
      </x:c>
      <x:c r="I491">
        <x:f>IFERROR(VLOOKUP(B491,02_Referentiels!$A$5:$C$16,2,FALSE),"")</x:f>
      </x:c>
      <x:c r="J491">
        <x:f>IF(A491="","",IF(OR(D491="",E491="",F491=""),1,IF(OR(D491&lt;0,D491&gt;3,E491&lt;0,E491&gt;3,F491&lt;0,F491&gt;3),1,0)))</x:f>
      </x:c>
      <x:c r="K491">
        <x:f>IF(A491="","",IF(G491="",1,0))</x:f>
      </x:c>
      <x:c r="L491">
        <x:f>IF(A491="","",IF(COUNTIFS($A$5:$A$2004,A491,$C$5:$C$2004,C491)&gt;1,1,0))</x:f>
      </x:c>
    </x:row>
    <x:row r="492">
      <x:c r="A492" s="8" t="n"/>
      <x:c r="B492" s="8" t="n"/>
      <x:c r="C492" s="8" t="n"/>
      <x:c r="D492" s="8" t="n"/>
      <x:c r="E492" s="8" t="n"/>
      <x:c r="F492" s="8" t="n"/>
      <x:c r="G492" s="7">
        <x:f>IF(A492="","",IF(01_Parametres!$B$11="Oui",IF((01_Parametres!$B$4*(D492&gt;0)+01_Parametres!$B$5*(E492&gt;0)+01_Parametres!$B$6*(F492&gt;0))=0,"",(01_Parametres!$B$4*IF(D492&gt;0,D492,0)+01_Parametres!$B$5*IF(E492&gt;0,E492,0)+01_Parametres!$B$6*IF(F492&gt;0,F492,0))/(01_Parametres!$B$4*(D492&gt;0)+01_Parametres!$B$5*(E492&gt;0)+01_Parametres!$B$6*(F492&gt;0))),IF(01_Parametres!$B$8=0,"",(01_Parametres!$B$4*D492+01_Parametres!$B$5*E492+01_Parametres!$B$6*F492)/01_Parametres!$B$8)))</x:f>
      </x:c>
      <x:c r="H492">
        <x:f>IFERROR(VLOOKUP(C492,02_Referentiels!$A$20:$D$99,3,FALSE),"")</x:f>
      </x:c>
      <x:c r="I492">
        <x:f>IFERROR(VLOOKUP(B492,02_Referentiels!$A$5:$C$16,2,FALSE),"")</x:f>
      </x:c>
      <x:c r="J492">
        <x:f>IF(A492="","",IF(OR(D492="",E492="",F492=""),1,IF(OR(D492&lt;0,D492&gt;3,E492&lt;0,E492&gt;3,F492&lt;0,F492&gt;3),1,0)))</x:f>
      </x:c>
      <x:c r="K492">
        <x:f>IF(A492="","",IF(G492="",1,0))</x:f>
      </x:c>
      <x:c r="L492">
        <x:f>IF(A492="","",IF(COUNTIFS($A$5:$A$2004,A492,$C$5:$C$2004,C492)&gt;1,1,0))</x:f>
      </x:c>
    </x:row>
    <x:row r="493">
      <x:c r="A493" s="8" t="n"/>
      <x:c r="B493" s="8" t="n"/>
      <x:c r="C493" s="8" t="n"/>
      <x:c r="D493" s="8" t="n"/>
      <x:c r="E493" s="8" t="n"/>
      <x:c r="F493" s="8" t="n"/>
      <x:c r="G493" s="7">
        <x:f>IF(A493="","",IF(01_Parametres!$B$11="Oui",IF((01_Parametres!$B$4*(D493&gt;0)+01_Parametres!$B$5*(E493&gt;0)+01_Parametres!$B$6*(F493&gt;0))=0,"",(01_Parametres!$B$4*IF(D493&gt;0,D493,0)+01_Parametres!$B$5*IF(E493&gt;0,E493,0)+01_Parametres!$B$6*IF(F493&gt;0,F493,0))/(01_Parametres!$B$4*(D493&gt;0)+01_Parametres!$B$5*(E493&gt;0)+01_Parametres!$B$6*(F493&gt;0))),IF(01_Parametres!$B$8=0,"",(01_Parametres!$B$4*D493+01_Parametres!$B$5*E493+01_Parametres!$B$6*F493)/01_Parametres!$B$8)))</x:f>
      </x:c>
      <x:c r="H493">
        <x:f>IFERROR(VLOOKUP(C493,02_Referentiels!$A$20:$D$99,3,FALSE),"")</x:f>
      </x:c>
      <x:c r="I493">
        <x:f>IFERROR(VLOOKUP(B493,02_Referentiels!$A$5:$C$16,2,FALSE),"")</x:f>
      </x:c>
      <x:c r="J493">
        <x:f>IF(A493="","",IF(OR(D493="",E493="",F493=""),1,IF(OR(D493&lt;0,D493&gt;3,E493&lt;0,E493&gt;3,F493&lt;0,F493&gt;3),1,0)))</x:f>
      </x:c>
      <x:c r="K493">
        <x:f>IF(A493="","",IF(G493="",1,0))</x:f>
      </x:c>
      <x:c r="L493">
        <x:f>IF(A493="","",IF(COUNTIFS($A$5:$A$2004,A493,$C$5:$C$2004,C493)&gt;1,1,0))</x:f>
      </x:c>
    </x:row>
    <x:row r="494">
      <x:c r="A494" s="8" t="n"/>
      <x:c r="B494" s="8" t="n"/>
      <x:c r="C494" s="8" t="n"/>
      <x:c r="D494" s="8" t="n"/>
      <x:c r="E494" s="8" t="n"/>
      <x:c r="F494" s="8" t="n"/>
      <x:c r="G494" s="7">
        <x:f>IF(A494="","",IF(01_Parametres!$B$11="Oui",IF((01_Parametres!$B$4*(D494&gt;0)+01_Parametres!$B$5*(E494&gt;0)+01_Parametres!$B$6*(F494&gt;0))=0,"",(01_Parametres!$B$4*IF(D494&gt;0,D494,0)+01_Parametres!$B$5*IF(E494&gt;0,E494,0)+01_Parametres!$B$6*IF(F494&gt;0,F494,0))/(01_Parametres!$B$4*(D494&gt;0)+01_Parametres!$B$5*(E494&gt;0)+01_Parametres!$B$6*(F494&gt;0))),IF(01_Parametres!$B$8=0,"",(01_Parametres!$B$4*D494+01_Parametres!$B$5*E494+01_Parametres!$B$6*F494)/01_Parametres!$B$8)))</x:f>
      </x:c>
      <x:c r="H494">
        <x:f>IFERROR(VLOOKUP(C494,02_Referentiels!$A$20:$D$99,3,FALSE),"")</x:f>
      </x:c>
      <x:c r="I494">
        <x:f>IFERROR(VLOOKUP(B494,02_Referentiels!$A$5:$C$16,2,FALSE),"")</x:f>
      </x:c>
      <x:c r="J494">
        <x:f>IF(A494="","",IF(OR(D494="",E494="",F494=""),1,IF(OR(D494&lt;0,D494&gt;3,E494&lt;0,E494&gt;3,F494&lt;0,F494&gt;3),1,0)))</x:f>
      </x:c>
      <x:c r="K494">
        <x:f>IF(A494="","",IF(G494="",1,0))</x:f>
      </x:c>
      <x:c r="L494">
        <x:f>IF(A494="","",IF(COUNTIFS($A$5:$A$2004,A494,$C$5:$C$2004,C494)&gt;1,1,0))</x:f>
      </x:c>
    </x:row>
    <x:row r="495">
      <x:c r="A495" s="8" t="n"/>
      <x:c r="B495" s="8" t="n"/>
      <x:c r="C495" s="8" t="n"/>
      <x:c r="D495" s="8" t="n"/>
      <x:c r="E495" s="8" t="n"/>
      <x:c r="F495" s="8" t="n"/>
      <x:c r="G495" s="7">
        <x:f>IF(A495="","",IF(01_Parametres!$B$11="Oui",IF((01_Parametres!$B$4*(D495&gt;0)+01_Parametres!$B$5*(E495&gt;0)+01_Parametres!$B$6*(F495&gt;0))=0,"",(01_Parametres!$B$4*IF(D495&gt;0,D495,0)+01_Parametres!$B$5*IF(E495&gt;0,E495,0)+01_Parametres!$B$6*IF(F495&gt;0,F495,0))/(01_Parametres!$B$4*(D495&gt;0)+01_Parametres!$B$5*(E495&gt;0)+01_Parametres!$B$6*(F495&gt;0))),IF(01_Parametres!$B$8=0,"",(01_Parametres!$B$4*D495+01_Parametres!$B$5*E495+01_Parametres!$B$6*F495)/01_Parametres!$B$8)))</x:f>
      </x:c>
      <x:c r="H495">
        <x:f>IFERROR(VLOOKUP(C495,02_Referentiels!$A$20:$D$99,3,FALSE),"")</x:f>
      </x:c>
      <x:c r="I495">
        <x:f>IFERROR(VLOOKUP(B495,02_Referentiels!$A$5:$C$16,2,FALSE),"")</x:f>
      </x:c>
      <x:c r="J495">
        <x:f>IF(A495="","",IF(OR(D495="",E495="",F495=""),1,IF(OR(D495&lt;0,D495&gt;3,E495&lt;0,E495&gt;3,F495&lt;0,F495&gt;3),1,0)))</x:f>
      </x:c>
      <x:c r="K495">
        <x:f>IF(A495="","",IF(G495="",1,0))</x:f>
      </x:c>
      <x:c r="L495">
        <x:f>IF(A495="","",IF(COUNTIFS($A$5:$A$2004,A495,$C$5:$C$2004,C495)&gt;1,1,0))</x:f>
      </x:c>
    </x:row>
    <x:row r="496">
      <x:c r="A496" s="8" t="n"/>
      <x:c r="B496" s="8" t="n"/>
      <x:c r="C496" s="8" t="n"/>
      <x:c r="D496" s="8" t="n"/>
      <x:c r="E496" s="8" t="n"/>
      <x:c r="F496" s="8" t="n"/>
      <x:c r="G496" s="7">
        <x:f>IF(A496="","",IF(01_Parametres!$B$11="Oui",IF((01_Parametres!$B$4*(D496&gt;0)+01_Parametres!$B$5*(E496&gt;0)+01_Parametres!$B$6*(F496&gt;0))=0,"",(01_Parametres!$B$4*IF(D496&gt;0,D496,0)+01_Parametres!$B$5*IF(E496&gt;0,E496,0)+01_Parametres!$B$6*IF(F496&gt;0,F496,0))/(01_Parametres!$B$4*(D496&gt;0)+01_Parametres!$B$5*(E496&gt;0)+01_Parametres!$B$6*(F496&gt;0))),IF(01_Parametres!$B$8=0,"",(01_Parametres!$B$4*D496+01_Parametres!$B$5*E496+01_Parametres!$B$6*F496)/01_Parametres!$B$8)))</x:f>
      </x:c>
      <x:c r="H496">
        <x:f>IFERROR(VLOOKUP(C496,02_Referentiels!$A$20:$D$99,3,FALSE),"")</x:f>
      </x:c>
      <x:c r="I496">
        <x:f>IFERROR(VLOOKUP(B496,02_Referentiels!$A$5:$C$16,2,FALSE),"")</x:f>
      </x:c>
      <x:c r="J496">
        <x:f>IF(A496="","",IF(OR(D496="",E496="",F496=""),1,IF(OR(D496&lt;0,D496&gt;3,E496&lt;0,E496&gt;3,F496&lt;0,F496&gt;3),1,0)))</x:f>
      </x:c>
      <x:c r="K496">
        <x:f>IF(A496="","",IF(G496="",1,0))</x:f>
      </x:c>
      <x:c r="L496">
        <x:f>IF(A496="","",IF(COUNTIFS($A$5:$A$2004,A496,$C$5:$C$2004,C496)&gt;1,1,0))</x:f>
      </x:c>
    </x:row>
    <x:row r="497">
      <x:c r="A497" s="8" t="n"/>
      <x:c r="B497" s="8" t="n"/>
      <x:c r="C497" s="8" t="n"/>
      <x:c r="D497" s="8" t="n"/>
      <x:c r="E497" s="8" t="n"/>
      <x:c r="F497" s="8" t="n"/>
      <x:c r="G497" s="7">
        <x:f>IF(A497="","",IF(01_Parametres!$B$11="Oui",IF((01_Parametres!$B$4*(D497&gt;0)+01_Parametres!$B$5*(E497&gt;0)+01_Parametres!$B$6*(F497&gt;0))=0,"",(01_Parametres!$B$4*IF(D497&gt;0,D497,0)+01_Parametres!$B$5*IF(E497&gt;0,E497,0)+01_Parametres!$B$6*IF(F497&gt;0,F497,0))/(01_Parametres!$B$4*(D497&gt;0)+01_Parametres!$B$5*(E497&gt;0)+01_Parametres!$B$6*(F497&gt;0))),IF(01_Parametres!$B$8=0,"",(01_Parametres!$B$4*D497+01_Parametres!$B$5*E497+01_Parametres!$B$6*F497)/01_Parametres!$B$8)))</x:f>
      </x:c>
      <x:c r="H497">
        <x:f>IFERROR(VLOOKUP(C497,02_Referentiels!$A$20:$D$99,3,FALSE),"")</x:f>
      </x:c>
      <x:c r="I497">
        <x:f>IFERROR(VLOOKUP(B497,02_Referentiels!$A$5:$C$16,2,FALSE),"")</x:f>
      </x:c>
      <x:c r="J497">
        <x:f>IF(A497="","",IF(OR(D497="",E497="",F497=""),1,IF(OR(D497&lt;0,D497&gt;3,E497&lt;0,E497&gt;3,F497&lt;0,F497&gt;3),1,0)))</x:f>
      </x:c>
      <x:c r="K497">
        <x:f>IF(A497="","",IF(G497="",1,0))</x:f>
      </x:c>
      <x:c r="L497">
        <x:f>IF(A497="","",IF(COUNTIFS($A$5:$A$2004,A497,$C$5:$C$2004,C497)&gt;1,1,0))</x:f>
      </x:c>
    </x:row>
    <x:row r="498">
      <x:c r="A498" s="8" t="n"/>
      <x:c r="B498" s="8" t="n"/>
      <x:c r="C498" s="8" t="n"/>
      <x:c r="D498" s="8" t="n"/>
      <x:c r="E498" s="8" t="n"/>
      <x:c r="F498" s="8" t="n"/>
      <x:c r="G498" s="7">
        <x:f>IF(A498="","",IF(01_Parametres!$B$11="Oui",IF((01_Parametres!$B$4*(D498&gt;0)+01_Parametres!$B$5*(E498&gt;0)+01_Parametres!$B$6*(F498&gt;0))=0,"",(01_Parametres!$B$4*IF(D498&gt;0,D498,0)+01_Parametres!$B$5*IF(E498&gt;0,E498,0)+01_Parametres!$B$6*IF(F498&gt;0,F498,0))/(01_Parametres!$B$4*(D498&gt;0)+01_Parametres!$B$5*(E498&gt;0)+01_Parametres!$B$6*(F498&gt;0))),IF(01_Parametres!$B$8=0,"",(01_Parametres!$B$4*D498+01_Parametres!$B$5*E498+01_Parametres!$B$6*F498)/01_Parametres!$B$8)))</x:f>
      </x:c>
      <x:c r="H498">
        <x:f>IFERROR(VLOOKUP(C498,02_Referentiels!$A$20:$D$99,3,FALSE),"")</x:f>
      </x:c>
      <x:c r="I498">
        <x:f>IFERROR(VLOOKUP(B498,02_Referentiels!$A$5:$C$16,2,FALSE),"")</x:f>
      </x:c>
      <x:c r="J498">
        <x:f>IF(A498="","",IF(OR(D498="",E498="",F498=""),1,IF(OR(D498&lt;0,D498&gt;3,E498&lt;0,E498&gt;3,F498&lt;0,F498&gt;3),1,0)))</x:f>
      </x:c>
      <x:c r="K498">
        <x:f>IF(A498="","",IF(G498="",1,0))</x:f>
      </x:c>
      <x:c r="L498">
        <x:f>IF(A498="","",IF(COUNTIFS($A$5:$A$2004,A498,$C$5:$C$2004,C498)&gt;1,1,0))</x:f>
      </x:c>
    </x:row>
    <x:row r="499">
      <x:c r="A499" s="8" t="n"/>
      <x:c r="B499" s="8" t="n"/>
      <x:c r="C499" s="8" t="n"/>
      <x:c r="D499" s="8" t="n"/>
      <x:c r="E499" s="8" t="n"/>
      <x:c r="F499" s="8" t="n"/>
      <x:c r="G499" s="7">
        <x:f>IF(A499="","",IF(01_Parametres!$B$11="Oui",IF((01_Parametres!$B$4*(D499&gt;0)+01_Parametres!$B$5*(E499&gt;0)+01_Parametres!$B$6*(F499&gt;0))=0,"",(01_Parametres!$B$4*IF(D499&gt;0,D499,0)+01_Parametres!$B$5*IF(E499&gt;0,E499,0)+01_Parametres!$B$6*IF(F499&gt;0,F499,0))/(01_Parametres!$B$4*(D499&gt;0)+01_Parametres!$B$5*(E499&gt;0)+01_Parametres!$B$6*(F499&gt;0))),IF(01_Parametres!$B$8=0,"",(01_Parametres!$B$4*D499+01_Parametres!$B$5*E499+01_Parametres!$B$6*F499)/01_Parametres!$B$8)))</x:f>
      </x:c>
      <x:c r="H499">
        <x:f>IFERROR(VLOOKUP(C499,02_Referentiels!$A$20:$D$99,3,FALSE),"")</x:f>
      </x:c>
      <x:c r="I499">
        <x:f>IFERROR(VLOOKUP(B499,02_Referentiels!$A$5:$C$16,2,FALSE),"")</x:f>
      </x:c>
      <x:c r="J499">
        <x:f>IF(A499="","",IF(OR(D499="",E499="",F499=""),1,IF(OR(D499&lt;0,D499&gt;3,E499&lt;0,E499&gt;3,F499&lt;0,F499&gt;3),1,0)))</x:f>
      </x:c>
      <x:c r="K499">
        <x:f>IF(A499="","",IF(G499="",1,0))</x:f>
      </x:c>
      <x:c r="L499">
        <x:f>IF(A499="","",IF(COUNTIFS($A$5:$A$2004,A499,$C$5:$C$2004,C499)&gt;1,1,0))</x:f>
      </x:c>
    </x:row>
    <x:row r="500">
      <x:c r="A500" s="8" t="n"/>
      <x:c r="B500" s="8" t="n"/>
      <x:c r="C500" s="8" t="n"/>
      <x:c r="D500" s="8" t="n"/>
      <x:c r="E500" s="8" t="n"/>
      <x:c r="F500" s="8" t="n"/>
      <x:c r="G500" s="7">
        <x:f>IF(A500="","",IF(01_Parametres!$B$11="Oui",IF((01_Parametres!$B$4*(D500&gt;0)+01_Parametres!$B$5*(E500&gt;0)+01_Parametres!$B$6*(F500&gt;0))=0,"",(01_Parametres!$B$4*IF(D500&gt;0,D500,0)+01_Parametres!$B$5*IF(E500&gt;0,E500,0)+01_Parametres!$B$6*IF(F500&gt;0,F500,0))/(01_Parametres!$B$4*(D500&gt;0)+01_Parametres!$B$5*(E500&gt;0)+01_Parametres!$B$6*(F500&gt;0))),IF(01_Parametres!$B$8=0,"",(01_Parametres!$B$4*D500+01_Parametres!$B$5*E500+01_Parametres!$B$6*F500)/01_Parametres!$B$8)))</x:f>
      </x:c>
      <x:c r="H500">
        <x:f>IFERROR(VLOOKUP(C500,02_Referentiels!$A$20:$D$99,3,FALSE),"")</x:f>
      </x:c>
      <x:c r="I500">
        <x:f>IFERROR(VLOOKUP(B500,02_Referentiels!$A$5:$C$16,2,FALSE),"")</x:f>
      </x:c>
      <x:c r="J500">
        <x:f>IF(A500="","",IF(OR(D500="",E500="",F500=""),1,IF(OR(D500&lt;0,D500&gt;3,E500&lt;0,E500&gt;3,F500&lt;0,F500&gt;3),1,0)))</x:f>
      </x:c>
      <x:c r="K500">
        <x:f>IF(A500="","",IF(G500="",1,0))</x:f>
      </x:c>
      <x:c r="L500">
        <x:f>IF(A500="","",IF(COUNTIFS($A$5:$A$2004,A500,$C$5:$C$2004,C500)&gt;1,1,0))</x:f>
      </x:c>
    </x:row>
    <x:row r="501">
      <x:c r="A501" s="8" t="n"/>
      <x:c r="B501" s="8" t="n"/>
      <x:c r="C501" s="8" t="n"/>
      <x:c r="D501" s="8" t="n"/>
      <x:c r="E501" s="8" t="n"/>
      <x:c r="F501" s="8" t="n"/>
      <x:c r="G501" s="7">
        <x:f>IF(A501="","",IF(01_Parametres!$B$11="Oui",IF((01_Parametres!$B$4*(D501&gt;0)+01_Parametres!$B$5*(E501&gt;0)+01_Parametres!$B$6*(F501&gt;0))=0,"",(01_Parametres!$B$4*IF(D501&gt;0,D501,0)+01_Parametres!$B$5*IF(E501&gt;0,E501,0)+01_Parametres!$B$6*IF(F501&gt;0,F501,0))/(01_Parametres!$B$4*(D501&gt;0)+01_Parametres!$B$5*(E501&gt;0)+01_Parametres!$B$6*(F501&gt;0))),IF(01_Parametres!$B$8=0,"",(01_Parametres!$B$4*D501+01_Parametres!$B$5*E501+01_Parametres!$B$6*F501)/01_Parametres!$B$8)))</x:f>
      </x:c>
      <x:c r="H501">
        <x:f>IFERROR(VLOOKUP(C501,02_Referentiels!$A$20:$D$99,3,FALSE),"")</x:f>
      </x:c>
      <x:c r="I501">
        <x:f>IFERROR(VLOOKUP(B501,02_Referentiels!$A$5:$C$16,2,FALSE),"")</x:f>
      </x:c>
      <x:c r="J501">
        <x:f>IF(A501="","",IF(OR(D501="",E501="",F501=""),1,IF(OR(D501&lt;0,D501&gt;3,E501&lt;0,E501&gt;3,F501&lt;0,F501&gt;3),1,0)))</x:f>
      </x:c>
      <x:c r="K501">
        <x:f>IF(A501="","",IF(G501="",1,0))</x:f>
      </x:c>
      <x:c r="L501">
        <x:f>IF(A501="","",IF(COUNTIFS($A$5:$A$2004,A501,$C$5:$C$2004,C501)&gt;1,1,0))</x:f>
      </x:c>
    </x:row>
    <x:row r="502">
      <x:c r="A502" s="8" t="n"/>
      <x:c r="B502" s="8" t="n"/>
      <x:c r="C502" s="8" t="n"/>
      <x:c r="D502" s="8" t="n"/>
      <x:c r="E502" s="8" t="n"/>
      <x:c r="F502" s="8" t="n"/>
      <x:c r="G502" s="7">
        <x:f>IF(A502="","",IF(01_Parametres!$B$11="Oui",IF((01_Parametres!$B$4*(D502&gt;0)+01_Parametres!$B$5*(E502&gt;0)+01_Parametres!$B$6*(F502&gt;0))=0,"",(01_Parametres!$B$4*IF(D502&gt;0,D502,0)+01_Parametres!$B$5*IF(E502&gt;0,E502,0)+01_Parametres!$B$6*IF(F502&gt;0,F502,0))/(01_Parametres!$B$4*(D502&gt;0)+01_Parametres!$B$5*(E502&gt;0)+01_Parametres!$B$6*(F502&gt;0))),IF(01_Parametres!$B$8=0,"",(01_Parametres!$B$4*D502+01_Parametres!$B$5*E502+01_Parametres!$B$6*F502)/01_Parametres!$B$8)))</x:f>
      </x:c>
      <x:c r="H502">
        <x:f>IFERROR(VLOOKUP(C502,02_Referentiels!$A$20:$D$99,3,FALSE),"")</x:f>
      </x:c>
      <x:c r="I502">
        <x:f>IFERROR(VLOOKUP(B502,02_Referentiels!$A$5:$C$16,2,FALSE),"")</x:f>
      </x:c>
      <x:c r="J502">
        <x:f>IF(A502="","",IF(OR(D502="",E502="",F502=""),1,IF(OR(D502&lt;0,D502&gt;3,E502&lt;0,E502&gt;3,F502&lt;0,F502&gt;3),1,0)))</x:f>
      </x:c>
      <x:c r="K502">
        <x:f>IF(A502="","",IF(G502="",1,0))</x:f>
      </x:c>
      <x:c r="L502">
        <x:f>IF(A502="","",IF(COUNTIFS($A$5:$A$2004,A502,$C$5:$C$2004,C502)&gt;1,1,0))</x:f>
      </x:c>
    </x:row>
    <x:row r="503">
      <x:c r="A503" s="8" t="n"/>
      <x:c r="B503" s="8" t="n"/>
      <x:c r="C503" s="8" t="n"/>
      <x:c r="D503" s="8" t="n"/>
      <x:c r="E503" s="8" t="n"/>
      <x:c r="F503" s="8" t="n"/>
      <x:c r="G503" s="7">
        <x:f>IF(A503="","",IF(01_Parametres!$B$11="Oui",IF((01_Parametres!$B$4*(D503&gt;0)+01_Parametres!$B$5*(E503&gt;0)+01_Parametres!$B$6*(F503&gt;0))=0,"",(01_Parametres!$B$4*IF(D503&gt;0,D503,0)+01_Parametres!$B$5*IF(E503&gt;0,E503,0)+01_Parametres!$B$6*IF(F503&gt;0,F503,0))/(01_Parametres!$B$4*(D503&gt;0)+01_Parametres!$B$5*(E503&gt;0)+01_Parametres!$B$6*(F503&gt;0))),IF(01_Parametres!$B$8=0,"",(01_Parametres!$B$4*D503+01_Parametres!$B$5*E503+01_Parametres!$B$6*F503)/01_Parametres!$B$8)))</x:f>
      </x:c>
      <x:c r="H503">
        <x:f>IFERROR(VLOOKUP(C503,02_Referentiels!$A$20:$D$99,3,FALSE),"")</x:f>
      </x:c>
      <x:c r="I503">
        <x:f>IFERROR(VLOOKUP(B503,02_Referentiels!$A$5:$C$16,2,FALSE),"")</x:f>
      </x:c>
      <x:c r="J503">
        <x:f>IF(A503="","",IF(OR(D503="",E503="",F503=""),1,IF(OR(D503&lt;0,D503&gt;3,E503&lt;0,E503&gt;3,F503&lt;0,F503&gt;3),1,0)))</x:f>
      </x:c>
      <x:c r="K503">
        <x:f>IF(A503="","",IF(G503="",1,0))</x:f>
      </x:c>
      <x:c r="L503">
        <x:f>IF(A503="","",IF(COUNTIFS($A$5:$A$2004,A503,$C$5:$C$2004,C503)&gt;1,1,0))</x:f>
      </x:c>
    </x:row>
    <x:row r="504">
      <x:c r="A504" s="8" t="n"/>
      <x:c r="B504" s="8" t="n"/>
      <x:c r="C504" s="8" t="n"/>
      <x:c r="D504" s="8" t="n"/>
      <x:c r="E504" s="8" t="n"/>
      <x:c r="F504" s="8" t="n"/>
      <x:c r="G504" s="7">
        <x:f>IF(A504="","",IF(01_Parametres!$B$11="Oui",IF((01_Parametres!$B$4*(D504&gt;0)+01_Parametres!$B$5*(E504&gt;0)+01_Parametres!$B$6*(F504&gt;0))=0,"",(01_Parametres!$B$4*IF(D504&gt;0,D504,0)+01_Parametres!$B$5*IF(E504&gt;0,E504,0)+01_Parametres!$B$6*IF(F504&gt;0,F504,0))/(01_Parametres!$B$4*(D504&gt;0)+01_Parametres!$B$5*(E504&gt;0)+01_Parametres!$B$6*(F504&gt;0))),IF(01_Parametres!$B$8=0,"",(01_Parametres!$B$4*D504+01_Parametres!$B$5*E504+01_Parametres!$B$6*F504)/01_Parametres!$B$8)))</x:f>
      </x:c>
      <x:c r="H504">
        <x:f>IFERROR(VLOOKUP(C504,02_Referentiels!$A$20:$D$99,3,FALSE),"")</x:f>
      </x:c>
      <x:c r="I504">
        <x:f>IFERROR(VLOOKUP(B504,02_Referentiels!$A$5:$C$16,2,FALSE),"")</x:f>
      </x:c>
      <x:c r="J504">
        <x:f>IF(A504="","",IF(OR(D504="",E504="",F504=""),1,IF(OR(D504&lt;0,D504&gt;3,E504&lt;0,E504&gt;3,F504&lt;0,F504&gt;3),1,0)))</x:f>
      </x:c>
      <x:c r="K504">
        <x:f>IF(A504="","",IF(G504="",1,0))</x:f>
      </x:c>
      <x:c r="L504">
        <x:f>IF(A504="","",IF(COUNTIFS($A$5:$A$2004,A504,$C$5:$C$2004,C504)&gt;1,1,0))</x:f>
      </x:c>
    </x:row>
    <x:row r="505">
      <x:c r="A505" s="8" t="n"/>
      <x:c r="B505" s="8" t="n"/>
      <x:c r="C505" s="8" t="n"/>
      <x:c r="D505" s="8" t="n"/>
      <x:c r="E505" s="8" t="n"/>
      <x:c r="F505" s="8" t="n"/>
      <x:c r="G505" s="7">
        <x:f>IF(A505="","",IF(01_Parametres!$B$11="Oui",IF((01_Parametres!$B$4*(D505&gt;0)+01_Parametres!$B$5*(E505&gt;0)+01_Parametres!$B$6*(F505&gt;0))=0,"",(01_Parametres!$B$4*IF(D505&gt;0,D505,0)+01_Parametres!$B$5*IF(E505&gt;0,E505,0)+01_Parametres!$B$6*IF(F505&gt;0,F505,0))/(01_Parametres!$B$4*(D505&gt;0)+01_Parametres!$B$5*(E505&gt;0)+01_Parametres!$B$6*(F505&gt;0))),IF(01_Parametres!$B$8=0,"",(01_Parametres!$B$4*D505+01_Parametres!$B$5*E505+01_Parametres!$B$6*F505)/01_Parametres!$B$8)))</x:f>
      </x:c>
      <x:c r="H505">
        <x:f>IFERROR(VLOOKUP(C505,02_Referentiels!$A$20:$D$99,3,FALSE),"")</x:f>
      </x:c>
      <x:c r="I505">
        <x:f>IFERROR(VLOOKUP(B505,02_Referentiels!$A$5:$C$16,2,FALSE),"")</x:f>
      </x:c>
      <x:c r="J505">
        <x:f>IF(A505="","",IF(OR(D505="",E505="",F505=""),1,IF(OR(D505&lt;0,D505&gt;3,E505&lt;0,E505&gt;3,F505&lt;0,F505&gt;3),1,0)))</x:f>
      </x:c>
      <x:c r="K505">
        <x:f>IF(A505="","",IF(G505="",1,0))</x:f>
      </x:c>
      <x:c r="L505">
        <x:f>IF(A505="","",IF(COUNTIFS($A$5:$A$2004,A505,$C$5:$C$2004,C505)&gt;1,1,0))</x:f>
      </x:c>
    </x:row>
    <x:row r="506">
      <x:c r="A506" s="8" t="n"/>
      <x:c r="B506" s="8" t="n"/>
      <x:c r="C506" s="8" t="n"/>
      <x:c r="D506" s="8" t="n"/>
      <x:c r="E506" s="8" t="n"/>
      <x:c r="F506" s="8" t="n"/>
      <x:c r="G506" s="7">
        <x:f>IF(A506="","",IF(01_Parametres!$B$11="Oui",IF((01_Parametres!$B$4*(D506&gt;0)+01_Parametres!$B$5*(E506&gt;0)+01_Parametres!$B$6*(F506&gt;0))=0,"",(01_Parametres!$B$4*IF(D506&gt;0,D506,0)+01_Parametres!$B$5*IF(E506&gt;0,E506,0)+01_Parametres!$B$6*IF(F506&gt;0,F506,0))/(01_Parametres!$B$4*(D506&gt;0)+01_Parametres!$B$5*(E506&gt;0)+01_Parametres!$B$6*(F506&gt;0))),IF(01_Parametres!$B$8=0,"",(01_Parametres!$B$4*D506+01_Parametres!$B$5*E506+01_Parametres!$B$6*F506)/01_Parametres!$B$8)))</x:f>
      </x:c>
      <x:c r="H506">
        <x:f>IFERROR(VLOOKUP(C506,02_Referentiels!$A$20:$D$99,3,FALSE),"")</x:f>
      </x:c>
      <x:c r="I506">
        <x:f>IFERROR(VLOOKUP(B506,02_Referentiels!$A$5:$C$16,2,FALSE),"")</x:f>
      </x:c>
      <x:c r="J506">
        <x:f>IF(A506="","",IF(OR(D506="",E506="",F506=""),1,IF(OR(D506&lt;0,D506&gt;3,E506&lt;0,E506&gt;3,F506&lt;0,F506&gt;3),1,0)))</x:f>
      </x:c>
      <x:c r="K506">
        <x:f>IF(A506="","",IF(G506="",1,0))</x:f>
      </x:c>
      <x:c r="L506">
        <x:f>IF(A506="","",IF(COUNTIFS($A$5:$A$2004,A506,$C$5:$C$2004,C506)&gt;1,1,0))</x:f>
      </x:c>
    </x:row>
    <x:row r="507">
      <x:c r="A507" s="8" t="n"/>
      <x:c r="B507" s="8" t="n"/>
      <x:c r="C507" s="8" t="n"/>
      <x:c r="D507" s="8" t="n"/>
      <x:c r="E507" s="8" t="n"/>
      <x:c r="F507" s="8" t="n"/>
      <x:c r="G507" s="7">
        <x:f>IF(A507="","",IF(01_Parametres!$B$11="Oui",IF((01_Parametres!$B$4*(D507&gt;0)+01_Parametres!$B$5*(E507&gt;0)+01_Parametres!$B$6*(F507&gt;0))=0,"",(01_Parametres!$B$4*IF(D507&gt;0,D507,0)+01_Parametres!$B$5*IF(E507&gt;0,E507,0)+01_Parametres!$B$6*IF(F507&gt;0,F507,0))/(01_Parametres!$B$4*(D507&gt;0)+01_Parametres!$B$5*(E507&gt;0)+01_Parametres!$B$6*(F507&gt;0))),IF(01_Parametres!$B$8=0,"",(01_Parametres!$B$4*D507+01_Parametres!$B$5*E507+01_Parametres!$B$6*F507)/01_Parametres!$B$8)))</x:f>
      </x:c>
      <x:c r="H507">
        <x:f>IFERROR(VLOOKUP(C507,02_Referentiels!$A$20:$D$99,3,FALSE),"")</x:f>
      </x:c>
      <x:c r="I507">
        <x:f>IFERROR(VLOOKUP(B507,02_Referentiels!$A$5:$C$16,2,FALSE),"")</x:f>
      </x:c>
      <x:c r="J507">
        <x:f>IF(A507="","",IF(OR(D507="",E507="",F507=""),1,IF(OR(D507&lt;0,D507&gt;3,E507&lt;0,E507&gt;3,F507&lt;0,F507&gt;3),1,0)))</x:f>
      </x:c>
      <x:c r="K507">
        <x:f>IF(A507="","",IF(G507="",1,0))</x:f>
      </x:c>
      <x:c r="L507">
        <x:f>IF(A507="","",IF(COUNTIFS($A$5:$A$2004,A507,$C$5:$C$2004,C507)&gt;1,1,0))</x:f>
      </x:c>
    </x:row>
    <x:row r="508">
      <x:c r="A508" s="8" t="n"/>
      <x:c r="B508" s="8" t="n"/>
      <x:c r="C508" s="8" t="n"/>
      <x:c r="D508" s="8" t="n"/>
      <x:c r="E508" s="8" t="n"/>
      <x:c r="F508" s="8" t="n"/>
      <x:c r="G508" s="7">
        <x:f>IF(A508="","",IF(01_Parametres!$B$11="Oui",IF((01_Parametres!$B$4*(D508&gt;0)+01_Parametres!$B$5*(E508&gt;0)+01_Parametres!$B$6*(F508&gt;0))=0,"",(01_Parametres!$B$4*IF(D508&gt;0,D508,0)+01_Parametres!$B$5*IF(E508&gt;0,E508,0)+01_Parametres!$B$6*IF(F508&gt;0,F508,0))/(01_Parametres!$B$4*(D508&gt;0)+01_Parametres!$B$5*(E508&gt;0)+01_Parametres!$B$6*(F508&gt;0))),IF(01_Parametres!$B$8=0,"",(01_Parametres!$B$4*D508+01_Parametres!$B$5*E508+01_Parametres!$B$6*F508)/01_Parametres!$B$8)))</x:f>
      </x:c>
      <x:c r="H508">
        <x:f>IFERROR(VLOOKUP(C508,02_Referentiels!$A$20:$D$99,3,FALSE),"")</x:f>
      </x:c>
      <x:c r="I508">
        <x:f>IFERROR(VLOOKUP(B508,02_Referentiels!$A$5:$C$16,2,FALSE),"")</x:f>
      </x:c>
      <x:c r="J508">
        <x:f>IF(A508="","",IF(OR(D508="",E508="",F508=""),1,IF(OR(D508&lt;0,D508&gt;3,E508&lt;0,E508&gt;3,F508&lt;0,F508&gt;3),1,0)))</x:f>
      </x:c>
      <x:c r="K508">
        <x:f>IF(A508="","",IF(G508="",1,0))</x:f>
      </x:c>
      <x:c r="L508">
        <x:f>IF(A508="","",IF(COUNTIFS($A$5:$A$2004,A508,$C$5:$C$2004,C508)&gt;1,1,0))</x:f>
      </x:c>
    </x:row>
    <x:row r="509">
      <x:c r="A509" s="8" t="n"/>
      <x:c r="B509" s="8" t="n"/>
      <x:c r="C509" s="8" t="n"/>
      <x:c r="D509" s="8" t="n"/>
      <x:c r="E509" s="8" t="n"/>
      <x:c r="F509" s="8" t="n"/>
      <x:c r="G509" s="7">
        <x:f>IF(A509="","",IF(01_Parametres!$B$11="Oui",IF((01_Parametres!$B$4*(D509&gt;0)+01_Parametres!$B$5*(E509&gt;0)+01_Parametres!$B$6*(F509&gt;0))=0,"",(01_Parametres!$B$4*IF(D509&gt;0,D509,0)+01_Parametres!$B$5*IF(E509&gt;0,E509,0)+01_Parametres!$B$6*IF(F509&gt;0,F509,0))/(01_Parametres!$B$4*(D509&gt;0)+01_Parametres!$B$5*(E509&gt;0)+01_Parametres!$B$6*(F509&gt;0))),IF(01_Parametres!$B$8=0,"",(01_Parametres!$B$4*D509+01_Parametres!$B$5*E509+01_Parametres!$B$6*F509)/01_Parametres!$B$8)))</x:f>
      </x:c>
      <x:c r="H509">
        <x:f>IFERROR(VLOOKUP(C509,02_Referentiels!$A$20:$D$99,3,FALSE),"")</x:f>
      </x:c>
      <x:c r="I509">
        <x:f>IFERROR(VLOOKUP(B509,02_Referentiels!$A$5:$C$16,2,FALSE),"")</x:f>
      </x:c>
      <x:c r="J509">
        <x:f>IF(A509="","",IF(OR(D509="",E509="",F509=""),1,IF(OR(D509&lt;0,D509&gt;3,E509&lt;0,E509&gt;3,F509&lt;0,F509&gt;3),1,0)))</x:f>
      </x:c>
      <x:c r="K509">
        <x:f>IF(A509="","",IF(G509="",1,0))</x:f>
      </x:c>
      <x:c r="L509">
        <x:f>IF(A509="","",IF(COUNTIFS($A$5:$A$2004,A509,$C$5:$C$2004,C509)&gt;1,1,0))</x:f>
      </x:c>
    </x:row>
    <x:row r="510">
      <x:c r="A510" s="8" t="n"/>
      <x:c r="B510" s="8" t="n"/>
      <x:c r="C510" s="8" t="n"/>
      <x:c r="D510" s="8" t="n"/>
      <x:c r="E510" s="8" t="n"/>
      <x:c r="F510" s="8" t="n"/>
      <x:c r="G510" s="7">
        <x:f>IF(A510="","",IF(01_Parametres!$B$11="Oui",IF((01_Parametres!$B$4*(D510&gt;0)+01_Parametres!$B$5*(E510&gt;0)+01_Parametres!$B$6*(F510&gt;0))=0,"",(01_Parametres!$B$4*IF(D510&gt;0,D510,0)+01_Parametres!$B$5*IF(E510&gt;0,E510,0)+01_Parametres!$B$6*IF(F510&gt;0,F510,0))/(01_Parametres!$B$4*(D510&gt;0)+01_Parametres!$B$5*(E510&gt;0)+01_Parametres!$B$6*(F510&gt;0))),IF(01_Parametres!$B$8=0,"",(01_Parametres!$B$4*D510+01_Parametres!$B$5*E510+01_Parametres!$B$6*F510)/01_Parametres!$B$8)))</x:f>
      </x:c>
      <x:c r="H510">
        <x:f>IFERROR(VLOOKUP(C510,02_Referentiels!$A$20:$D$99,3,FALSE),"")</x:f>
      </x:c>
      <x:c r="I510">
        <x:f>IFERROR(VLOOKUP(B510,02_Referentiels!$A$5:$C$16,2,FALSE),"")</x:f>
      </x:c>
      <x:c r="J510">
        <x:f>IF(A510="","",IF(OR(D510="",E510="",F510=""),1,IF(OR(D510&lt;0,D510&gt;3,E510&lt;0,E510&gt;3,F510&lt;0,F510&gt;3),1,0)))</x:f>
      </x:c>
      <x:c r="K510">
        <x:f>IF(A510="","",IF(G510="",1,0))</x:f>
      </x:c>
      <x:c r="L510">
        <x:f>IF(A510="","",IF(COUNTIFS($A$5:$A$2004,A510,$C$5:$C$2004,C510)&gt;1,1,0))</x:f>
      </x:c>
    </x:row>
    <x:row r="511">
      <x:c r="A511" s="8" t="n"/>
      <x:c r="B511" s="8" t="n"/>
      <x:c r="C511" s="8" t="n"/>
      <x:c r="D511" s="8" t="n"/>
      <x:c r="E511" s="8" t="n"/>
      <x:c r="F511" s="8" t="n"/>
      <x:c r="G511" s="7">
        <x:f>IF(A511="","",IF(01_Parametres!$B$11="Oui",IF((01_Parametres!$B$4*(D511&gt;0)+01_Parametres!$B$5*(E511&gt;0)+01_Parametres!$B$6*(F511&gt;0))=0,"",(01_Parametres!$B$4*IF(D511&gt;0,D511,0)+01_Parametres!$B$5*IF(E511&gt;0,E511,0)+01_Parametres!$B$6*IF(F511&gt;0,F511,0))/(01_Parametres!$B$4*(D511&gt;0)+01_Parametres!$B$5*(E511&gt;0)+01_Parametres!$B$6*(F511&gt;0))),IF(01_Parametres!$B$8=0,"",(01_Parametres!$B$4*D511+01_Parametres!$B$5*E511+01_Parametres!$B$6*F511)/01_Parametres!$B$8)))</x:f>
      </x:c>
      <x:c r="H511">
        <x:f>IFERROR(VLOOKUP(C511,02_Referentiels!$A$20:$D$99,3,FALSE),"")</x:f>
      </x:c>
      <x:c r="I511">
        <x:f>IFERROR(VLOOKUP(B511,02_Referentiels!$A$5:$C$16,2,FALSE),"")</x:f>
      </x:c>
      <x:c r="J511">
        <x:f>IF(A511="","",IF(OR(D511="",E511="",F511=""),1,IF(OR(D511&lt;0,D511&gt;3,E511&lt;0,E511&gt;3,F511&lt;0,F511&gt;3),1,0)))</x:f>
      </x:c>
      <x:c r="K511">
        <x:f>IF(A511="","",IF(G511="",1,0))</x:f>
      </x:c>
      <x:c r="L511">
        <x:f>IF(A511="","",IF(COUNTIFS($A$5:$A$2004,A511,$C$5:$C$2004,C511)&gt;1,1,0))</x:f>
      </x:c>
    </x:row>
    <x:row r="512">
      <x:c r="A512" s="8" t="n"/>
      <x:c r="B512" s="8" t="n"/>
      <x:c r="C512" s="8" t="n"/>
      <x:c r="D512" s="8" t="n"/>
      <x:c r="E512" s="8" t="n"/>
      <x:c r="F512" s="8" t="n"/>
      <x:c r="G512" s="7">
        <x:f>IF(A512="","",IF(01_Parametres!$B$11="Oui",IF((01_Parametres!$B$4*(D512&gt;0)+01_Parametres!$B$5*(E512&gt;0)+01_Parametres!$B$6*(F512&gt;0))=0,"",(01_Parametres!$B$4*IF(D512&gt;0,D512,0)+01_Parametres!$B$5*IF(E512&gt;0,E512,0)+01_Parametres!$B$6*IF(F512&gt;0,F512,0))/(01_Parametres!$B$4*(D512&gt;0)+01_Parametres!$B$5*(E512&gt;0)+01_Parametres!$B$6*(F512&gt;0))),IF(01_Parametres!$B$8=0,"",(01_Parametres!$B$4*D512+01_Parametres!$B$5*E512+01_Parametres!$B$6*F512)/01_Parametres!$B$8)))</x:f>
      </x:c>
      <x:c r="H512">
        <x:f>IFERROR(VLOOKUP(C512,02_Referentiels!$A$20:$D$99,3,FALSE),"")</x:f>
      </x:c>
      <x:c r="I512">
        <x:f>IFERROR(VLOOKUP(B512,02_Referentiels!$A$5:$C$16,2,FALSE),"")</x:f>
      </x:c>
      <x:c r="J512">
        <x:f>IF(A512="","",IF(OR(D512="",E512="",F512=""),1,IF(OR(D512&lt;0,D512&gt;3,E512&lt;0,E512&gt;3,F512&lt;0,F512&gt;3),1,0)))</x:f>
      </x:c>
      <x:c r="K512">
        <x:f>IF(A512="","",IF(G512="",1,0))</x:f>
      </x:c>
      <x:c r="L512">
        <x:f>IF(A512="","",IF(COUNTIFS($A$5:$A$2004,A512,$C$5:$C$2004,C512)&gt;1,1,0))</x:f>
      </x:c>
    </x:row>
    <x:row r="513">
      <x:c r="A513" s="8" t="n"/>
      <x:c r="B513" s="8" t="n"/>
      <x:c r="C513" s="8" t="n"/>
      <x:c r="D513" s="8" t="n"/>
      <x:c r="E513" s="8" t="n"/>
      <x:c r="F513" s="8" t="n"/>
      <x:c r="G513" s="7">
        <x:f>IF(A513="","",IF(01_Parametres!$B$11="Oui",IF((01_Parametres!$B$4*(D513&gt;0)+01_Parametres!$B$5*(E513&gt;0)+01_Parametres!$B$6*(F513&gt;0))=0,"",(01_Parametres!$B$4*IF(D513&gt;0,D513,0)+01_Parametres!$B$5*IF(E513&gt;0,E513,0)+01_Parametres!$B$6*IF(F513&gt;0,F513,0))/(01_Parametres!$B$4*(D513&gt;0)+01_Parametres!$B$5*(E513&gt;0)+01_Parametres!$B$6*(F513&gt;0))),IF(01_Parametres!$B$8=0,"",(01_Parametres!$B$4*D513+01_Parametres!$B$5*E513+01_Parametres!$B$6*F513)/01_Parametres!$B$8)))</x:f>
      </x:c>
      <x:c r="H513">
        <x:f>IFERROR(VLOOKUP(C513,02_Referentiels!$A$20:$D$99,3,FALSE),"")</x:f>
      </x:c>
      <x:c r="I513">
        <x:f>IFERROR(VLOOKUP(B513,02_Referentiels!$A$5:$C$16,2,FALSE),"")</x:f>
      </x:c>
      <x:c r="J513">
        <x:f>IF(A513="","",IF(OR(D513="",E513="",F513=""),1,IF(OR(D513&lt;0,D513&gt;3,E513&lt;0,E513&gt;3,F513&lt;0,F513&gt;3),1,0)))</x:f>
      </x:c>
      <x:c r="K513">
        <x:f>IF(A513="","",IF(G513="",1,0))</x:f>
      </x:c>
      <x:c r="L513">
        <x:f>IF(A513="","",IF(COUNTIFS($A$5:$A$2004,A513,$C$5:$C$2004,C513)&gt;1,1,0))</x:f>
      </x:c>
    </x:row>
    <x:row r="514">
      <x:c r="A514" s="8" t="n"/>
      <x:c r="B514" s="8" t="n"/>
      <x:c r="C514" s="8" t="n"/>
      <x:c r="D514" s="8" t="n"/>
      <x:c r="E514" s="8" t="n"/>
      <x:c r="F514" s="8" t="n"/>
      <x:c r="G514" s="7">
        <x:f>IF(A514="","",IF(01_Parametres!$B$11="Oui",IF((01_Parametres!$B$4*(D514&gt;0)+01_Parametres!$B$5*(E514&gt;0)+01_Parametres!$B$6*(F514&gt;0))=0,"",(01_Parametres!$B$4*IF(D514&gt;0,D514,0)+01_Parametres!$B$5*IF(E514&gt;0,E514,0)+01_Parametres!$B$6*IF(F514&gt;0,F514,0))/(01_Parametres!$B$4*(D514&gt;0)+01_Parametres!$B$5*(E514&gt;0)+01_Parametres!$B$6*(F514&gt;0))),IF(01_Parametres!$B$8=0,"",(01_Parametres!$B$4*D514+01_Parametres!$B$5*E514+01_Parametres!$B$6*F514)/01_Parametres!$B$8)))</x:f>
      </x:c>
      <x:c r="H514">
        <x:f>IFERROR(VLOOKUP(C514,02_Referentiels!$A$20:$D$99,3,FALSE),"")</x:f>
      </x:c>
      <x:c r="I514">
        <x:f>IFERROR(VLOOKUP(B514,02_Referentiels!$A$5:$C$16,2,FALSE),"")</x:f>
      </x:c>
      <x:c r="J514">
        <x:f>IF(A514="","",IF(OR(D514="",E514="",F514=""),1,IF(OR(D514&lt;0,D514&gt;3,E514&lt;0,E514&gt;3,F514&lt;0,F514&gt;3),1,0)))</x:f>
      </x:c>
      <x:c r="K514">
        <x:f>IF(A514="","",IF(G514="",1,0))</x:f>
      </x:c>
      <x:c r="L514">
        <x:f>IF(A514="","",IF(COUNTIFS($A$5:$A$2004,A514,$C$5:$C$2004,C514)&gt;1,1,0))</x:f>
      </x:c>
    </x:row>
    <x:row r="515">
      <x:c r="A515" s="8" t="n"/>
      <x:c r="B515" s="8" t="n"/>
      <x:c r="C515" s="8" t="n"/>
      <x:c r="D515" s="8" t="n"/>
      <x:c r="E515" s="8" t="n"/>
      <x:c r="F515" s="8" t="n"/>
      <x:c r="G515" s="7">
        <x:f>IF(A515="","",IF(01_Parametres!$B$11="Oui",IF((01_Parametres!$B$4*(D515&gt;0)+01_Parametres!$B$5*(E515&gt;0)+01_Parametres!$B$6*(F515&gt;0))=0,"",(01_Parametres!$B$4*IF(D515&gt;0,D515,0)+01_Parametres!$B$5*IF(E515&gt;0,E515,0)+01_Parametres!$B$6*IF(F515&gt;0,F515,0))/(01_Parametres!$B$4*(D515&gt;0)+01_Parametres!$B$5*(E515&gt;0)+01_Parametres!$B$6*(F515&gt;0))),IF(01_Parametres!$B$8=0,"",(01_Parametres!$B$4*D515+01_Parametres!$B$5*E515+01_Parametres!$B$6*F515)/01_Parametres!$B$8)))</x:f>
      </x:c>
      <x:c r="H515">
        <x:f>IFERROR(VLOOKUP(C515,02_Referentiels!$A$20:$D$99,3,FALSE),"")</x:f>
      </x:c>
      <x:c r="I515">
        <x:f>IFERROR(VLOOKUP(B515,02_Referentiels!$A$5:$C$16,2,FALSE),"")</x:f>
      </x:c>
      <x:c r="J515">
        <x:f>IF(A515="","",IF(OR(D515="",E515="",F515=""),1,IF(OR(D515&lt;0,D515&gt;3,E515&lt;0,E515&gt;3,F515&lt;0,F515&gt;3),1,0)))</x:f>
      </x:c>
      <x:c r="K515">
        <x:f>IF(A515="","",IF(G515="",1,0))</x:f>
      </x:c>
      <x:c r="L515">
        <x:f>IF(A515="","",IF(COUNTIFS($A$5:$A$2004,A515,$C$5:$C$2004,C515)&gt;1,1,0))</x:f>
      </x:c>
    </x:row>
    <x:row r="516">
      <x:c r="A516" s="8" t="n"/>
      <x:c r="B516" s="8" t="n"/>
      <x:c r="C516" s="8" t="n"/>
      <x:c r="D516" s="8" t="n"/>
      <x:c r="E516" s="8" t="n"/>
      <x:c r="F516" s="8" t="n"/>
      <x:c r="G516" s="7">
        <x:f>IF(A516="","",IF(01_Parametres!$B$11="Oui",IF((01_Parametres!$B$4*(D516&gt;0)+01_Parametres!$B$5*(E516&gt;0)+01_Parametres!$B$6*(F516&gt;0))=0,"",(01_Parametres!$B$4*IF(D516&gt;0,D516,0)+01_Parametres!$B$5*IF(E516&gt;0,E516,0)+01_Parametres!$B$6*IF(F516&gt;0,F516,0))/(01_Parametres!$B$4*(D516&gt;0)+01_Parametres!$B$5*(E516&gt;0)+01_Parametres!$B$6*(F516&gt;0))),IF(01_Parametres!$B$8=0,"",(01_Parametres!$B$4*D516+01_Parametres!$B$5*E516+01_Parametres!$B$6*F516)/01_Parametres!$B$8)))</x:f>
      </x:c>
      <x:c r="H516">
        <x:f>IFERROR(VLOOKUP(C516,02_Referentiels!$A$20:$D$99,3,FALSE),"")</x:f>
      </x:c>
      <x:c r="I516">
        <x:f>IFERROR(VLOOKUP(B516,02_Referentiels!$A$5:$C$16,2,FALSE),"")</x:f>
      </x:c>
      <x:c r="J516">
        <x:f>IF(A516="","",IF(OR(D516="",E516="",F516=""),1,IF(OR(D516&lt;0,D516&gt;3,E516&lt;0,E516&gt;3,F516&lt;0,F516&gt;3),1,0)))</x:f>
      </x:c>
      <x:c r="K516">
        <x:f>IF(A516="","",IF(G516="",1,0))</x:f>
      </x:c>
      <x:c r="L516">
        <x:f>IF(A516="","",IF(COUNTIFS($A$5:$A$2004,A516,$C$5:$C$2004,C516)&gt;1,1,0))</x:f>
      </x:c>
    </x:row>
    <x:row r="517">
      <x:c r="A517" s="8" t="n"/>
      <x:c r="B517" s="8" t="n"/>
      <x:c r="C517" s="8" t="n"/>
      <x:c r="D517" s="8" t="n"/>
      <x:c r="E517" s="8" t="n"/>
      <x:c r="F517" s="8" t="n"/>
      <x:c r="G517" s="7">
        <x:f>IF(A517="","",IF(01_Parametres!$B$11="Oui",IF((01_Parametres!$B$4*(D517&gt;0)+01_Parametres!$B$5*(E517&gt;0)+01_Parametres!$B$6*(F517&gt;0))=0,"",(01_Parametres!$B$4*IF(D517&gt;0,D517,0)+01_Parametres!$B$5*IF(E517&gt;0,E517,0)+01_Parametres!$B$6*IF(F517&gt;0,F517,0))/(01_Parametres!$B$4*(D517&gt;0)+01_Parametres!$B$5*(E517&gt;0)+01_Parametres!$B$6*(F517&gt;0))),IF(01_Parametres!$B$8=0,"",(01_Parametres!$B$4*D517+01_Parametres!$B$5*E517+01_Parametres!$B$6*F517)/01_Parametres!$B$8)))</x:f>
      </x:c>
      <x:c r="H517">
        <x:f>IFERROR(VLOOKUP(C517,02_Referentiels!$A$20:$D$99,3,FALSE),"")</x:f>
      </x:c>
      <x:c r="I517">
        <x:f>IFERROR(VLOOKUP(B517,02_Referentiels!$A$5:$C$16,2,FALSE),"")</x:f>
      </x:c>
      <x:c r="J517">
        <x:f>IF(A517="","",IF(OR(D517="",E517="",F517=""),1,IF(OR(D517&lt;0,D517&gt;3,E517&lt;0,E517&gt;3,F517&lt;0,F517&gt;3),1,0)))</x:f>
      </x:c>
      <x:c r="K517">
        <x:f>IF(A517="","",IF(G517="",1,0))</x:f>
      </x:c>
      <x:c r="L517">
        <x:f>IF(A517="","",IF(COUNTIFS($A$5:$A$2004,A517,$C$5:$C$2004,C517)&gt;1,1,0))</x:f>
      </x:c>
    </x:row>
    <x:row r="518">
      <x:c r="A518" s="8" t="n"/>
      <x:c r="B518" s="8" t="n"/>
      <x:c r="C518" s="8" t="n"/>
      <x:c r="D518" s="8" t="n"/>
      <x:c r="E518" s="8" t="n"/>
      <x:c r="F518" s="8" t="n"/>
      <x:c r="G518" s="7">
        <x:f>IF(A518="","",IF(01_Parametres!$B$11="Oui",IF((01_Parametres!$B$4*(D518&gt;0)+01_Parametres!$B$5*(E518&gt;0)+01_Parametres!$B$6*(F518&gt;0))=0,"",(01_Parametres!$B$4*IF(D518&gt;0,D518,0)+01_Parametres!$B$5*IF(E518&gt;0,E518,0)+01_Parametres!$B$6*IF(F518&gt;0,F518,0))/(01_Parametres!$B$4*(D518&gt;0)+01_Parametres!$B$5*(E518&gt;0)+01_Parametres!$B$6*(F518&gt;0))),IF(01_Parametres!$B$8=0,"",(01_Parametres!$B$4*D518+01_Parametres!$B$5*E518+01_Parametres!$B$6*F518)/01_Parametres!$B$8)))</x:f>
      </x:c>
      <x:c r="H518">
        <x:f>IFERROR(VLOOKUP(C518,02_Referentiels!$A$20:$D$99,3,FALSE),"")</x:f>
      </x:c>
      <x:c r="I518">
        <x:f>IFERROR(VLOOKUP(B518,02_Referentiels!$A$5:$C$16,2,FALSE),"")</x:f>
      </x:c>
      <x:c r="J518">
        <x:f>IF(A518="","",IF(OR(D518="",E518="",F518=""),1,IF(OR(D518&lt;0,D518&gt;3,E518&lt;0,E518&gt;3,F518&lt;0,F518&gt;3),1,0)))</x:f>
      </x:c>
      <x:c r="K518">
        <x:f>IF(A518="","",IF(G518="",1,0))</x:f>
      </x:c>
      <x:c r="L518">
        <x:f>IF(A518="","",IF(COUNTIFS($A$5:$A$2004,A518,$C$5:$C$2004,C518)&gt;1,1,0))</x:f>
      </x:c>
    </x:row>
    <x:row r="519">
      <x:c r="A519" s="8" t="n"/>
      <x:c r="B519" s="8" t="n"/>
      <x:c r="C519" s="8" t="n"/>
      <x:c r="D519" s="8" t="n"/>
      <x:c r="E519" s="8" t="n"/>
      <x:c r="F519" s="8" t="n"/>
      <x:c r="G519" s="7">
        <x:f>IF(A519="","",IF(01_Parametres!$B$11="Oui",IF((01_Parametres!$B$4*(D519&gt;0)+01_Parametres!$B$5*(E519&gt;0)+01_Parametres!$B$6*(F519&gt;0))=0,"",(01_Parametres!$B$4*IF(D519&gt;0,D519,0)+01_Parametres!$B$5*IF(E519&gt;0,E519,0)+01_Parametres!$B$6*IF(F519&gt;0,F519,0))/(01_Parametres!$B$4*(D519&gt;0)+01_Parametres!$B$5*(E519&gt;0)+01_Parametres!$B$6*(F519&gt;0))),IF(01_Parametres!$B$8=0,"",(01_Parametres!$B$4*D519+01_Parametres!$B$5*E519+01_Parametres!$B$6*F519)/01_Parametres!$B$8)))</x:f>
      </x:c>
      <x:c r="H519">
        <x:f>IFERROR(VLOOKUP(C519,02_Referentiels!$A$20:$D$99,3,FALSE),"")</x:f>
      </x:c>
      <x:c r="I519">
        <x:f>IFERROR(VLOOKUP(B519,02_Referentiels!$A$5:$C$16,2,FALSE),"")</x:f>
      </x:c>
      <x:c r="J519">
        <x:f>IF(A519="","",IF(OR(D519="",E519="",F519=""),1,IF(OR(D519&lt;0,D519&gt;3,E519&lt;0,E519&gt;3,F519&lt;0,F519&gt;3),1,0)))</x:f>
      </x:c>
      <x:c r="K519">
        <x:f>IF(A519="","",IF(G519="",1,0))</x:f>
      </x:c>
      <x:c r="L519">
        <x:f>IF(A519="","",IF(COUNTIFS($A$5:$A$2004,A519,$C$5:$C$2004,C519)&gt;1,1,0))</x:f>
      </x:c>
    </x:row>
    <x:row r="520">
      <x:c r="A520" s="8" t="n"/>
      <x:c r="B520" s="8" t="n"/>
      <x:c r="C520" s="8" t="n"/>
      <x:c r="D520" s="8" t="n"/>
      <x:c r="E520" s="8" t="n"/>
      <x:c r="F520" s="8" t="n"/>
      <x:c r="G520" s="7">
        <x:f>IF(A520="","",IF(01_Parametres!$B$11="Oui",IF((01_Parametres!$B$4*(D520&gt;0)+01_Parametres!$B$5*(E520&gt;0)+01_Parametres!$B$6*(F520&gt;0))=0,"",(01_Parametres!$B$4*IF(D520&gt;0,D520,0)+01_Parametres!$B$5*IF(E520&gt;0,E520,0)+01_Parametres!$B$6*IF(F520&gt;0,F520,0))/(01_Parametres!$B$4*(D520&gt;0)+01_Parametres!$B$5*(E520&gt;0)+01_Parametres!$B$6*(F520&gt;0))),IF(01_Parametres!$B$8=0,"",(01_Parametres!$B$4*D520+01_Parametres!$B$5*E520+01_Parametres!$B$6*F520)/01_Parametres!$B$8)))</x:f>
      </x:c>
      <x:c r="H520">
        <x:f>IFERROR(VLOOKUP(C520,02_Referentiels!$A$20:$D$99,3,FALSE),"")</x:f>
      </x:c>
      <x:c r="I520">
        <x:f>IFERROR(VLOOKUP(B520,02_Referentiels!$A$5:$C$16,2,FALSE),"")</x:f>
      </x:c>
      <x:c r="J520">
        <x:f>IF(A520="","",IF(OR(D520="",E520="",F520=""),1,IF(OR(D520&lt;0,D520&gt;3,E520&lt;0,E520&gt;3,F520&lt;0,F520&gt;3),1,0)))</x:f>
      </x:c>
      <x:c r="K520">
        <x:f>IF(A520="","",IF(G520="",1,0))</x:f>
      </x:c>
      <x:c r="L520">
        <x:f>IF(A520="","",IF(COUNTIFS($A$5:$A$2004,A520,$C$5:$C$2004,C520)&gt;1,1,0))</x:f>
      </x:c>
    </x:row>
    <x:row r="521">
      <x:c r="A521" s="8" t="n"/>
      <x:c r="B521" s="8" t="n"/>
      <x:c r="C521" s="8" t="n"/>
      <x:c r="D521" s="8" t="n"/>
      <x:c r="E521" s="8" t="n"/>
      <x:c r="F521" s="8" t="n"/>
      <x:c r="G521" s="7">
        <x:f>IF(A521="","",IF(01_Parametres!$B$11="Oui",IF((01_Parametres!$B$4*(D521&gt;0)+01_Parametres!$B$5*(E521&gt;0)+01_Parametres!$B$6*(F521&gt;0))=0,"",(01_Parametres!$B$4*IF(D521&gt;0,D521,0)+01_Parametres!$B$5*IF(E521&gt;0,E521,0)+01_Parametres!$B$6*IF(F521&gt;0,F521,0))/(01_Parametres!$B$4*(D521&gt;0)+01_Parametres!$B$5*(E521&gt;0)+01_Parametres!$B$6*(F521&gt;0))),IF(01_Parametres!$B$8=0,"",(01_Parametres!$B$4*D521+01_Parametres!$B$5*E521+01_Parametres!$B$6*F521)/01_Parametres!$B$8)))</x:f>
      </x:c>
      <x:c r="H521">
        <x:f>IFERROR(VLOOKUP(C521,02_Referentiels!$A$20:$D$99,3,FALSE),"")</x:f>
      </x:c>
      <x:c r="I521">
        <x:f>IFERROR(VLOOKUP(B521,02_Referentiels!$A$5:$C$16,2,FALSE),"")</x:f>
      </x:c>
      <x:c r="J521">
        <x:f>IF(A521="","",IF(OR(D521="",E521="",F521=""),1,IF(OR(D521&lt;0,D521&gt;3,E521&lt;0,E521&gt;3,F521&lt;0,F521&gt;3),1,0)))</x:f>
      </x:c>
      <x:c r="K521">
        <x:f>IF(A521="","",IF(G521="",1,0))</x:f>
      </x:c>
      <x:c r="L521">
        <x:f>IF(A521="","",IF(COUNTIFS($A$5:$A$2004,A521,$C$5:$C$2004,C521)&gt;1,1,0))</x:f>
      </x:c>
    </x:row>
    <x:row r="522">
      <x:c r="A522" s="8" t="n"/>
      <x:c r="B522" s="8" t="n"/>
      <x:c r="C522" s="8" t="n"/>
      <x:c r="D522" s="8" t="n"/>
      <x:c r="E522" s="8" t="n"/>
      <x:c r="F522" s="8" t="n"/>
      <x:c r="G522" s="7">
        <x:f>IF(A522="","",IF(01_Parametres!$B$11="Oui",IF((01_Parametres!$B$4*(D522&gt;0)+01_Parametres!$B$5*(E522&gt;0)+01_Parametres!$B$6*(F522&gt;0))=0,"",(01_Parametres!$B$4*IF(D522&gt;0,D522,0)+01_Parametres!$B$5*IF(E522&gt;0,E522,0)+01_Parametres!$B$6*IF(F522&gt;0,F522,0))/(01_Parametres!$B$4*(D522&gt;0)+01_Parametres!$B$5*(E522&gt;0)+01_Parametres!$B$6*(F522&gt;0))),IF(01_Parametres!$B$8=0,"",(01_Parametres!$B$4*D522+01_Parametres!$B$5*E522+01_Parametres!$B$6*F522)/01_Parametres!$B$8)))</x:f>
      </x:c>
      <x:c r="H522">
        <x:f>IFERROR(VLOOKUP(C522,02_Referentiels!$A$20:$D$99,3,FALSE),"")</x:f>
      </x:c>
      <x:c r="I522">
        <x:f>IFERROR(VLOOKUP(B522,02_Referentiels!$A$5:$C$16,2,FALSE),"")</x:f>
      </x:c>
      <x:c r="J522">
        <x:f>IF(A522="","",IF(OR(D522="",E522="",F522=""),1,IF(OR(D522&lt;0,D522&gt;3,E522&lt;0,E522&gt;3,F522&lt;0,F522&gt;3),1,0)))</x:f>
      </x:c>
      <x:c r="K522">
        <x:f>IF(A522="","",IF(G522="",1,0))</x:f>
      </x:c>
      <x:c r="L522">
        <x:f>IF(A522="","",IF(COUNTIFS($A$5:$A$2004,A522,$C$5:$C$2004,C522)&gt;1,1,0))</x:f>
      </x:c>
    </x:row>
    <x:row r="523">
      <x:c r="A523" s="8" t="n"/>
      <x:c r="B523" s="8" t="n"/>
      <x:c r="C523" s="8" t="n"/>
      <x:c r="D523" s="8" t="n"/>
      <x:c r="E523" s="8" t="n"/>
      <x:c r="F523" s="8" t="n"/>
      <x:c r="G523" s="7">
        <x:f>IF(A523="","",IF(01_Parametres!$B$11="Oui",IF((01_Parametres!$B$4*(D523&gt;0)+01_Parametres!$B$5*(E523&gt;0)+01_Parametres!$B$6*(F523&gt;0))=0,"",(01_Parametres!$B$4*IF(D523&gt;0,D523,0)+01_Parametres!$B$5*IF(E523&gt;0,E523,0)+01_Parametres!$B$6*IF(F523&gt;0,F523,0))/(01_Parametres!$B$4*(D523&gt;0)+01_Parametres!$B$5*(E523&gt;0)+01_Parametres!$B$6*(F523&gt;0))),IF(01_Parametres!$B$8=0,"",(01_Parametres!$B$4*D523+01_Parametres!$B$5*E523+01_Parametres!$B$6*F523)/01_Parametres!$B$8)))</x:f>
      </x:c>
      <x:c r="H523">
        <x:f>IFERROR(VLOOKUP(C523,02_Referentiels!$A$20:$D$99,3,FALSE),"")</x:f>
      </x:c>
      <x:c r="I523">
        <x:f>IFERROR(VLOOKUP(B523,02_Referentiels!$A$5:$C$16,2,FALSE),"")</x:f>
      </x:c>
      <x:c r="J523">
        <x:f>IF(A523="","",IF(OR(D523="",E523="",F523=""),1,IF(OR(D523&lt;0,D523&gt;3,E523&lt;0,E523&gt;3,F523&lt;0,F523&gt;3),1,0)))</x:f>
      </x:c>
      <x:c r="K523">
        <x:f>IF(A523="","",IF(G523="",1,0))</x:f>
      </x:c>
      <x:c r="L523">
        <x:f>IF(A523="","",IF(COUNTIFS($A$5:$A$2004,A523,$C$5:$C$2004,C523)&gt;1,1,0))</x:f>
      </x:c>
    </x:row>
    <x:row r="524">
      <x:c r="A524" s="8" t="n"/>
      <x:c r="B524" s="8" t="n"/>
      <x:c r="C524" s="8" t="n"/>
      <x:c r="D524" s="8" t="n"/>
      <x:c r="E524" s="8" t="n"/>
      <x:c r="F524" s="8" t="n"/>
      <x:c r="G524" s="7">
        <x:f>IF(A524="","",IF(01_Parametres!$B$11="Oui",IF((01_Parametres!$B$4*(D524&gt;0)+01_Parametres!$B$5*(E524&gt;0)+01_Parametres!$B$6*(F524&gt;0))=0,"",(01_Parametres!$B$4*IF(D524&gt;0,D524,0)+01_Parametres!$B$5*IF(E524&gt;0,E524,0)+01_Parametres!$B$6*IF(F524&gt;0,F524,0))/(01_Parametres!$B$4*(D524&gt;0)+01_Parametres!$B$5*(E524&gt;0)+01_Parametres!$B$6*(F524&gt;0))),IF(01_Parametres!$B$8=0,"",(01_Parametres!$B$4*D524+01_Parametres!$B$5*E524+01_Parametres!$B$6*F524)/01_Parametres!$B$8)))</x:f>
      </x:c>
      <x:c r="H524">
        <x:f>IFERROR(VLOOKUP(C524,02_Referentiels!$A$20:$D$99,3,FALSE),"")</x:f>
      </x:c>
      <x:c r="I524">
        <x:f>IFERROR(VLOOKUP(B524,02_Referentiels!$A$5:$C$16,2,FALSE),"")</x:f>
      </x:c>
      <x:c r="J524">
        <x:f>IF(A524="","",IF(OR(D524="",E524="",F524=""),1,IF(OR(D524&lt;0,D524&gt;3,E524&lt;0,E524&gt;3,F524&lt;0,F524&gt;3),1,0)))</x:f>
      </x:c>
      <x:c r="K524">
        <x:f>IF(A524="","",IF(G524="",1,0))</x:f>
      </x:c>
      <x:c r="L524">
        <x:f>IF(A524="","",IF(COUNTIFS($A$5:$A$2004,A524,$C$5:$C$2004,C524)&gt;1,1,0))</x:f>
      </x:c>
    </x:row>
    <x:row r="525">
      <x:c r="A525" s="8" t="n"/>
      <x:c r="B525" s="8" t="n"/>
      <x:c r="C525" s="8" t="n"/>
      <x:c r="D525" s="8" t="n"/>
      <x:c r="E525" s="8" t="n"/>
      <x:c r="F525" s="8" t="n"/>
      <x:c r="G525" s="7">
        <x:f>IF(A525="","",IF(01_Parametres!$B$11="Oui",IF((01_Parametres!$B$4*(D525&gt;0)+01_Parametres!$B$5*(E525&gt;0)+01_Parametres!$B$6*(F525&gt;0))=0,"",(01_Parametres!$B$4*IF(D525&gt;0,D525,0)+01_Parametres!$B$5*IF(E525&gt;0,E525,0)+01_Parametres!$B$6*IF(F525&gt;0,F525,0))/(01_Parametres!$B$4*(D525&gt;0)+01_Parametres!$B$5*(E525&gt;0)+01_Parametres!$B$6*(F525&gt;0))),IF(01_Parametres!$B$8=0,"",(01_Parametres!$B$4*D525+01_Parametres!$B$5*E525+01_Parametres!$B$6*F525)/01_Parametres!$B$8)))</x:f>
      </x:c>
      <x:c r="H525">
        <x:f>IFERROR(VLOOKUP(C525,02_Referentiels!$A$20:$D$99,3,FALSE),"")</x:f>
      </x:c>
      <x:c r="I525">
        <x:f>IFERROR(VLOOKUP(B525,02_Referentiels!$A$5:$C$16,2,FALSE),"")</x:f>
      </x:c>
      <x:c r="J525">
        <x:f>IF(A525="","",IF(OR(D525="",E525="",F525=""),1,IF(OR(D525&lt;0,D525&gt;3,E525&lt;0,E525&gt;3,F525&lt;0,F525&gt;3),1,0)))</x:f>
      </x:c>
      <x:c r="K525">
        <x:f>IF(A525="","",IF(G525="",1,0))</x:f>
      </x:c>
      <x:c r="L525">
        <x:f>IF(A525="","",IF(COUNTIFS($A$5:$A$2004,A525,$C$5:$C$2004,C525)&gt;1,1,0))</x:f>
      </x:c>
    </x:row>
    <x:row r="526">
      <x:c r="A526" s="8" t="n"/>
      <x:c r="B526" s="8" t="n"/>
      <x:c r="C526" s="8" t="n"/>
      <x:c r="D526" s="8" t="n"/>
      <x:c r="E526" s="8" t="n"/>
      <x:c r="F526" s="8" t="n"/>
      <x:c r="G526" s="7">
        <x:f>IF(A526="","",IF(01_Parametres!$B$11="Oui",IF((01_Parametres!$B$4*(D526&gt;0)+01_Parametres!$B$5*(E526&gt;0)+01_Parametres!$B$6*(F526&gt;0))=0,"",(01_Parametres!$B$4*IF(D526&gt;0,D526,0)+01_Parametres!$B$5*IF(E526&gt;0,E526,0)+01_Parametres!$B$6*IF(F526&gt;0,F526,0))/(01_Parametres!$B$4*(D526&gt;0)+01_Parametres!$B$5*(E526&gt;0)+01_Parametres!$B$6*(F526&gt;0))),IF(01_Parametres!$B$8=0,"",(01_Parametres!$B$4*D526+01_Parametres!$B$5*E526+01_Parametres!$B$6*F526)/01_Parametres!$B$8)))</x:f>
      </x:c>
      <x:c r="H526">
        <x:f>IFERROR(VLOOKUP(C526,02_Referentiels!$A$20:$D$99,3,FALSE),"")</x:f>
      </x:c>
      <x:c r="I526">
        <x:f>IFERROR(VLOOKUP(B526,02_Referentiels!$A$5:$C$16,2,FALSE),"")</x:f>
      </x:c>
      <x:c r="J526">
        <x:f>IF(A526="","",IF(OR(D526="",E526="",F526=""),1,IF(OR(D526&lt;0,D526&gt;3,E526&lt;0,E526&gt;3,F526&lt;0,F526&gt;3),1,0)))</x:f>
      </x:c>
      <x:c r="K526">
        <x:f>IF(A526="","",IF(G526="",1,0))</x:f>
      </x:c>
      <x:c r="L526">
        <x:f>IF(A526="","",IF(COUNTIFS($A$5:$A$2004,A526,$C$5:$C$2004,C526)&gt;1,1,0))</x:f>
      </x:c>
    </x:row>
    <x:row r="527">
      <x:c r="A527" s="8" t="n"/>
      <x:c r="B527" s="8" t="n"/>
      <x:c r="C527" s="8" t="n"/>
      <x:c r="D527" s="8" t="n"/>
      <x:c r="E527" s="8" t="n"/>
      <x:c r="F527" s="8" t="n"/>
      <x:c r="G527" s="7">
        <x:f>IF(A527="","",IF(01_Parametres!$B$11="Oui",IF((01_Parametres!$B$4*(D527&gt;0)+01_Parametres!$B$5*(E527&gt;0)+01_Parametres!$B$6*(F527&gt;0))=0,"",(01_Parametres!$B$4*IF(D527&gt;0,D527,0)+01_Parametres!$B$5*IF(E527&gt;0,E527,0)+01_Parametres!$B$6*IF(F527&gt;0,F527,0))/(01_Parametres!$B$4*(D527&gt;0)+01_Parametres!$B$5*(E527&gt;0)+01_Parametres!$B$6*(F527&gt;0))),IF(01_Parametres!$B$8=0,"",(01_Parametres!$B$4*D527+01_Parametres!$B$5*E527+01_Parametres!$B$6*F527)/01_Parametres!$B$8)))</x:f>
      </x:c>
      <x:c r="H527">
        <x:f>IFERROR(VLOOKUP(C527,02_Referentiels!$A$20:$D$99,3,FALSE),"")</x:f>
      </x:c>
      <x:c r="I527">
        <x:f>IFERROR(VLOOKUP(B527,02_Referentiels!$A$5:$C$16,2,FALSE),"")</x:f>
      </x:c>
      <x:c r="J527">
        <x:f>IF(A527="","",IF(OR(D527="",E527="",F527=""),1,IF(OR(D527&lt;0,D527&gt;3,E527&lt;0,E527&gt;3,F527&lt;0,F527&gt;3),1,0)))</x:f>
      </x:c>
      <x:c r="K527">
        <x:f>IF(A527="","",IF(G527="",1,0))</x:f>
      </x:c>
      <x:c r="L527">
        <x:f>IF(A527="","",IF(COUNTIFS($A$5:$A$2004,A527,$C$5:$C$2004,C527)&gt;1,1,0))</x:f>
      </x:c>
    </x:row>
    <x:row r="528">
      <x:c r="A528" s="8" t="n"/>
      <x:c r="B528" s="8" t="n"/>
      <x:c r="C528" s="8" t="n"/>
      <x:c r="D528" s="8" t="n"/>
      <x:c r="E528" s="8" t="n"/>
      <x:c r="F528" s="8" t="n"/>
      <x:c r="G528" s="7">
        <x:f>IF(A528="","",IF(01_Parametres!$B$11="Oui",IF((01_Parametres!$B$4*(D528&gt;0)+01_Parametres!$B$5*(E528&gt;0)+01_Parametres!$B$6*(F528&gt;0))=0,"",(01_Parametres!$B$4*IF(D528&gt;0,D528,0)+01_Parametres!$B$5*IF(E528&gt;0,E528,0)+01_Parametres!$B$6*IF(F528&gt;0,F528,0))/(01_Parametres!$B$4*(D528&gt;0)+01_Parametres!$B$5*(E528&gt;0)+01_Parametres!$B$6*(F528&gt;0))),IF(01_Parametres!$B$8=0,"",(01_Parametres!$B$4*D528+01_Parametres!$B$5*E528+01_Parametres!$B$6*F528)/01_Parametres!$B$8)))</x:f>
      </x:c>
      <x:c r="H528">
        <x:f>IFERROR(VLOOKUP(C528,02_Referentiels!$A$20:$D$99,3,FALSE),"")</x:f>
      </x:c>
      <x:c r="I528">
        <x:f>IFERROR(VLOOKUP(B528,02_Referentiels!$A$5:$C$16,2,FALSE),"")</x:f>
      </x:c>
      <x:c r="J528">
        <x:f>IF(A528="","",IF(OR(D528="",E528="",F528=""),1,IF(OR(D528&lt;0,D528&gt;3,E528&lt;0,E528&gt;3,F528&lt;0,F528&gt;3),1,0)))</x:f>
      </x:c>
      <x:c r="K528">
        <x:f>IF(A528="","",IF(G528="",1,0))</x:f>
      </x:c>
      <x:c r="L528">
        <x:f>IF(A528="","",IF(COUNTIFS($A$5:$A$2004,A528,$C$5:$C$2004,C528)&gt;1,1,0))</x:f>
      </x:c>
    </x:row>
    <x:row r="529">
      <x:c r="A529" s="8" t="n"/>
      <x:c r="B529" s="8" t="n"/>
      <x:c r="C529" s="8" t="n"/>
      <x:c r="D529" s="8" t="n"/>
      <x:c r="E529" s="8" t="n"/>
      <x:c r="F529" s="8" t="n"/>
      <x:c r="G529" s="7">
        <x:f>IF(A529="","",IF(01_Parametres!$B$11="Oui",IF((01_Parametres!$B$4*(D529&gt;0)+01_Parametres!$B$5*(E529&gt;0)+01_Parametres!$B$6*(F529&gt;0))=0,"",(01_Parametres!$B$4*IF(D529&gt;0,D529,0)+01_Parametres!$B$5*IF(E529&gt;0,E529,0)+01_Parametres!$B$6*IF(F529&gt;0,F529,0))/(01_Parametres!$B$4*(D529&gt;0)+01_Parametres!$B$5*(E529&gt;0)+01_Parametres!$B$6*(F529&gt;0))),IF(01_Parametres!$B$8=0,"",(01_Parametres!$B$4*D529+01_Parametres!$B$5*E529+01_Parametres!$B$6*F529)/01_Parametres!$B$8)))</x:f>
      </x:c>
      <x:c r="H529">
        <x:f>IFERROR(VLOOKUP(C529,02_Referentiels!$A$20:$D$99,3,FALSE),"")</x:f>
      </x:c>
      <x:c r="I529">
        <x:f>IFERROR(VLOOKUP(B529,02_Referentiels!$A$5:$C$16,2,FALSE),"")</x:f>
      </x:c>
      <x:c r="J529">
        <x:f>IF(A529="","",IF(OR(D529="",E529="",F529=""),1,IF(OR(D529&lt;0,D529&gt;3,E529&lt;0,E529&gt;3,F529&lt;0,F529&gt;3),1,0)))</x:f>
      </x:c>
      <x:c r="K529">
        <x:f>IF(A529="","",IF(G529="",1,0))</x:f>
      </x:c>
      <x:c r="L529">
        <x:f>IF(A529="","",IF(COUNTIFS($A$5:$A$2004,A529,$C$5:$C$2004,C529)&gt;1,1,0))</x:f>
      </x:c>
    </x:row>
    <x:row r="530">
      <x:c r="A530" s="8" t="n"/>
      <x:c r="B530" s="8" t="n"/>
      <x:c r="C530" s="8" t="n"/>
      <x:c r="D530" s="8" t="n"/>
      <x:c r="E530" s="8" t="n"/>
      <x:c r="F530" s="8" t="n"/>
      <x:c r="G530" s="7">
        <x:f>IF(A530="","",IF(01_Parametres!$B$11="Oui",IF((01_Parametres!$B$4*(D530&gt;0)+01_Parametres!$B$5*(E530&gt;0)+01_Parametres!$B$6*(F530&gt;0))=0,"",(01_Parametres!$B$4*IF(D530&gt;0,D530,0)+01_Parametres!$B$5*IF(E530&gt;0,E530,0)+01_Parametres!$B$6*IF(F530&gt;0,F530,0))/(01_Parametres!$B$4*(D530&gt;0)+01_Parametres!$B$5*(E530&gt;0)+01_Parametres!$B$6*(F530&gt;0))),IF(01_Parametres!$B$8=0,"",(01_Parametres!$B$4*D530+01_Parametres!$B$5*E530+01_Parametres!$B$6*F530)/01_Parametres!$B$8)))</x:f>
      </x:c>
      <x:c r="H530">
        <x:f>IFERROR(VLOOKUP(C530,02_Referentiels!$A$20:$D$99,3,FALSE),"")</x:f>
      </x:c>
      <x:c r="I530">
        <x:f>IFERROR(VLOOKUP(B530,02_Referentiels!$A$5:$C$16,2,FALSE),"")</x:f>
      </x:c>
      <x:c r="J530">
        <x:f>IF(A530="","",IF(OR(D530="",E530="",F530=""),1,IF(OR(D530&lt;0,D530&gt;3,E530&lt;0,E530&gt;3,F530&lt;0,F530&gt;3),1,0)))</x:f>
      </x:c>
      <x:c r="K530">
        <x:f>IF(A530="","",IF(G530="",1,0))</x:f>
      </x:c>
      <x:c r="L530">
        <x:f>IF(A530="","",IF(COUNTIFS($A$5:$A$2004,A530,$C$5:$C$2004,C530)&gt;1,1,0))</x:f>
      </x:c>
    </x:row>
    <x:row r="531">
      <x:c r="A531" s="8" t="n"/>
      <x:c r="B531" s="8" t="n"/>
      <x:c r="C531" s="8" t="n"/>
      <x:c r="D531" s="8" t="n"/>
      <x:c r="E531" s="8" t="n"/>
      <x:c r="F531" s="8" t="n"/>
      <x:c r="G531" s="7">
        <x:f>IF(A531="","",IF(01_Parametres!$B$11="Oui",IF((01_Parametres!$B$4*(D531&gt;0)+01_Parametres!$B$5*(E531&gt;0)+01_Parametres!$B$6*(F531&gt;0))=0,"",(01_Parametres!$B$4*IF(D531&gt;0,D531,0)+01_Parametres!$B$5*IF(E531&gt;0,E531,0)+01_Parametres!$B$6*IF(F531&gt;0,F531,0))/(01_Parametres!$B$4*(D531&gt;0)+01_Parametres!$B$5*(E531&gt;0)+01_Parametres!$B$6*(F531&gt;0))),IF(01_Parametres!$B$8=0,"",(01_Parametres!$B$4*D531+01_Parametres!$B$5*E531+01_Parametres!$B$6*F531)/01_Parametres!$B$8)))</x:f>
      </x:c>
      <x:c r="H531">
        <x:f>IFERROR(VLOOKUP(C531,02_Referentiels!$A$20:$D$99,3,FALSE),"")</x:f>
      </x:c>
      <x:c r="I531">
        <x:f>IFERROR(VLOOKUP(B531,02_Referentiels!$A$5:$C$16,2,FALSE),"")</x:f>
      </x:c>
      <x:c r="J531">
        <x:f>IF(A531="","",IF(OR(D531="",E531="",F531=""),1,IF(OR(D531&lt;0,D531&gt;3,E531&lt;0,E531&gt;3,F531&lt;0,F531&gt;3),1,0)))</x:f>
      </x:c>
      <x:c r="K531">
        <x:f>IF(A531="","",IF(G531="",1,0))</x:f>
      </x:c>
      <x:c r="L531">
        <x:f>IF(A531="","",IF(COUNTIFS($A$5:$A$2004,A531,$C$5:$C$2004,C531)&gt;1,1,0))</x:f>
      </x:c>
    </x:row>
    <x:row r="532">
      <x:c r="A532" s="8" t="n"/>
      <x:c r="B532" s="8" t="n"/>
      <x:c r="C532" s="8" t="n"/>
      <x:c r="D532" s="8" t="n"/>
      <x:c r="E532" s="8" t="n"/>
      <x:c r="F532" s="8" t="n"/>
      <x:c r="G532" s="7">
        <x:f>IF(A532="","",IF(01_Parametres!$B$11="Oui",IF((01_Parametres!$B$4*(D532&gt;0)+01_Parametres!$B$5*(E532&gt;0)+01_Parametres!$B$6*(F532&gt;0))=0,"",(01_Parametres!$B$4*IF(D532&gt;0,D532,0)+01_Parametres!$B$5*IF(E532&gt;0,E532,0)+01_Parametres!$B$6*IF(F532&gt;0,F532,0))/(01_Parametres!$B$4*(D532&gt;0)+01_Parametres!$B$5*(E532&gt;0)+01_Parametres!$B$6*(F532&gt;0))),IF(01_Parametres!$B$8=0,"",(01_Parametres!$B$4*D532+01_Parametres!$B$5*E532+01_Parametres!$B$6*F532)/01_Parametres!$B$8)))</x:f>
      </x:c>
      <x:c r="H532">
        <x:f>IFERROR(VLOOKUP(C532,02_Referentiels!$A$20:$D$99,3,FALSE),"")</x:f>
      </x:c>
      <x:c r="I532">
        <x:f>IFERROR(VLOOKUP(B532,02_Referentiels!$A$5:$C$16,2,FALSE),"")</x:f>
      </x:c>
      <x:c r="J532">
        <x:f>IF(A532="","",IF(OR(D532="",E532="",F532=""),1,IF(OR(D532&lt;0,D532&gt;3,E532&lt;0,E532&gt;3,F532&lt;0,F532&gt;3),1,0)))</x:f>
      </x:c>
      <x:c r="K532">
        <x:f>IF(A532="","",IF(G532="",1,0))</x:f>
      </x:c>
      <x:c r="L532">
        <x:f>IF(A532="","",IF(COUNTIFS($A$5:$A$2004,A532,$C$5:$C$2004,C532)&gt;1,1,0))</x:f>
      </x:c>
    </x:row>
    <x:row r="533">
      <x:c r="A533" s="8" t="n"/>
      <x:c r="B533" s="8" t="n"/>
      <x:c r="C533" s="8" t="n"/>
      <x:c r="D533" s="8" t="n"/>
      <x:c r="E533" s="8" t="n"/>
      <x:c r="F533" s="8" t="n"/>
      <x:c r="G533" s="7">
        <x:f>IF(A533="","",IF(01_Parametres!$B$11="Oui",IF((01_Parametres!$B$4*(D533&gt;0)+01_Parametres!$B$5*(E533&gt;0)+01_Parametres!$B$6*(F533&gt;0))=0,"",(01_Parametres!$B$4*IF(D533&gt;0,D533,0)+01_Parametres!$B$5*IF(E533&gt;0,E533,0)+01_Parametres!$B$6*IF(F533&gt;0,F533,0))/(01_Parametres!$B$4*(D533&gt;0)+01_Parametres!$B$5*(E533&gt;0)+01_Parametres!$B$6*(F533&gt;0))),IF(01_Parametres!$B$8=0,"",(01_Parametres!$B$4*D533+01_Parametres!$B$5*E533+01_Parametres!$B$6*F533)/01_Parametres!$B$8)))</x:f>
      </x:c>
      <x:c r="H533">
        <x:f>IFERROR(VLOOKUP(C533,02_Referentiels!$A$20:$D$99,3,FALSE),"")</x:f>
      </x:c>
      <x:c r="I533">
        <x:f>IFERROR(VLOOKUP(B533,02_Referentiels!$A$5:$C$16,2,FALSE),"")</x:f>
      </x:c>
      <x:c r="J533">
        <x:f>IF(A533="","",IF(OR(D533="",E533="",F533=""),1,IF(OR(D533&lt;0,D533&gt;3,E533&lt;0,E533&gt;3,F533&lt;0,F533&gt;3),1,0)))</x:f>
      </x:c>
      <x:c r="K533">
        <x:f>IF(A533="","",IF(G533="",1,0))</x:f>
      </x:c>
      <x:c r="L533">
        <x:f>IF(A533="","",IF(COUNTIFS($A$5:$A$2004,A533,$C$5:$C$2004,C533)&gt;1,1,0))</x:f>
      </x:c>
    </x:row>
    <x:row r="534">
      <x:c r="A534" s="8" t="n"/>
      <x:c r="B534" s="8" t="n"/>
      <x:c r="C534" s="8" t="n"/>
      <x:c r="D534" s="8" t="n"/>
      <x:c r="E534" s="8" t="n"/>
      <x:c r="F534" s="8" t="n"/>
      <x:c r="G534" s="7">
        <x:f>IF(A534="","",IF(01_Parametres!$B$11="Oui",IF((01_Parametres!$B$4*(D534&gt;0)+01_Parametres!$B$5*(E534&gt;0)+01_Parametres!$B$6*(F534&gt;0))=0,"",(01_Parametres!$B$4*IF(D534&gt;0,D534,0)+01_Parametres!$B$5*IF(E534&gt;0,E534,0)+01_Parametres!$B$6*IF(F534&gt;0,F534,0))/(01_Parametres!$B$4*(D534&gt;0)+01_Parametres!$B$5*(E534&gt;0)+01_Parametres!$B$6*(F534&gt;0))),IF(01_Parametres!$B$8=0,"",(01_Parametres!$B$4*D534+01_Parametres!$B$5*E534+01_Parametres!$B$6*F534)/01_Parametres!$B$8)))</x:f>
      </x:c>
      <x:c r="H534">
        <x:f>IFERROR(VLOOKUP(C534,02_Referentiels!$A$20:$D$99,3,FALSE),"")</x:f>
      </x:c>
      <x:c r="I534">
        <x:f>IFERROR(VLOOKUP(B534,02_Referentiels!$A$5:$C$16,2,FALSE),"")</x:f>
      </x:c>
      <x:c r="J534">
        <x:f>IF(A534="","",IF(OR(D534="",E534="",F534=""),1,IF(OR(D534&lt;0,D534&gt;3,E534&lt;0,E534&gt;3,F534&lt;0,F534&gt;3),1,0)))</x:f>
      </x:c>
      <x:c r="K534">
        <x:f>IF(A534="","",IF(G534="",1,0))</x:f>
      </x:c>
      <x:c r="L534">
        <x:f>IF(A534="","",IF(COUNTIFS($A$5:$A$2004,A534,$C$5:$C$2004,C534)&gt;1,1,0))</x:f>
      </x:c>
    </x:row>
    <x:row r="535">
      <x:c r="A535" s="8" t="n"/>
      <x:c r="B535" s="8" t="n"/>
      <x:c r="C535" s="8" t="n"/>
      <x:c r="D535" s="8" t="n"/>
      <x:c r="E535" s="8" t="n"/>
      <x:c r="F535" s="8" t="n"/>
      <x:c r="G535" s="7">
        <x:f>IF(A535="","",IF(01_Parametres!$B$11="Oui",IF((01_Parametres!$B$4*(D535&gt;0)+01_Parametres!$B$5*(E535&gt;0)+01_Parametres!$B$6*(F535&gt;0))=0,"",(01_Parametres!$B$4*IF(D535&gt;0,D535,0)+01_Parametres!$B$5*IF(E535&gt;0,E535,0)+01_Parametres!$B$6*IF(F535&gt;0,F535,0))/(01_Parametres!$B$4*(D535&gt;0)+01_Parametres!$B$5*(E535&gt;0)+01_Parametres!$B$6*(F535&gt;0))),IF(01_Parametres!$B$8=0,"",(01_Parametres!$B$4*D535+01_Parametres!$B$5*E535+01_Parametres!$B$6*F535)/01_Parametres!$B$8)))</x:f>
      </x:c>
      <x:c r="H535">
        <x:f>IFERROR(VLOOKUP(C535,02_Referentiels!$A$20:$D$99,3,FALSE),"")</x:f>
      </x:c>
      <x:c r="I535">
        <x:f>IFERROR(VLOOKUP(B535,02_Referentiels!$A$5:$C$16,2,FALSE),"")</x:f>
      </x:c>
      <x:c r="J535">
        <x:f>IF(A535="","",IF(OR(D535="",E535="",F535=""),1,IF(OR(D535&lt;0,D535&gt;3,E535&lt;0,E535&gt;3,F535&lt;0,F535&gt;3),1,0)))</x:f>
      </x:c>
      <x:c r="K535">
        <x:f>IF(A535="","",IF(G535="",1,0))</x:f>
      </x:c>
      <x:c r="L535">
        <x:f>IF(A535="","",IF(COUNTIFS($A$5:$A$2004,A535,$C$5:$C$2004,C535)&gt;1,1,0))</x:f>
      </x:c>
    </x:row>
    <x:row r="536">
      <x:c r="A536" s="8" t="n"/>
      <x:c r="B536" s="8" t="n"/>
      <x:c r="C536" s="8" t="n"/>
      <x:c r="D536" s="8" t="n"/>
      <x:c r="E536" s="8" t="n"/>
      <x:c r="F536" s="8" t="n"/>
      <x:c r="G536" s="7">
        <x:f>IF(A536="","",IF(01_Parametres!$B$11="Oui",IF((01_Parametres!$B$4*(D536&gt;0)+01_Parametres!$B$5*(E536&gt;0)+01_Parametres!$B$6*(F536&gt;0))=0,"",(01_Parametres!$B$4*IF(D536&gt;0,D536,0)+01_Parametres!$B$5*IF(E536&gt;0,E536,0)+01_Parametres!$B$6*IF(F536&gt;0,F536,0))/(01_Parametres!$B$4*(D536&gt;0)+01_Parametres!$B$5*(E536&gt;0)+01_Parametres!$B$6*(F536&gt;0))),IF(01_Parametres!$B$8=0,"",(01_Parametres!$B$4*D536+01_Parametres!$B$5*E536+01_Parametres!$B$6*F536)/01_Parametres!$B$8)))</x:f>
      </x:c>
      <x:c r="H536">
        <x:f>IFERROR(VLOOKUP(C536,02_Referentiels!$A$20:$D$99,3,FALSE),"")</x:f>
      </x:c>
      <x:c r="I536">
        <x:f>IFERROR(VLOOKUP(B536,02_Referentiels!$A$5:$C$16,2,FALSE),"")</x:f>
      </x:c>
      <x:c r="J536">
        <x:f>IF(A536="","",IF(OR(D536="",E536="",F536=""),1,IF(OR(D536&lt;0,D536&gt;3,E536&lt;0,E536&gt;3,F536&lt;0,F536&gt;3),1,0)))</x:f>
      </x:c>
      <x:c r="K536">
        <x:f>IF(A536="","",IF(G536="",1,0))</x:f>
      </x:c>
      <x:c r="L536">
        <x:f>IF(A536="","",IF(COUNTIFS($A$5:$A$2004,A536,$C$5:$C$2004,C536)&gt;1,1,0))</x:f>
      </x:c>
    </x:row>
    <x:row r="537">
      <x:c r="A537" s="8" t="n"/>
      <x:c r="B537" s="8" t="n"/>
      <x:c r="C537" s="8" t="n"/>
      <x:c r="D537" s="8" t="n"/>
      <x:c r="E537" s="8" t="n"/>
      <x:c r="F537" s="8" t="n"/>
      <x:c r="G537" s="7">
        <x:f>IF(A537="","",IF(01_Parametres!$B$11="Oui",IF((01_Parametres!$B$4*(D537&gt;0)+01_Parametres!$B$5*(E537&gt;0)+01_Parametres!$B$6*(F537&gt;0))=0,"",(01_Parametres!$B$4*IF(D537&gt;0,D537,0)+01_Parametres!$B$5*IF(E537&gt;0,E537,0)+01_Parametres!$B$6*IF(F537&gt;0,F537,0))/(01_Parametres!$B$4*(D537&gt;0)+01_Parametres!$B$5*(E537&gt;0)+01_Parametres!$B$6*(F537&gt;0))),IF(01_Parametres!$B$8=0,"",(01_Parametres!$B$4*D537+01_Parametres!$B$5*E537+01_Parametres!$B$6*F537)/01_Parametres!$B$8)))</x:f>
      </x:c>
      <x:c r="H537">
        <x:f>IFERROR(VLOOKUP(C537,02_Referentiels!$A$20:$D$99,3,FALSE),"")</x:f>
      </x:c>
      <x:c r="I537">
        <x:f>IFERROR(VLOOKUP(B537,02_Referentiels!$A$5:$C$16,2,FALSE),"")</x:f>
      </x:c>
      <x:c r="J537">
        <x:f>IF(A537="","",IF(OR(D537="",E537="",F537=""),1,IF(OR(D537&lt;0,D537&gt;3,E537&lt;0,E537&gt;3,F537&lt;0,F537&gt;3),1,0)))</x:f>
      </x:c>
      <x:c r="K537">
        <x:f>IF(A537="","",IF(G537="",1,0))</x:f>
      </x:c>
      <x:c r="L537">
        <x:f>IF(A537="","",IF(COUNTIFS($A$5:$A$2004,A537,$C$5:$C$2004,C537)&gt;1,1,0))</x:f>
      </x:c>
    </x:row>
    <x:row r="538">
      <x:c r="A538" s="8" t="n"/>
      <x:c r="B538" s="8" t="n"/>
      <x:c r="C538" s="8" t="n"/>
      <x:c r="D538" s="8" t="n"/>
      <x:c r="E538" s="8" t="n"/>
      <x:c r="F538" s="8" t="n"/>
      <x:c r="G538" s="7">
        <x:f>IF(A538="","",IF(01_Parametres!$B$11="Oui",IF((01_Parametres!$B$4*(D538&gt;0)+01_Parametres!$B$5*(E538&gt;0)+01_Parametres!$B$6*(F538&gt;0))=0,"",(01_Parametres!$B$4*IF(D538&gt;0,D538,0)+01_Parametres!$B$5*IF(E538&gt;0,E538,0)+01_Parametres!$B$6*IF(F538&gt;0,F538,0))/(01_Parametres!$B$4*(D538&gt;0)+01_Parametres!$B$5*(E538&gt;0)+01_Parametres!$B$6*(F538&gt;0))),IF(01_Parametres!$B$8=0,"",(01_Parametres!$B$4*D538+01_Parametres!$B$5*E538+01_Parametres!$B$6*F538)/01_Parametres!$B$8)))</x:f>
      </x:c>
      <x:c r="H538">
        <x:f>IFERROR(VLOOKUP(C538,02_Referentiels!$A$20:$D$99,3,FALSE),"")</x:f>
      </x:c>
      <x:c r="I538">
        <x:f>IFERROR(VLOOKUP(B538,02_Referentiels!$A$5:$C$16,2,FALSE),"")</x:f>
      </x:c>
      <x:c r="J538">
        <x:f>IF(A538="","",IF(OR(D538="",E538="",F538=""),1,IF(OR(D538&lt;0,D538&gt;3,E538&lt;0,E538&gt;3,F538&lt;0,F538&gt;3),1,0)))</x:f>
      </x:c>
      <x:c r="K538">
        <x:f>IF(A538="","",IF(G538="",1,0))</x:f>
      </x:c>
      <x:c r="L538">
        <x:f>IF(A538="","",IF(COUNTIFS($A$5:$A$2004,A538,$C$5:$C$2004,C538)&gt;1,1,0))</x:f>
      </x:c>
    </x:row>
    <x:row r="539">
      <x:c r="A539" s="8" t="n"/>
      <x:c r="B539" s="8" t="n"/>
      <x:c r="C539" s="8" t="n"/>
      <x:c r="D539" s="8" t="n"/>
      <x:c r="E539" s="8" t="n"/>
      <x:c r="F539" s="8" t="n"/>
      <x:c r="G539" s="7">
        <x:f>IF(A539="","",IF(01_Parametres!$B$11="Oui",IF((01_Parametres!$B$4*(D539&gt;0)+01_Parametres!$B$5*(E539&gt;0)+01_Parametres!$B$6*(F539&gt;0))=0,"",(01_Parametres!$B$4*IF(D539&gt;0,D539,0)+01_Parametres!$B$5*IF(E539&gt;0,E539,0)+01_Parametres!$B$6*IF(F539&gt;0,F539,0))/(01_Parametres!$B$4*(D539&gt;0)+01_Parametres!$B$5*(E539&gt;0)+01_Parametres!$B$6*(F539&gt;0))),IF(01_Parametres!$B$8=0,"",(01_Parametres!$B$4*D539+01_Parametres!$B$5*E539+01_Parametres!$B$6*F539)/01_Parametres!$B$8)))</x:f>
      </x:c>
      <x:c r="H539">
        <x:f>IFERROR(VLOOKUP(C539,02_Referentiels!$A$20:$D$99,3,FALSE),"")</x:f>
      </x:c>
      <x:c r="I539">
        <x:f>IFERROR(VLOOKUP(B539,02_Referentiels!$A$5:$C$16,2,FALSE),"")</x:f>
      </x:c>
      <x:c r="J539">
        <x:f>IF(A539="","",IF(OR(D539="",E539="",F539=""),1,IF(OR(D539&lt;0,D539&gt;3,E539&lt;0,E539&gt;3,F539&lt;0,F539&gt;3),1,0)))</x:f>
      </x:c>
      <x:c r="K539">
        <x:f>IF(A539="","",IF(G539="",1,0))</x:f>
      </x:c>
      <x:c r="L539">
        <x:f>IF(A539="","",IF(COUNTIFS($A$5:$A$2004,A539,$C$5:$C$2004,C539)&gt;1,1,0))</x:f>
      </x:c>
    </x:row>
    <x:row r="540">
      <x:c r="A540" s="8" t="n"/>
      <x:c r="B540" s="8" t="n"/>
      <x:c r="C540" s="8" t="n"/>
      <x:c r="D540" s="8" t="n"/>
      <x:c r="E540" s="8" t="n"/>
      <x:c r="F540" s="8" t="n"/>
      <x:c r="G540" s="7">
        <x:f>IF(A540="","",IF(01_Parametres!$B$11="Oui",IF((01_Parametres!$B$4*(D540&gt;0)+01_Parametres!$B$5*(E540&gt;0)+01_Parametres!$B$6*(F540&gt;0))=0,"",(01_Parametres!$B$4*IF(D540&gt;0,D540,0)+01_Parametres!$B$5*IF(E540&gt;0,E540,0)+01_Parametres!$B$6*IF(F540&gt;0,F540,0))/(01_Parametres!$B$4*(D540&gt;0)+01_Parametres!$B$5*(E540&gt;0)+01_Parametres!$B$6*(F540&gt;0))),IF(01_Parametres!$B$8=0,"",(01_Parametres!$B$4*D540+01_Parametres!$B$5*E540+01_Parametres!$B$6*F540)/01_Parametres!$B$8)))</x:f>
      </x:c>
      <x:c r="H540">
        <x:f>IFERROR(VLOOKUP(C540,02_Referentiels!$A$20:$D$99,3,FALSE),"")</x:f>
      </x:c>
      <x:c r="I540">
        <x:f>IFERROR(VLOOKUP(B540,02_Referentiels!$A$5:$C$16,2,FALSE),"")</x:f>
      </x:c>
      <x:c r="J540">
        <x:f>IF(A540="","",IF(OR(D540="",E540="",F540=""),1,IF(OR(D540&lt;0,D540&gt;3,E540&lt;0,E540&gt;3,F540&lt;0,F540&gt;3),1,0)))</x:f>
      </x:c>
      <x:c r="K540">
        <x:f>IF(A540="","",IF(G540="",1,0))</x:f>
      </x:c>
      <x:c r="L540">
        <x:f>IF(A540="","",IF(COUNTIFS($A$5:$A$2004,A540,$C$5:$C$2004,C540)&gt;1,1,0))</x:f>
      </x:c>
    </x:row>
    <x:row r="541">
      <x:c r="A541" s="8" t="n"/>
      <x:c r="B541" s="8" t="n"/>
      <x:c r="C541" s="8" t="n"/>
      <x:c r="D541" s="8" t="n"/>
      <x:c r="E541" s="8" t="n"/>
      <x:c r="F541" s="8" t="n"/>
      <x:c r="G541" s="7">
        <x:f>IF(A541="","",IF(01_Parametres!$B$11="Oui",IF((01_Parametres!$B$4*(D541&gt;0)+01_Parametres!$B$5*(E541&gt;0)+01_Parametres!$B$6*(F541&gt;0))=0,"",(01_Parametres!$B$4*IF(D541&gt;0,D541,0)+01_Parametres!$B$5*IF(E541&gt;0,E541,0)+01_Parametres!$B$6*IF(F541&gt;0,F541,0))/(01_Parametres!$B$4*(D541&gt;0)+01_Parametres!$B$5*(E541&gt;0)+01_Parametres!$B$6*(F541&gt;0))),IF(01_Parametres!$B$8=0,"",(01_Parametres!$B$4*D541+01_Parametres!$B$5*E541+01_Parametres!$B$6*F541)/01_Parametres!$B$8)))</x:f>
      </x:c>
      <x:c r="H541">
        <x:f>IFERROR(VLOOKUP(C541,02_Referentiels!$A$20:$D$99,3,FALSE),"")</x:f>
      </x:c>
      <x:c r="I541">
        <x:f>IFERROR(VLOOKUP(B541,02_Referentiels!$A$5:$C$16,2,FALSE),"")</x:f>
      </x:c>
      <x:c r="J541">
        <x:f>IF(A541="","",IF(OR(D541="",E541="",F541=""),1,IF(OR(D541&lt;0,D541&gt;3,E541&lt;0,E541&gt;3,F541&lt;0,F541&gt;3),1,0)))</x:f>
      </x:c>
      <x:c r="K541">
        <x:f>IF(A541="","",IF(G541="",1,0))</x:f>
      </x:c>
      <x:c r="L541">
        <x:f>IF(A541="","",IF(COUNTIFS($A$5:$A$2004,A541,$C$5:$C$2004,C541)&gt;1,1,0))</x:f>
      </x:c>
    </x:row>
    <x:row r="542">
      <x:c r="A542" s="8" t="n"/>
      <x:c r="B542" s="8" t="n"/>
      <x:c r="C542" s="8" t="n"/>
      <x:c r="D542" s="8" t="n"/>
      <x:c r="E542" s="8" t="n"/>
      <x:c r="F542" s="8" t="n"/>
      <x:c r="G542" s="7">
        <x:f>IF(A542="","",IF(01_Parametres!$B$11="Oui",IF((01_Parametres!$B$4*(D542&gt;0)+01_Parametres!$B$5*(E542&gt;0)+01_Parametres!$B$6*(F542&gt;0))=0,"",(01_Parametres!$B$4*IF(D542&gt;0,D542,0)+01_Parametres!$B$5*IF(E542&gt;0,E542,0)+01_Parametres!$B$6*IF(F542&gt;0,F542,0))/(01_Parametres!$B$4*(D542&gt;0)+01_Parametres!$B$5*(E542&gt;0)+01_Parametres!$B$6*(F542&gt;0))),IF(01_Parametres!$B$8=0,"",(01_Parametres!$B$4*D542+01_Parametres!$B$5*E542+01_Parametres!$B$6*F542)/01_Parametres!$B$8)))</x:f>
      </x:c>
      <x:c r="H542">
        <x:f>IFERROR(VLOOKUP(C542,02_Referentiels!$A$20:$D$99,3,FALSE),"")</x:f>
      </x:c>
      <x:c r="I542">
        <x:f>IFERROR(VLOOKUP(B542,02_Referentiels!$A$5:$C$16,2,FALSE),"")</x:f>
      </x:c>
      <x:c r="J542">
        <x:f>IF(A542="","",IF(OR(D542="",E542="",F542=""),1,IF(OR(D542&lt;0,D542&gt;3,E542&lt;0,E542&gt;3,F542&lt;0,F542&gt;3),1,0)))</x:f>
      </x:c>
      <x:c r="K542">
        <x:f>IF(A542="","",IF(G542="",1,0))</x:f>
      </x:c>
      <x:c r="L542">
        <x:f>IF(A542="","",IF(COUNTIFS($A$5:$A$2004,A542,$C$5:$C$2004,C542)&gt;1,1,0))</x:f>
      </x:c>
    </x:row>
    <x:row r="543">
      <x:c r="A543" s="8" t="n"/>
      <x:c r="B543" s="8" t="n"/>
      <x:c r="C543" s="8" t="n"/>
      <x:c r="D543" s="8" t="n"/>
      <x:c r="E543" s="8" t="n"/>
      <x:c r="F543" s="8" t="n"/>
      <x:c r="G543" s="7">
        <x:f>IF(A543="","",IF(01_Parametres!$B$11="Oui",IF((01_Parametres!$B$4*(D543&gt;0)+01_Parametres!$B$5*(E543&gt;0)+01_Parametres!$B$6*(F543&gt;0))=0,"",(01_Parametres!$B$4*IF(D543&gt;0,D543,0)+01_Parametres!$B$5*IF(E543&gt;0,E543,0)+01_Parametres!$B$6*IF(F543&gt;0,F543,0))/(01_Parametres!$B$4*(D543&gt;0)+01_Parametres!$B$5*(E543&gt;0)+01_Parametres!$B$6*(F543&gt;0))),IF(01_Parametres!$B$8=0,"",(01_Parametres!$B$4*D543+01_Parametres!$B$5*E543+01_Parametres!$B$6*F543)/01_Parametres!$B$8)))</x:f>
      </x:c>
      <x:c r="H543">
        <x:f>IFERROR(VLOOKUP(C543,02_Referentiels!$A$20:$D$99,3,FALSE),"")</x:f>
      </x:c>
      <x:c r="I543">
        <x:f>IFERROR(VLOOKUP(B543,02_Referentiels!$A$5:$C$16,2,FALSE),"")</x:f>
      </x:c>
      <x:c r="J543">
        <x:f>IF(A543="","",IF(OR(D543="",E543="",F543=""),1,IF(OR(D543&lt;0,D543&gt;3,E543&lt;0,E543&gt;3,F543&lt;0,F543&gt;3),1,0)))</x:f>
      </x:c>
      <x:c r="K543">
        <x:f>IF(A543="","",IF(G543="",1,0))</x:f>
      </x:c>
      <x:c r="L543">
        <x:f>IF(A543="","",IF(COUNTIFS($A$5:$A$2004,A543,$C$5:$C$2004,C543)&gt;1,1,0))</x:f>
      </x:c>
    </x:row>
    <x:row r="544">
      <x:c r="A544" s="8" t="n"/>
      <x:c r="B544" s="8" t="n"/>
      <x:c r="C544" s="8" t="n"/>
      <x:c r="D544" s="8" t="n"/>
      <x:c r="E544" s="8" t="n"/>
      <x:c r="F544" s="8" t="n"/>
      <x:c r="G544" s="7">
        <x:f>IF(A544="","",IF(01_Parametres!$B$11="Oui",IF((01_Parametres!$B$4*(D544&gt;0)+01_Parametres!$B$5*(E544&gt;0)+01_Parametres!$B$6*(F544&gt;0))=0,"",(01_Parametres!$B$4*IF(D544&gt;0,D544,0)+01_Parametres!$B$5*IF(E544&gt;0,E544,0)+01_Parametres!$B$6*IF(F544&gt;0,F544,0))/(01_Parametres!$B$4*(D544&gt;0)+01_Parametres!$B$5*(E544&gt;0)+01_Parametres!$B$6*(F544&gt;0))),IF(01_Parametres!$B$8=0,"",(01_Parametres!$B$4*D544+01_Parametres!$B$5*E544+01_Parametres!$B$6*F544)/01_Parametres!$B$8)))</x:f>
      </x:c>
      <x:c r="H544">
        <x:f>IFERROR(VLOOKUP(C544,02_Referentiels!$A$20:$D$99,3,FALSE),"")</x:f>
      </x:c>
      <x:c r="I544">
        <x:f>IFERROR(VLOOKUP(B544,02_Referentiels!$A$5:$C$16,2,FALSE),"")</x:f>
      </x:c>
      <x:c r="J544">
        <x:f>IF(A544="","",IF(OR(D544="",E544="",F544=""),1,IF(OR(D544&lt;0,D544&gt;3,E544&lt;0,E544&gt;3,F544&lt;0,F544&gt;3),1,0)))</x:f>
      </x:c>
      <x:c r="K544">
        <x:f>IF(A544="","",IF(G544="",1,0))</x:f>
      </x:c>
      <x:c r="L544">
        <x:f>IF(A544="","",IF(COUNTIFS($A$5:$A$2004,A544,$C$5:$C$2004,C544)&gt;1,1,0))</x:f>
      </x:c>
    </x:row>
    <x:row r="545">
      <x:c r="A545" s="8" t="n"/>
      <x:c r="B545" s="8" t="n"/>
      <x:c r="C545" s="8" t="n"/>
      <x:c r="D545" s="8" t="n"/>
      <x:c r="E545" s="8" t="n"/>
      <x:c r="F545" s="8" t="n"/>
      <x:c r="G545" s="7">
        <x:f>IF(A545="","",IF(01_Parametres!$B$11="Oui",IF((01_Parametres!$B$4*(D545&gt;0)+01_Parametres!$B$5*(E545&gt;0)+01_Parametres!$B$6*(F545&gt;0))=0,"",(01_Parametres!$B$4*IF(D545&gt;0,D545,0)+01_Parametres!$B$5*IF(E545&gt;0,E545,0)+01_Parametres!$B$6*IF(F545&gt;0,F545,0))/(01_Parametres!$B$4*(D545&gt;0)+01_Parametres!$B$5*(E545&gt;0)+01_Parametres!$B$6*(F545&gt;0))),IF(01_Parametres!$B$8=0,"",(01_Parametres!$B$4*D545+01_Parametres!$B$5*E545+01_Parametres!$B$6*F545)/01_Parametres!$B$8)))</x:f>
      </x:c>
      <x:c r="H545">
        <x:f>IFERROR(VLOOKUP(C545,02_Referentiels!$A$20:$D$99,3,FALSE),"")</x:f>
      </x:c>
      <x:c r="I545">
        <x:f>IFERROR(VLOOKUP(B545,02_Referentiels!$A$5:$C$16,2,FALSE),"")</x:f>
      </x:c>
      <x:c r="J545">
        <x:f>IF(A545="","",IF(OR(D545="",E545="",F545=""),1,IF(OR(D545&lt;0,D545&gt;3,E545&lt;0,E545&gt;3,F545&lt;0,F545&gt;3),1,0)))</x:f>
      </x:c>
      <x:c r="K545">
        <x:f>IF(A545="","",IF(G545="",1,0))</x:f>
      </x:c>
      <x:c r="L545">
        <x:f>IF(A545="","",IF(COUNTIFS($A$5:$A$2004,A545,$C$5:$C$2004,C545)&gt;1,1,0))</x:f>
      </x:c>
    </x:row>
    <x:row r="546">
      <x:c r="A546" s="8" t="n"/>
      <x:c r="B546" s="8" t="n"/>
      <x:c r="C546" s="8" t="n"/>
      <x:c r="D546" s="8" t="n"/>
      <x:c r="E546" s="8" t="n"/>
      <x:c r="F546" s="8" t="n"/>
      <x:c r="G546" s="7">
        <x:f>IF(A546="","",IF(01_Parametres!$B$11="Oui",IF((01_Parametres!$B$4*(D546&gt;0)+01_Parametres!$B$5*(E546&gt;0)+01_Parametres!$B$6*(F546&gt;0))=0,"",(01_Parametres!$B$4*IF(D546&gt;0,D546,0)+01_Parametres!$B$5*IF(E546&gt;0,E546,0)+01_Parametres!$B$6*IF(F546&gt;0,F546,0))/(01_Parametres!$B$4*(D546&gt;0)+01_Parametres!$B$5*(E546&gt;0)+01_Parametres!$B$6*(F546&gt;0))),IF(01_Parametres!$B$8=0,"",(01_Parametres!$B$4*D546+01_Parametres!$B$5*E546+01_Parametres!$B$6*F546)/01_Parametres!$B$8)))</x:f>
      </x:c>
      <x:c r="H546">
        <x:f>IFERROR(VLOOKUP(C546,02_Referentiels!$A$20:$D$99,3,FALSE),"")</x:f>
      </x:c>
      <x:c r="I546">
        <x:f>IFERROR(VLOOKUP(B546,02_Referentiels!$A$5:$C$16,2,FALSE),"")</x:f>
      </x:c>
      <x:c r="J546">
        <x:f>IF(A546="","",IF(OR(D546="",E546="",F546=""),1,IF(OR(D546&lt;0,D546&gt;3,E546&lt;0,E546&gt;3,F546&lt;0,F546&gt;3),1,0)))</x:f>
      </x:c>
      <x:c r="K546">
        <x:f>IF(A546="","",IF(G546="",1,0))</x:f>
      </x:c>
      <x:c r="L546">
        <x:f>IF(A546="","",IF(COUNTIFS($A$5:$A$2004,A546,$C$5:$C$2004,C546)&gt;1,1,0))</x:f>
      </x:c>
    </x:row>
    <x:row r="547">
      <x:c r="A547" s="8" t="n"/>
      <x:c r="B547" s="8" t="n"/>
      <x:c r="C547" s="8" t="n"/>
      <x:c r="D547" s="8" t="n"/>
      <x:c r="E547" s="8" t="n"/>
      <x:c r="F547" s="8" t="n"/>
      <x:c r="G547" s="7">
        <x:f>IF(A547="","",IF(01_Parametres!$B$11="Oui",IF((01_Parametres!$B$4*(D547&gt;0)+01_Parametres!$B$5*(E547&gt;0)+01_Parametres!$B$6*(F547&gt;0))=0,"",(01_Parametres!$B$4*IF(D547&gt;0,D547,0)+01_Parametres!$B$5*IF(E547&gt;0,E547,0)+01_Parametres!$B$6*IF(F547&gt;0,F547,0))/(01_Parametres!$B$4*(D547&gt;0)+01_Parametres!$B$5*(E547&gt;0)+01_Parametres!$B$6*(F547&gt;0))),IF(01_Parametres!$B$8=0,"",(01_Parametres!$B$4*D547+01_Parametres!$B$5*E547+01_Parametres!$B$6*F547)/01_Parametres!$B$8)))</x:f>
      </x:c>
      <x:c r="H547">
        <x:f>IFERROR(VLOOKUP(C547,02_Referentiels!$A$20:$D$99,3,FALSE),"")</x:f>
      </x:c>
      <x:c r="I547">
        <x:f>IFERROR(VLOOKUP(B547,02_Referentiels!$A$5:$C$16,2,FALSE),"")</x:f>
      </x:c>
      <x:c r="J547">
        <x:f>IF(A547="","",IF(OR(D547="",E547="",F547=""),1,IF(OR(D547&lt;0,D547&gt;3,E547&lt;0,E547&gt;3,F547&lt;0,F547&gt;3),1,0)))</x:f>
      </x:c>
      <x:c r="K547">
        <x:f>IF(A547="","",IF(G547="",1,0))</x:f>
      </x:c>
      <x:c r="L547">
        <x:f>IF(A547="","",IF(COUNTIFS($A$5:$A$2004,A547,$C$5:$C$2004,C547)&gt;1,1,0))</x:f>
      </x:c>
    </x:row>
    <x:row r="548">
      <x:c r="A548" s="8" t="n"/>
      <x:c r="B548" s="8" t="n"/>
      <x:c r="C548" s="8" t="n"/>
      <x:c r="D548" s="8" t="n"/>
      <x:c r="E548" s="8" t="n"/>
      <x:c r="F548" s="8" t="n"/>
      <x:c r="G548" s="7">
        <x:f>IF(A548="","",IF(01_Parametres!$B$11="Oui",IF((01_Parametres!$B$4*(D548&gt;0)+01_Parametres!$B$5*(E548&gt;0)+01_Parametres!$B$6*(F548&gt;0))=0,"",(01_Parametres!$B$4*IF(D548&gt;0,D548,0)+01_Parametres!$B$5*IF(E548&gt;0,E548,0)+01_Parametres!$B$6*IF(F548&gt;0,F548,0))/(01_Parametres!$B$4*(D548&gt;0)+01_Parametres!$B$5*(E548&gt;0)+01_Parametres!$B$6*(F548&gt;0))),IF(01_Parametres!$B$8=0,"",(01_Parametres!$B$4*D548+01_Parametres!$B$5*E548+01_Parametres!$B$6*F548)/01_Parametres!$B$8)))</x:f>
      </x:c>
      <x:c r="H548">
        <x:f>IFERROR(VLOOKUP(C548,02_Referentiels!$A$20:$D$99,3,FALSE),"")</x:f>
      </x:c>
      <x:c r="I548">
        <x:f>IFERROR(VLOOKUP(B548,02_Referentiels!$A$5:$C$16,2,FALSE),"")</x:f>
      </x:c>
      <x:c r="J548">
        <x:f>IF(A548="","",IF(OR(D548="",E548="",F548=""),1,IF(OR(D548&lt;0,D548&gt;3,E548&lt;0,E548&gt;3,F548&lt;0,F548&gt;3),1,0)))</x:f>
      </x:c>
      <x:c r="K548">
        <x:f>IF(A548="","",IF(G548="",1,0))</x:f>
      </x:c>
      <x:c r="L548">
        <x:f>IF(A548="","",IF(COUNTIFS($A$5:$A$2004,A548,$C$5:$C$2004,C548)&gt;1,1,0))</x:f>
      </x:c>
    </x:row>
    <x:row r="549">
      <x:c r="A549" s="8" t="n"/>
      <x:c r="B549" s="8" t="n"/>
      <x:c r="C549" s="8" t="n"/>
      <x:c r="D549" s="8" t="n"/>
      <x:c r="E549" s="8" t="n"/>
      <x:c r="F549" s="8" t="n"/>
      <x:c r="G549" s="7">
        <x:f>IF(A549="","",IF(01_Parametres!$B$11="Oui",IF((01_Parametres!$B$4*(D549&gt;0)+01_Parametres!$B$5*(E549&gt;0)+01_Parametres!$B$6*(F549&gt;0))=0,"",(01_Parametres!$B$4*IF(D549&gt;0,D549,0)+01_Parametres!$B$5*IF(E549&gt;0,E549,0)+01_Parametres!$B$6*IF(F549&gt;0,F549,0))/(01_Parametres!$B$4*(D549&gt;0)+01_Parametres!$B$5*(E549&gt;0)+01_Parametres!$B$6*(F549&gt;0))),IF(01_Parametres!$B$8=0,"",(01_Parametres!$B$4*D549+01_Parametres!$B$5*E549+01_Parametres!$B$6*F549)/01_Parametres!$B$8)))</x:f>
      </x:c>
      <x:c r="H549">
        <x:f>IFERROR(VLOOKUP(C549,02_Referentiels!$A$20:$D$99,3,FALSE),"")</x:f>
      </x:c>
      <x:c r="I549">
        <x:f>IFERROR(VLOOKUP(B549,02_Referentiels!$A$5:$C$16,2,FALSE),"")</x:f>
      </x:c>
      <x:c r="J549">
        <x:f>IF(A549="","",IF(OR(D549="",E549="",F549=""),1,IF(OR(D549&lt;0,D549&gt;3,E549&lt;0,E549&gt;3,F549&lt;0,F549&gt;3),1,0)))</x:f>
      </x:c>
      <x:c r="K549">
        <x:f>IF(A549="","",IF(G549="",1,0))</x:f>
      </x:c>
      <x:c r="L549">
        <x:f>IF(A549="","",IF(COUNTIFS($A$5:$A$2004,A549,$C$5:$C$2004,C549)&gt;1,1,0))</x:f>
      </x:c>
    </x:row>
    <x:row r="550">
      <x:c r="A550" s="8" t="n"/>
      <x:c r="B550" s="8" t="n"/>
      <x:c r="C550" s="8" t="n"/>
      <x:c r="D550" s="8" t="n"/>
      <x:c r="E550" s="8" t="n"/>
      <x:c r="F550" s="8" t="n"/>
      <x:c r="G550" s="7">
        <x:f>IF(A550="","",IF(01_Parametres!$B$11="Oui",IF((01_Parametres!$B$4*(D550&gt;0)+01_Parametres!$B$5*(E550&gt;0)+01_Parametres!$B$6*(F550&gt;0))=0,"",(01_Parametres!$B$4*IF(D550&gt;0,D550,0)+01_Parametres!$B$5*IF(E550&gt;0,E550,0)+01_Parametres!$B$6*IF(F550&gt;0,F550,0))/(01_Parametres!$B$4*(D550&gt;0)+01_Parametres!$B$5*(E550&gt;0)+01_Parametres!$B$6*(F550&gt;0))),IF(01_Parametres!$B$8=0,"",(01_Parametres!$B$4*D550+01_Parametres!$B$5*E550+01_Parametres!$B$6*F550)/01_Parametres!$B$8)))</x:f>
      </x:c>
      <x:c r="H550">
        <x:f>IFERROR(VLOOKUP(C550,02_Referentiels!$A$20:$D$99,3,FALSE),"")</x:f>
      </x:c>
      <x:c r="I550">
        <x:f>IFERROR(VLOOKUP(B550,02_Referentiels!$A$5:$C$16,2,FALSE),"")</x:f>
      </x:c>
      <x:c r="J550">
        <x:f>IF(A550="","",IF(OR(D550="",E550="",F550=""),1,IF(OR(D550&lt;0,D550&gt;3,E550&lt;0,E550&gt;3,F550&lt;0,F550&gt;3),1,0)))</x:f>
      </x:c>
      <x:c r="K550">
        <x:f>IF(A550="","",IF(G550="",1,0))</x:f>
      </x:c>
      <x:c r="L550">
        <x:f>IF(A550="","",IF(COUNTIFS($A$5:$A$2004,A550,$C$5:$C$2004,C550)&gt;1,1,0))</x:f>
      </x:c>
    </x:row>
    <x:row r="551">
      <x:c r="A551" s="8" t="n"/>
      <x:c r="B551" s="8" t="n"/>
      <x:c r="C551" s="8" t="n"/>
      <x:c r="D551" s="8" t="n"/>
      <x:c r="E551" s="8" t="n"/>
      <x:c r="F551" s="8" t="n"/>
      <x:c r="G551" s="7">
        <x:f>IF(A551="","",IF(01_Parametres!$B$11="Oui",IF((01_Parametres!$B$4*(D551&gt;0)+01_Parametres!$B$5*(E551&gt;0)+01_Parametres!$B$6*(F551&gt;0))=0,"",(01_Parametres!$B$4*IF(D551&gt;0,D551,0)+01_Parametres!$B$5*IF(E551&gt;0,E551,0)+01_Parametres!$B$6*IF(F551&gt;0,F551,0))/(01_Parametres!$B$4*(D551&gt;0)+01_Parametres!$B$5*(E551&gt;0)+01_Parametres!$B$6*(F551&gt;0))),IF(01_Parametres!$B$8=0,"",(01_Parametres!$B$4*D551+01_Parametres!$B$5*E551+01_Parametres!$B$6*F551)/01_Parametres!$B$8)))</x:f>
      </x:c>
      <x:c r="H551">
        <x:f>IFERROR(VLOOKUP(C551,02_Referentiels!$A$20:$D$99,3,FALSE),"")</x:f>
      </x:c>
      <x:c r="I551">
        <x:f>IFERROR(VLOOKUP(B551,02_Referentiels!$A$5:$C$16,2,FALSE),"")</x:f>
      </x:c>
      <x:c r="J551">
        <x:f>IF(A551="","",IF(OR(D551="",E551="",F551=""),1,IF(OR(D551&lt;0,D551&gt;3,E551&lt;0,E551&gt;3,F551&lt;0,F551&gt;3),1,0)))</x:f>
      </x:c>
      <x:c r="K551">
        <x:f>IF(A551="","",IF(G551="",1,0))</x:f>
      </x:c>
      <x:c r="L551">
        <x:f>IF(A551="","",IF(COUNTIFS($A$5:$A$2004,A551,$C$5:$C$2004,C551)&gt;1,1,0))</x:f>
      </x:c>
    </x:row>
    <x:row r="552">
      <x:c r="A552" s="8" t="n"/>
      <x:c r="B552" s="8" t="n"/>
      <x:c r="C552" s="8" t="n"/>
      <x:c r="D552" s="8" t="n"/>
      <x:c r="E552" s="8" t="n"/>
      <x:c r="F552" s="8" t="n"/>
      <x:c r="G552" s="7">
        <x:f>IF(A552="","",IF(01_Parametres!$B$11="Oui",IF((01_Parametres!$B$4*(D552&gt;0)+01_Parametres!$B$5*(E552&gt;0)+01_Parametres!$B$6*(F552&gt;0))=0,"",(01_Parametres!$B$4*IF(D552&gt;0,D552,0)+01_Parametres!$B$5*IF(E552&gt;0,E552,0)+01_Parametres!$B$6*IF(F552&gt;0,F552,0))/(01_Parametres!$B$4*(D552&gt;0)+01_Parametres!$B$5*(E552&gt;0)+01_Parametres!$B$6*(F552&gt;0))),IF(01_Parametres!$B$8=0,"",(01_Parametres!$B$4*D552+01_Parametres!$B$5*E552+01_Parametres!$B$6*F552)/01_Parametres!$B$8)))</x:f>
      </x:c>
      <x:c r="H552">
        <x:f>IFERROR(VLOOKUP(C552,02_Referentiels!$A$20:$D$99,3,FALSE),"")</x:f>
      </x:c>
      <x:c r="I552">
        <x:f>IFERROR(VLOOKUP(B552,02_Referentiels!$A$5:$C$16,2,FALSE),"")</x:f>
      </x:c>
      <x:c r="J552">
        <x:f>IF(A552="","",IF(OR(D552="",E552="",F552=""),1,IF(OR(D552&lt;0,D552&gt;3,E552&lt;0,E552&gt;3,F552&lt;0,F552&gt;3),1,0)))</x:f>
      </x:c>
      <x:c r="K552">
        <x:f>IF(A552="","",IF(G552="",1,0))</x:f>
      </x:c>
      <x:c r="L552">
        <x:f>IF(A552="","",IF(COUNTIFS($A$5:$A$2004,A552,$C$5:$C$2004,C552)&gt;1,1,0))</x:f>
      </x:c>
    </x:row>
    <x:row r="553">
      <x:c r="A553" s="8" t="n"/>
      <x:c r="B553" s="8" t="n"/>
      <x:c r="C553" s="8" t="n"/>
      <x:c r="D553" s="8" t="n"/>
      <x:c r="E553" s="8" t="n"/>
      <x:c r="F553" s="8" t="n"/>
      <x:c r="G553" s="7">
        <x:f>IF(A553="","",IF(01_Parametres!$B$11="Oui",IF((01_Parametres!$B$4*(D553&gt;0)+01_Parametres!$B$5*(E553&gt;0)+01_Parametres!$B$6*(F553&gt;0))=0,"",(01_Parametres!$B$4*IF(D553&gt;0,D553,0)+01_Parametres!$B$5*IF(E553&gt;0,E553,0)+01_Parametres!$B$6*IF(F553&gt;0,F553,0))/(01_Parametres!$B$4*(D553&gt;0)+01_Parametres!$B$5*(E553&gt;0)+01_Parametres!$B$6*(F553&gt;0))),IF(01_Parametres!$B$8=0,"",(01_Parametres!$B$4*D553+01_Parametres!$B$5*E553+01_Parametres!$B$6*F553)/01_Parametres!$B$8)))</x:f>
      </x:c>
      <x:c r="H553">
        <x:f>IFERROR(VLOOKUP(C553,02_Referentiels!$A$20:$D$99,3,FALSE),"")</x:f>
      </x:c>
      <x:c r="I553">
        <x:f>IFERROR(VLOOKUP(B553,02_Referentiels!$A$5:$C$16,2,FALSE),"")</x:f>
      </x:c>
      <x:c r="J553">
        <x:f>IF(A553="","",IF(OR(D553="",E553="",F553=""),1,IF(OR(D553&lt;0,D553&gt;3,E553&lt;0,E553&gt;3,F553&lt;0,F553&gt;3),1,0)))</x:f>
      </x:c>
      <x:c r="K553">
        <x:f>IF(A553="","",IF(G553="",1,0))</x:f>
      </x:c>
      <x:c r="L553">
        <x:f>IF(A553="","",IF(COUNTIFS($A$5:$A$2004,A553,$C$5:$C$2004,C553)&gt;1,1,0))</x:f>
      </x:c>
    </x:row>
    <x:row r="554">
      <x:c r="A554" s="8" t="n"/>
      <x:c r="B554" s="8" t="n"/>
      <x:c r="C554" s="8" t="n"/>
      <x:c r="D554" s="8" t="n"/>
      <x:c r="E554" s="8" t="n"/>
      <x:c r="F554" s="8" t="n"/>
      <x:c r="G554" s="7">
        <x:f>IF(A554="","",IF(01_Parametres!$B$11="Oui",IF((01_Parametres!$B$4*(D554&gt;0)+01_Parametres!$B$5*(E554&gt;0)+01_Parametres!$B$6*(F554&gt;0))=0,"",(01_Parametres!$B$4*IF(D554&gt;0,D554,0)+01_Parametres!$B$5*IF(E554&gt;0,E554,0)+01_Parametres!$B$6*IF(F554&gt;0,F554,0))/(01_Parametres!$B$4*(D554&gt;0)+01_Parametres!$B$5*(E554&gt;0)+01_Parametres!$B$6*(F554&gt;0))),IF(01_Parametres!$B$8=0,"",(01_Parametres!$B$4*D554+01_Parametres!$B$5*E554+01_Parametres!$B$6*F554)/01_Parametres!$B$8)))</x:f>
      </x:c>
      <x:c r="H554">
        <x:f>IFERROR(VLOOKUP(C554,02_Referentiels!$A$20:$D$99,3,FALSE),"")</x:f>
      </x:c>
      <x:c r="I554">
        <x:f>IFERROR(VLOOKUP(B554,02_Referentiels!$A$5:$C$16,2,FALSE),"")</x:f>
      </x:c>
      <x:c r="J554">
        <x:f>IF(A554="","",IF(OR(D554="",E554="",F554=""),1,IF(OR(D554&lt;0,D554&gt;3,E554&lt;0,E554&gt;3,F554&lt;0,F554&gt;3),1,0)))</x:f>
      </x:c>
      <x:c r="K554">
        <x:f>IF(A554="","",IF(G554="",1,0))</x:f>
      </x:c>
      <x:c r="L554">
        <x:f>IF(A554="","",IF(COUNTIFS($A$5:$A$2004,A554,$C$5:$C$2004,C554)&gt;1,1,0))</x:f>
      </x:c>
    </x:row>
    <x:row r="555">
      <x:c r="A555" s="8" t="n"/>
      <x:c r="B555" s="8" t="n"/>
      <x:c r="C555" s="8" t="n"/>
      <x:c r="D555" s="8" t="n"/>
      <x:c r="E555" s="8" t="n"/>
      <x:c r="F555" s="8" t="n"/>
      <x:c r="G555" s="7">
        <x:f>IF(A555="","",IF(01_Parametres!$B$11="Oui",IF((01_Parametres!$B$4*(D555&gt;0)+01_Parametres!$B$5*(E555&gt;0)+01_Parametres!$B$6*(F555&gt;0))=0,"",(01_Parametres!$B$4*IF(D555&gt;0,D555,0)+01_Parametres!$B$5*IF(E555&gt;0,E555,0)+01_Parametres!$B$6*IF(F555&gt;0,F555,0))/(01_Parametres!$B$4*(D555&gt;0)+01_Parametres!$B$5*(E555&gt;0)+01_Parametres!$B$6*(F555&gt;0))),IF(01_Parametres!$B$8=0,"",(01_Parametres!$B$4*D555+01_Parametres!$B$5*E555+01_Parametres!$B$6*F555)/01_Parametres!$B$8)))</x:f>
      </x:c>
      <x:c r="H555">
        <x:f>IFERROR(VLOOKUP(C555,02_Referentiels!$A$20:$D$99,3,FALSE),"")</x:f>
      </x:c>
      <x:c r="I555">
        <x:f>IFERROR(VLOOKUP(B555,02_Referentiels!$A$5:$C$16,2,FALSE),"")</x:f>
      </x:c>
      <x:c r="J555">
        <x:f>IF(A555="","",IF(OR(D555="",E555="",F555=""),1,IF(OR(D555&lt;0,D555&gt;3,E555&lt;0,E555&gt;3,F555&lt;0,F555&gt;3),1,0)))</x:f>
      </x:c>
      <x:c r="K555">
        <x:f>IF(A555="","",IF(G555="",1,0))</x:f>
      </x:c>
      <x:c r="L555">
        <x:f>IF(A555="","",IF(COUNTIFS($A$5:$A$2004,A555,$C$5:$C$2004,C555)&gt;1,1,0))</x:f>
      </x:c>
    </x:row>
    <x:row r="556">
      <x:c r="A556" s="8" t="n"/>
      <x:c r="B556" s="8" t="n"/>
      <x:c r="C556" s="8" t="n"/>
      <x:c r="D556" s="8" t="n"/>
      <x:c r="E556" s="8" t="n"/>
      <x:c r="F556" s="8" t="n"/>
      <x:c r="G556" s="7">
        <x:f>IF(A556="","",IF(01_Parametres!$B$11="Oui",IF((01_Parametres!$B$4*(D556&gt;0)+01_Parametres!$B$5*(E556&gt;0)+01_Parametres!$B$6*(F556&gt;0))=0,"",(01_Parametres!$B$4*IF(D556&gt;0,D556,0)+01_Parametres!$B$5*IF(E556&gt;0,E556,0)+01_Parametres!$B$6*IF(F556&gt;0,F556,0))/(01_Parametres!$B$4*(D556&gt;0)+01_Parametres!$B$5*(E556&gt;0)+01_Parametres!$B$6*(F556&gt;0))),IF(01_Parametres!$B$8=0,"",(01_Parametres!$B$4*D556+01_Parametres!$B$5*E556+01_Parametres!$B$6*F556)/01_Parametres!$B$8)))</x:f>
      </x:c>
      <x:c r="H556">
        <x:f>IFERROR(VLOOKUP(C556,02_Referentiels!$A$20:$D$99,3,FALSE),"")</x:f>
      </x:c>
      <x:c r="I556">
        <x:f>IFERROR(VLOOKUP(B556,02_Referentiels!$A$5:$C$16,2,FALSE),"")</x:f>
      </x:c>
      <x:c r="J556">
        <x:f>IF(A556="","",IF(OR(D556="",E556="",F556=""),1,IF(OR(D556&lt;0,D556&gt;3,E556&lt;0,E556&gt;3,F556&lt;0,F556&gt;3),1,0)))</x:f>
      </x:c>
      <x:c r="K556">
        <x:f>IF(A556="","",IF(G556="",1,0))</x:f>
      </x:c>
      <x:c r="L556">
        <x:f>IF(A556="","",IF(COUNTIFS($A$5:$A$2004,A556,$C$5:$C$2004,C556)&gt;1,1,0))</x:f>
      </x:c>
    </x:row>
    <x:row r="557">
      <x:c r="A557" s="8" t="n"/>
      <x:c r="B557" s="8" t="n"/>
      <x:c r="C557" s="8" t="n"/>
      <x:c r="D557" s="8" t="n"/>
      <x:c r="E557" s="8" t="n"/>
      <x:c r="F557" s="8" t="n"/>
      <x:c r="G557" s="7">
        <x:f>IF(A557="","",IF(01_Parametres!$B$11="Oui",IF((01_Parametres!$B$4*(D557&gt;0)+01_Parametres!$B$5*(E557&gt;0)+01_Parametres!$B$6*(F557&gt;0))=0,"",(01_Parametres!$B$4*IF(D557&gt;0,D557,0)+01_Parametres!$B$5*IF(E557&gt;0,E557,0)+01_Parametres!$B$6*IF(F557&gt;0,F557,0))/(01_Parametres!$B$4*(D557&gt;0)+01_Parametres!$B$5*(E557&gt;0)+01_Parametres!$B$6*(F557&gt;0))),IF(01_Parametres!$B$8=0,"",(01_Parametres!$B$4*D557+01_Parametres!$B$5*E557+01_Parametres!$B$6*F557)/01_Parametres!$B$8)))</x:f>
      </x:c>
      <x:c r="H557">
        <x:f>IFERROR(VLOOKUP(C557,02_Referentiels!$A$20:$D$99,3,FALSE),"")</x:f>
      </x:c>
      <x:c r="I557">
        <x:f>IFERROR(VLOOKUP(B557,02_Referentiels!$A$5:$C$16,2,FALSE),"")</x:f>
      </x:c>
      <x:c r="J557">
        <x:f>IF(A557="","",IF(OR(D557="",E557="",F557=""),1,IF(OR(D557&lt;0,D557&gt;3,E557&lt;0,E557&gt;3,F557&lt;0,F557&gt;3),1,0)))</x:f>
      </x:c>
      <x:c r="K557">
        <x:f>IF(A557="","",IF(G557="",1,0))</x:f>
      </x:c>
      <x:c r="L557">
        <x:f>IF(A557="","",IF(COUNTIFS($A$5:$A$2004,A557,$C$5:$C$2004,C557)&gt;1,1,0))</x:f>
      </x:c>
    </x:row>
    <x:row r="558">
      <x:c r="A558" s="8" t="n"/>
      <x:c r="B558" s="8" t="n"/>
      <x:c r="C558" s="8" t="n"/>
      <x:c r="D558" s="8" t="n"/>
      <x:c r="E558" s="8" t="n"/>
      <x:c r="F558" s="8" t="n"/>
      <x:c r="G558" s="7">
        <x:f>IF(A558="","",IF(01_Parametres!$B$11="Oui",IF((01_Parametres!$B$4*(D558&gt;0)+01_Parametres!$B$5*(E558&gt;0)+01_Parametres!$B$6*(F558&gt;0))=0,"",(01_Parametres!$B$4*IF(D558&gt;0,D558,0)+01_Parametres!$B$5*IF(E558&gt;0,E558,0)+01_Parametres!$B$6*IF(F558&gt;0,F558,0))/(01_Parametres!$B$4*(D558&gt;0)+01_Parametres!$B$5*(E558&gt;0)+01_Parametres!$B$6*(F558&gt;0))),IF(01_Parametres!$B$8=0,"",(01_Parametres!$B$4*D558+01_Parametres!$B$5*E558+01_Parametres!$B$6*F558)/01_Parametres!$B$8)))</x:f>
      </x:c>
      <x:c r="H558">
        <x:f>IFERROR(VLOOKUP(C558,02_Referentiels!$A$20:$D$99,3,FALSE),"")</x:f>
      </x:c>
      <x:c r="I558">
        <x:f>IFERROR(VLOOKUP(B558,02_Referentiels!$A$5:$C$16,2,FALSE),"")</x:f>
      </x:c>
      <x:c r="J558">
        <x:f>IF(A558="","",IF(OR(D558="",E558="",F558=""),1,IF(OR(D558&lt;0,D558&gt;3,E558&lt;0,E558&gt;3,F558&lt;0,F558&gt;3),1,0)))</x:f>
      </x:c>
      <x:c r="K558">
        <x:f>IF(A558="","",IF(G558="",1,0))</x:f>
      </x:c>
      <x:c r="L558">
        <x:f>IF(A558="","",IF(COUNTIFS($A$5:$A$2004,A558,$C$5:$C$2004,C558)&gt;1,1,0))</x:f>
      </x:c>
    </x:row>
    <x:row r="559">
      <x:c r="A559" s="8" t="n"/>
      <x:c r="B559" s="8" t="n"/>
      <x:c r="C559" s="8" t="n"/>
      <x:c r="D559" s="8" t="n"/>
      <x:c r="E559" s="8" t="n"/>
      <x:c r="F559" s="8" t="n"/>
      <x:c r="G559" s="7">
        <x:f>IF(A559="","",IF(01_Parametres!$B$11="Oui",IF((01_Parametres!$B$4*(D559&gt;0)+01_Parametres!$B$5*(E559&gt;0)+01_Parametres!$B$6*(F559&gt;0))=0,"",(01_Parametres!$B$4*IF(D559&gt;0,D559,0)+01_Parametres!$B$5*IF(E559&gt;0,E559,0)+01_Parametres!$B$6*IF(F559&gt;0,F559,0))/(01_Parametres!$B$4*(D559&gt;0)+01_Parametres!$B$5*(E559&gt;0)+01_Parametres!$B$6*(F559&gt;0))),IF(01_Parametres!$B$8=0,"",(01_Parametres!$B$4*D559+01_Parametres!$B$5*E559+01_Parametres!$B$6*F559)/01_Parametres!$B$8)))</x:f>
      </x:c>
      <x:c r="H559">
        <x:f>IFERROR(VLOOKUP(C559,02_Referentiels!$A$20:$D$99,3,FALSE),"")</x:f>
      </x:c>
      <x:c r="I559">
        <x:f>IFERROR(VLOOKUP(B559,02_Referentiels!$A$5:$C$16,2,FALSE),"")</x:f>
      </x:c>
      <x:c r="J559">
        <x:f>IF(A559="","",IF(OR(D559="",E559="",F559=""),1,IF(OR(D559&lt;0,D559&gt;3,E559&lt;0,E559&gt;3,F559&lt;0,F559&gt;3),1,0)))</x:f>
      </x:c>
      <x:c r="K559">
        <x:f>IF(A559="","",IF(G559="",1,0))</x:f>
      </x:c>
      <x:c r="L559">
        <x:f>IF(A559="","",IF(COUNTIFS($A$5:$A$2004,A559,$C$5:$C$2004,C559)&gt;1,1,0))</x:f>
      </x:c>
    </x:row>
    <x:row r="560">
      <x:c r="A560" s="8" t="n"/>
      <x:c r="B560" s="8" t="n"/>
      <x:c r="C560" s="8" t="n"/>
      <x:c r="D560" s="8" t="n"/>
      <x:c r="E560" s="8" t="n"/>
      <x:c r="F560" s="8" t="n"/>
      <x:c r="G560" s="7">
        <x:f>IF(A560="","",IF(01_Parametres!$B$11="Oui",IF((01_Parametres!$B$4*(D560&gt;0)+01_Parametres!$B$5*(E560&gt;0)+01_Parametres!$B$6*(F560&gt;0))=0,"",(01_Parametres!$B$4*IF(D560&gt;0,D560,0)+01_Parametres!$B$5*IF(E560&gt;0,E560,0)+01_Parametres!$B$6*IF(F560&gt;0,F560,0))/(01_Parametres!$B$4*(D560&gt;0)+01_Parametres!$B$5*(E560&gt;0)+01_Parametres!$B$6*(F560&gt;0))),IF(01_Parametres!$B$8=0,"",(01_Parametres!$B$4*D560+01_Parametres!$B$5*E560+01_Parametres!$B$6*F560)/01_Parametres!$B$8)))</x:f>
      </x:c>
      <x:c r="H560">
        <x:f>IFERROR(VLOOKUP(C560,02_Referentiels!$A$20:$D$99,3,FALSE),"")</x:f>
      </x:c>
      <x:c r="I560">
        <x:f>IFERROR(VLOOKUP(B560,02_Referentiels!$A$5:$C$16,2,FALSE),"")</x:f>
      </x:c>
      <x:c r="J560">
        <x:f>IF(A560="","",IF(OR(D560="",E560="",F560=""),1,IF(OR(D560&lt;0,D560&gt;3,E560&lt;0,E560&gt;3,F560&lt;0,F560&gt;3),1,0)))</x:f>
      </x:c>
      <x:c r="K560">
        <x:f>IF(A560="","",IF(G560="",1,0))</x:f>
      </x:c>
      <x:c r="L560">
        <x:f>IF(A560="","",IF(COUNTIFS($A$5:$A$2004,A560,$C$5:$C$2004,C560)&gt;1,1,0))</x:f>
      </x:c>
    </x:row>
    <x:row r="561">
      <x:c r="A561" s="8" t="n"/>
      <x:c r="B561" s="8" t="n"/>
      <x:c r="C561" s="8" t="n"/>
      <x:c r="D561" s="8" t="n"/>
      <x:c r="E561" s="8" t="n"/>
      <x:c r="F561" s="8" t="n"/>
      <x:c r="G561" s="7">
        <x:f>IF(A561="","",IF(01_Parametres!$B$11="Oui",IF((01_Parametres!$B$4*(D561&gt;0)+01_Parametres!$B$5*(E561&gt;0)+01_Parametres!$B$6*(F561&gt;0))=0,"",(01_Parametres!$B$4*IF(D561&gt;0,D561,0)+01_Parametres!$B$5*IF(E561&gt;0,E561,0)+01_Parametres!$B$6*IF(F561&gt;0,F561,0))/(01_Parametres!$B$4*(D561&gt;0)+01_Parametres!$B$5*(E561&gt;0)+01_Parametres!$B$6*(F561&gt;0))),IF(01_Parametres!$B$8=0,"",(01_Parametres!$B$4*D561+01_Parametres!$B$5*E561+01_Parametres!$B$6*F561)/01_Parametres!$B$8)))</x:f>
      </x:c>
      <x:c r="H561">
        <x:f>IFERROR(VLOOKUP(C561,02_Referentiels!$A$20:$D$99,3,FALSE),"")</x:f>
      </x:c>
      <x:c r="I561">
        <x:f>IFERROR(VLOOKUP(B561,02_Referentiels!$A$5:$C$16,2,FALSE),"")</x:f>
      </x:c>
      <x:c r="J561">
        <x:f>IF(A561="","",IF(OR(D561="",E561="",F561=""),1,IF(OR(D561&lt;0,D561&gt;3,E561&lt;0,E561&gt;3,F561&lt;0,F561&gt;3),1,0)))</x:f>
      </x:c>
      <x:c r="K561">
        <x:f>IF(A561="","",IF(G561="",1,0))</x:f>
      </x:c>
      <x:c r="L561">
        <x:f>IF(A561="","",IF(COUNTIFS($A$5:$A$2004,A561,$C$5:$C$2004,C561)&gt;1,1,0))</x:f>
      </x:c>
    </x:row>
    <x:row r="562">
      <x:c r="A562" s="8" t="n"/>
      <x:c r="B562" s="8" t="n"/>
      <x:c r="C562" s="8" t="n"/>
      <x:c r="D562" s="8" t="n"/>
      <x:c r="E562" s="8" t="n"/>
      <x:c r="F562" s="8" t="n"/>
      <x:c r="G562" s="7">
        <x:f>IF(A562="","",IF(01_Parametres!$B$11="Oui",IF((01_Parametres!$B$4*(D562&gt;0)+01_Parametres!$B$5*(E562&gt;0)+01_Parametres!$B$6*(F562&gt;0))=0,"",(01_Parametres!$B$4*IF(D562&gt;0,D562,0)+01_Parametres!$B$5*IF(E562&gt;0,E562,0)+01_Parametres!$B$6*IF(F562&gt;0,F562,0))/(01_Parametres!$B$4*(D562&gt;0)+01_Parametres!$B$5*(E562&gt;0)+01_Parametres!$B$6*(F562&gt;0))),IF(01_Parametres!$B$8=0,"",(01_Parametres!$B$4*D562+01_Parametres!$B$5*E562+01_Parametres!$B$6*F562)/01_Parametres!$B$8)))</x:f>
      </x:c>
      <x:c r="H562">
        <x:f>IFERROR(VLOOKUP(C562,02_Referentiels!$A$20:$D$99,3,FALSE),"")</x:f>
      </x:c>
      <x:c r="I562">
        <x:f>IFERROR(VLOOKUP(B562,02_Referentiels!$A$5:$C$16,2,FALSE),"")</x:f>
      </x:c>
      <x:c r="J562">
        <x:f>IF(A562="","",IF(OR(D562="",E562="",F562=""),1,IF(OR(D562&lt;0,D562&gt;3,E562&lt;0,E562&gt;3,F562&lt;0,F562&gt;3),1,0)))</x:f>
      </x:c>
      <x:c r="K562">
        <x:f>IF(A562="","",IF(G562="",1,0))</x:f>
      </x:c>
      <x:c r="L562">
        <x:f>IF(A562="","",IF(COUNTIFS($A$5:$A$2004,A562,$C$5:$C$2004,C562)&gt;1,1,0))</x:f>
      </x:c>
    </x:row>
    <x:row r="563">
      <x:c r="A563" s="8" t="n"/>
      <x:c r="B563" s="8" t="n"/>
      <x:c r="C563" s="8" t="n"/>
      <x:c r="D563" s="8" t="n"/>
      <x:c r="E563" s="8" t="n"/>
      <x:c r="F563" s="8" t="n"/>
      <x:c r="G563" s="7">
        <x:f>IF(A563="","",IF(01_Parametres!$B$11="Oui",IF((01_Parametres!$B$4*(D563&gt;0)+01_Parametres!$B$5*(E563&gt;0)+01_Parametres!$B$6*(F563&gt;0))=0,"",(01_Parametres!$B$4*IF(D563&gt;0,D563,0)+01_Parametres!$B$5*IF(E563&gt;0,E563,0)+01_Parametres!$B$6*IF(F563&gt;0,F563,0))/(01_Parametres!$B$4*(D563&gt;0)+01_Parametres!$B$5*(E563&gt;0)+01_Parametres!$B$6*(F563&gt;0))),IF(01_Parametres!$B$8=0,"",(01_Parametres!$B$4*D563+01_Parametres!$B$5*E563+01_Parametres!$B$6*F563)/01_Parametres!$B$8)))</x:f>
      </x:c>
      <x:c r="H563">
        <x:f>IFERROR(VLOOKUP(C563,02_Referentiels!$A$20:$D$99,3,FALSE),"")</x:f>
      </x:c>
      <x:c r="I563">
        <x:f>IFERROR(VLOOKUP(B563,02_Referentiels!$A$5:$C$16,2,FALSE),"")</x:f>
      </x:c>
      <x:c r="J563">
        <x:f>IF(A563="","",IF(OR(D563="",E563="",F563=""),1,IF(OR(D563&lt;0,D563&gt;3,E563&lt;0,E563&gt;3,F563&lt;0,F563&gt;3),1,0)))</x:f>
      </x:c>
      <x:c r="K563">
        <x:f>IF(A563="","",IF(G563="",1,0))</x:f>
      </x:c>
      <x:c r="L563">
        <x:f>IF(A563="","",IF(COUNTIFS($A$5:$A$2004,A563,$C$5:$C$2004,C563)&gt;1,1,0))</x:f>
      </x:c>
    </x:row>
    <x:row r="564">
      <x:c r="A564" s="8" t="n"/>
      <x:c r="B564" s="8" t="n"/>
      <x:c r="C564" s="8" t="n"/>
      <x:c r="D564" s="8" t="n"/>
      <x:c r="E564" s="8" t="n"/>
      <x:c r="F564" s="8" t="n"/>
      <x:c r="G564" s="7">
        <x:f>IF(A564="","",IF(01_Parametres!$B$11="Oui",IF((01_Parametres!$B$4*(D564&gt;0)+01_Parametres!$B$5*(E564&gt;0)+01_Parametres!$B$6*(F564&gt;0))=0,"",(01_Parametres!$B$4*IF(D564&gt;0,D564,0)+01_Parametres!$B$5*IF(E564&gt;0,E564,0)+01_Parametres!$B$6*IF(F564&gt;0,F564,0))/(01_Parametres!$B$4*(D564&gt;0)+01_Parametres!$B$5*(E564&gt;0)+01_Parametres!$B$6*(F564&gt;0))),IF(01_Parametres!$B$8=0,"",(01_Parametres!$B$4*D564+01_Parametres!$B$5*E564+01_Parametres!$B$6*F564)/01_Parametres!$B$8)))</x:f>
      </x:c>
      <x:c r="H564">
        <x:f>IFERROR(VLOOKUP(C564,02_Referentiels!$A$20:$D$99,3,FALSE),"")</x:f>
      </x:c>
      <x:c r="I564">
        <x:f>IFERROR(VLOOKUP(B564,02_Referentiels!$A$5:$C$16,2,FALSE),"")</x:f>
      </x:c>
      <x:c r="J564">
        <x:f>IF(A564="","",IF(OR(D564="",E564="",F564=""),1,IF(OR(D564&lt;0,D564&gt;3,E564&lt;0,E564&gt;3,F564&lt;0,F564&gt;3),1,0)))</x:f>
      </x:c>
      <x:c r="K564">
        <x:f>IF(A564="","",IF(G564="",1,0))</x:f>
      </x:c>
      <x:c r="L564">
        <x:f>IF(A564="","",IF(COUNTIFS($A$5:$A$2004,A564,$C$5:$C$2004,C564)&gt;1,1,0))</x:f>
      </x:c>
    </x:row>
    <x:row r="565">
      <x:c r="A565" s="8" t="n"/>
      <x:c r="B565" s="8" t="n"/>
      <x:c r="C565" s="8" t="n"/>
      <x:c r="D565" s="8" t="n"/>
      <x:c r="E565" s="8" t="n"/>
      <x:c r="F565" s="8" t="n"/>
      <x:c r="G565" s="7">
        <x:f>IF(A565="","",IF(01_Parametres!$B$11="Oui",IF((01_Parametres!$B$4*(D565&gt;0)+01_Parametres!$B$5*(E565&gt;0)+01_Parametres!$B$6*(F565&gt;0))=0,"",(01_Parametres!$B$4*IF(D565&gt;0,D565,0)+01_Parametres!$B$5*IF(E565&gt;0,E565,0)+01_Parametres!$B$6*IF(F565&gt;0,F565,0))/(01_Parametres!$B$4*(D565&gt;0)+01_Parametres!$B$5*(E565&gt;0)+01_Parametres!$B$6*(F565&gt;0))),IF(01_Parametres!$B$8=0,"",(01_Parametres!$B$4*D565+01_Parametres!$B$5*E565+01_Parametres!$B$6*F565)/01_Parametres!$B$8)))</x:f>
      </x:c>
      <x:c r="H565">
        <x:f>IFERROR(VLOOKUP(C565,02_Referentiels!$A$20:$D$99,3,FALSE),"")</x:f>
      </x:c>
      <x:c r="I565">
        <x:f>IFERROR(VLOOKUP(B565,02_Referentiels!$A$5:$C$16,2,FALSE),"")</x:f>
      </x:c>
      <x:c r="J565">
        <x:f>IF(A565="","",IF(OR(D565="",E565="",F565=""),1,IF(OR(D565&lt;0,D565&gt;3,E565&lt;0,E565&gt;3,F565&lt;0,F565&gt;3),1,0)))</x:f>
      </x:c>
      <x:c r="K565">
        <x:f>IF(A565="","",IF(G565="",1,0))</x:f>
      </x:c>
      <x:c r="L565">
        <x:f>IF(A565="","",IF(COUNTIFS($A$5:$A$2004,A565,$C$5:$C$2004,C565)&gt;1,1,0))</x:f>
      </x:c>
    </x:row>
    <x:row r="566">
      <x:c r="A566" s="8" t="n"/>
      <x:c r="B566" s="8" t="n"/>
      <x:c r="C566" s="8" t="n"/>
      <x:c r="D566" s="8" t="n"/>
      <x:c r="E566" s="8" t="n"/>
      <x:c r="F566" s="8" t="n"/>
      <x:c r="G566" s="7">
        <x:f>IF(A566="","",IF(01_Parametres!$B$11="Oui",IF((01_Parametres!$B$4*(D566&gt;0)+01_Parametres!$B$5*(E566&gt;0)+01_Parametres!$B$6*(F566&gt;0))=0,"",(01_Parametres!$B$4*IF(D566&gt;0,D566,0)+01_Parametres!$B$5*IF(E566&gt;0,E566,0)+01_Parametres!$B$6*IF(F566&gt;0,F566,0))/(01_Parametres!$B$4*(D566&gt;0)+01_Parametres!$B$5*(E566&gt;0)+01_Parametres!$B$6*(F566&gt;0))),IF(01_Parametres!$B$8=0,"",(01_Parametres!$B$4*D566+01_Parametres!$B$5*E566+01_Parametres!$B$6*F566)/01_Parametres!$B$8)))</x:f>
      </x:c>
      <x:c r="H566">
        <x:f>IFERROR(VLOOKUP(C566,02_Referentiels!$A$20:$D$99,3,FALSE),"")</x:f>
      </x:c>
      <x:c r="I566">
        <x:f>IFERROR(VLOOKUP(B566,02_Referentiels!$A$5:$C$16,2,FALSE),"")</x:f>
      </x:c>
      <x:c r="J566">
        <x:f>IF(A566="","",IF(OR(D566="",E566="",F566=""),1,IF(OR(D566&lt;0,D566&gt;3,E566&lt;0,E566&gt;3,F566&lt;0,F566&gt;3),1,0)))</x:f>
      </x:c>
      <x:c r="K566">
        <x:f>IF(A566="","",IF(G566="",1,0))</x:f>
      </x:c>
      <x:c r="L566">
        <x:f>IF(A566="","",IF(COUNTIFS($A$5:$A$2004,A566,$C$5:$C$2004,C566)&gt;1,1,0))</x:f>
      </x:c>
    </x:row>
    <x:row r="567">
      <x:c r="A567" s="8" t="n"/>
      <x:c r="B567" s="8" t="n"/>
      <x:c r="C567" s="8" t="n"/>
      <x:c r="D567" s="8" t="n"/>
      <x:c r="E567" s="8" t="n"/>
      <x:c r="F567" s="8" t="n"/>
      <x:c r="G567" s="7">
        <x:f>IF(A567="","",IF(01_Parametres!$B$11="Oui",IF((01_Parametres!$B$4*(D567&gt;0)+01_Parametres!$B$5*(E567&gt;0)+01_Parametres!$B$6*(F567&gt;0))=0,"",(01_Parametres!$B$4*IF(D567&gt;0,D567,0)+01_Parametres!$B$5*IF(E567&gt;0,E567,0)+01_Parametres!$B$6*IF(F567&gt;0,F567,0))/(01_Parametres!$B$4*(D567&gt;0)+01_Parametres!$B$5*(E567&gt;0)+01_Parametres!$B$6*(F567&gt;0))),IF(01_Parametres!$B$8=0,"",(01_Parametres!$B$4*D567+01_Parametres!$B$5*E567+01_Parametres!$B$6*F567)/01_Parametres!$B$8)))</x:f>
      </x:c>
      <x:c r="H567">
        <x:f>IFERROR(VLOOKUP(C567,02_Referentiels!$A$20:$D$99,3,FALSE),"")</x:f>
      </x:c>
      <x:c r="I567">
        <x:f>IFERROR(VLOOKUP(B567,02_Referentiels!$A$5:$C$16,2,FALSE),"")</x:f>
      </x:c>
      <x:c r="J567">
        <x:f>IF(A567="","",IF(OR(D567="",E567="",F567=""),1,IF(OR(D567&lt;0,D567&gt;3,E567&lt;0,E567&gt;3,F567&lt;0,F567&gt;3),1,0)))</x:f>
      </x:c>
      <x:c r="K567">
        <x:f>IF(A567="","",IF(G567="",1,0))</x:f>
      </x:c>
      <x:c r="L567">
        <x:f>IF(A567="","",IF(COUNTIFS($A$5:$A$2004,A567,$C$5:$C$2004,C567)&gt;1,1,0))</x:f>
      </x:c>
    </x:row>
    <x:row r="568">
      <x:c r="A568" s="8" t="n"/>
      <x:c r="B568" s="8" t="n"/>
      <x:c r="C568" s="8" t="n"/>
      <x:c r="D568" s="8" t="n"/>
      <x:c r="E568" s="8" t="n"/>
      <x:c r="F568" s="8" t="n"/>
      <x:c r="G568" s="7">
        <x:f>IF(A568="","",IF(01_Parametres!$B$11="Oui",IF((01_Parametres!$B$4*(D568&gt;0)+01_Parametres!$B$5*(E568&gt;0)+01_Parametres!$B$6*(F568&gt;0))=0,"",(01_Parametres!$B$4*IF(D568&gt;0,D568,0)+01_Parametres!$B$5*IF(E568&gt;0,E568,0)+01_Parametres!$B$6*IF(F568&gt;0,F568,0))/(01_Parametres!$B$4*(D568&gt;0)+01_Parametres!$B$5*(E568&gt;0)+01_Parametres!$B$6*(F568&gt;0))),IF(01_Parametres!$B$8=0,"",(01_Parametres!$B$4*D568+01_Parametres!$B$5*E568+01_Parametres!$B$6*F568)/01_Parametres!$B$8)))</x:f>
      </x:c>
      <x:c r="H568">
        <x:f>IFERROR(VLOOKUP(C568,02_Referentiels!$A$20:$D$99,3,FALSE),"")</x:f>
      </x:c>
      <x:c r="I568">
        <x:f>IFERROR(VLOOKUP(B568,02_Referentiels!$A$5:$C$16,2,FALSE),"")</x:f>
      </x:c>
      <x:c r="J568">
        <x:f>IF(A568="","",IF(OR(D568="",E568="",F568=""),1,IF(OR(D568&lt;0,D568&gt;3,E568&lt;0,E568&gt;3,F568&lt;0,F568&gt;3),1,0)))</x:f>
      </x:c>
      <x:c r="K568">
        <x:f>IF(A568="","",IF(G568="",1,0))</x:f>
      </x:c>
      <x:c r="L568">
        <x:f>IF(A568="","",IF(COUNTIFS($A$5:$A$2004,A568,$C$5:$C$2004,C568)&gt;1,1,0))</x:f>
      </x:c>
    </x:row>
    <x:row r="569">
      <x:c r="A569" s="8" t="n"/>
      <x:c r="B569" s="8" t="n"/>
      <x:c r="C569" s="8" t="n"/>
      <x:c r="D569" s="8" t="n"/>
      <x:c r="E569" s="8" t="n"/>
      <x:c r="F569" s="8" t="n"/>
      <x:c r="G569" s="7">
        <x:f>IF(A569="","",IF(01_Parametres!$B$11="Oui",IF((01_Parametres!$B$4*(D569&gt;0)+01_Parametres!$B$5*(E569&gt;0)+01_Parametres!$B$6*(F569&gt;0))=0,"",(01_Parametres!$B$4*IF(D569&gt;0,D569,0)+01_Parametres!$B$5*IF(E569&gt;0,E569,0)+01_Parametres!$B$6*IF(F569&gt;0,F569,0))/(01_Parametres!$B$4*(D569&gt;0)+01_Parametres!$B$5*(E569&gt;0)+01_Parametres!$B$6*(F569&gt;0))),IF(01_Parametres!$B$8=0,"",(01_Parametres!$B$4*D569+01_Parametres!$B$5*E569+01_Parametres!$B$6*F569)/01_Parametres!$B$8)))</x:f>
      </x:c>
      <x:c r="H569">
        <x:f>IFERROR(VLOOKUP(C569,02_Referentiels!$A$20:$D$99,3,FALSE),"")</x:f>
      </x:c>
      <x:c r="I569">
        <x:f>IFERROR(VLOOKUP(B569,02_Referentiels!$A$5:$C$16,2,FALSE),"")</x:f>
      </x:c>
      <x:c r="J569">
        <x:f>IF(A569="","",IF(OR(D569="",E569="",F569=""),1,IF(OR(D569&lt;0,D569&gt;3,E569&lt;0,E569&gt;3,F569&lt;0,F569&gt;3),1,0)))</x:f>
      </x:c>
      <x:c r="K569">
        <x:f>IF(A569="","",IF(G569="",1,0))</x:f>
      </x:c>
      <x:c r="L569">
        <x:f>IF(A569="","",IF(COUNTIFS($A$5:$A$2004,A569,$C$5:$C$2004,C569)&gt;1,1,0))</x:f>
      </x:c>
    </x:row>
    <x:row r="570">
      <x:c r="A570" s="8" t="n"/>
      <x:c r="B570" s="8" t="n"/>
      <x:c r="C570" s="8" t="n"/>
      <x:c r="D570" s="8" t="n"/>
      <x:c r="E570" s="8" t="n"/>
      <x:c r="F570" s="8" t="n"/>
      <x:c r="G570" s="7">
        <x:f>IF(A570="","",IF(01_Parametres!$B$11="Oui",IF((01_Parametres!$B$4*(D570&gt;0)+01_Parametres!$B$5*(E570&gt;0)+01_Parametres!$B$6*(F570&gt;0))=0,"",(01_Parametres!$B$4*IF(D570&gt;0,D570,0)+01_Parametres!$B$5*IF(E570&gt;0,E570,0)+01_Parametres!$B$6*IF(F570&gt;0,F570,0))/(01_Parametres!$B$4*(D570&gt;0)+01_Parametres!$B$5*(E570&gt;0)+01_Parametres!$B$6*(F570&gt;0))),IF(01_Parametres!$B$8=0,"",(01_Parametres!$B$4*D570+01_Parametres!$B$5*E570+01_Parametres!$B$6*F570)/01_Parametres!$B$8)))</x:f>
      </x:c>
      <x:c r="H570">
        <x:f>IFERROR(VLOOKUP(C570,02_Referentiels!$A$20:$D$99,3,FALSE),"")</x:f>
      </x:c>
      <x:c r="I570">
        <x:f>IFERROR(VLOOKUP(B570,02_Referentiels!$A$5:$C$16,2,FALSE),"")</x:f>
      </x:c>
      <x:c r="J570">
        <x:f>IF(A570="","",IF(OR(D570="",E570="",F570=""),1,IF(OR(D570&lt;0,D570&gt;3,E570&lt;0,E570&gt;3,F570&lt;0,F570&gt;3),1,0)))</x:f>
      </x:c>
      <x:c r="K570">
        <x:f>IF(A570="","",IF(G570="",1,0))</x:f>
      </x:c>
      <x:c r="L570">
        <x:f>IF(A570="","",IF(COUNTIFS($A$5:$A$2004,A570,$C$5:$C$2004,C570)&gt;1,1,0))</x:f>
      </x:c>
    </x:row>
    <x:row r="571">
      <x:c r="A571" s="8" t="n"/>
      <x:c r="B571" s="8" t="n"/>
      <x:c r="C571" s="8" t="n"/>
      <x:c r="D571" s="8" t="n"/>
      <x:c r="E571" s="8" t="n"/>
      <x:c r="F571" s="8" t="n"/>
      <x:c r="G571" s="7">
        <x:f>IF(A571="","",IF(01_Parametres!$B$11="Oui",IF((01_Parametres!$B$4*(D571&gt;0)+01_Parametres!$B$5*(E571&gt;0)+01_Parametres!$B$6*(F571&gt;0))=0,"",(01_Parametres!$B$4*IF(D571&gt;0,D571,0)+01_Parametres!$B$5*IF(E571&gt;0,E571,0)+01_Parametres!$B$6*IF(F571&gt;0,F571,0))/(01_Parametres!$B$4*(D571&gt;0)+01_Parametres!$B$5*(E571&gt;0)+01_Parametres!$B$6*(F571&gt;0))),IF(01_Parametres!$B$8=0,"",(01_Parametres!$B$4*D571+01_Parametres!$B$5*E571+01_Parametres!$B$6*F571)/01_Parametres!$B$8)))</x:f>
      </x:c>
      <x:c r="H571">
        <x:f>IFERROR(VLOOKUP(C571,02_Referentiels!$A$20:$D$99,3,FALSE),"")</x:f>
      </x:c>
      <x:c r="I571">
        <x:f>IFERROR(VLOOKUP(B571,02_Referentiels!$A$5:$C$16,2,FALSE),"")</x:f>
      </x:c>
      <x:c r="J571">
        <x:f>IF(A571="","",IF(OR(D571="",E571="",F571=""),1,IF(OR(D571&lt;0,D571&gt;3,E571&lt;0,E571&gt;3,F571&lt;0,F571&gt;3),1,0)))</x:f>
      </x:c>
      <x:c r="K571">
        <x:f>IF(A571="","",IF(G571="",1,0))</x:f>
      </x:c>
      <x:c r="L571">
        <x:f>IF(A571="","",IF(COUNTIFS($A$5:$A$2004,A571,$C$5:$C$2004,C571)&gt;1,1,0))</x:f>
      </x:c>
    </x:row>
    <x:row r="572">
      <x:c r="A572" s="8" t="n"/>
      <x:c r="B572" s="8" t="n"/>
      <x:c r="C572" s="8" t="n"/>
      <x:c r="D572" s="8" t="n"/>
      <x:c r="E572" s="8" t="n"/>
      <x:c r="F572" s="8" t="n"/>
      <x:c r="G572" s="7">
        <x:f>IF(A572="","",IF(01_Parametres!$B$11="Oui",IF((01_Parametres!$B$4*(D572&gt;0)+01_Parametres!$B$5*(E572&gt;0)+01_Parametres!$B$6*(F572&gt;0))=0,"",(01_Parametres!$B$4*IF(D572&gt;0,D572,0)+01_Parametres!$B$5*IF(E572&gt;0,E572,0)+01_Parametres!$B$6*IF(F572&gt;0,F572,0))/(01_Parametres!$B$4*(D572&gt;0)+01_Parametres!$B$5*(E572&gt;0)+01_Parametres!$B$6*(F572&gt;0))),IF(01_Parametres!$B$8=0,"",(01_Parametres!$B$4*D572+01_Parametres!$B$5*E572+01_Parametres!$B$6*F572)/01_Parametres!$B$8)))</x:f>
      </x:c>
      <x:c r="H572">
        <x:f>IFERROR(VLOOKUP(C572,02_Referentiels!$A$20:$D$99,3,FALSE),"")</x:f>
      </x:c>
      <x:c r="I572">
        <x:f>IFERROR(VLOOKUP(B572,02_Referentiels!$A$5:$C$16,2,FALSE),"")</x:f>
      </x:c>
      <x:c r="J572">
        <x:f>IF(A572="","",IF(OR(D572="",E572="",F572=""),1,IF(OR(D572&lt;0,D572&gt;3,E572&lt;0,E572&gt;3,F572&lt;0,F572&gt;3),1,0)))</x:f>
      </x:c>
      <x:c r="K572">
        <x:f>IF(A572="","",IF(G572="",1,0))</x:f>
      </x:c>
      <x:c r="L572">
        <x:f>IF(A572="","",IF(COUNTIFS($A$5:$A$2004,A572,$C$5:$C$2004,C572)&gt;1,1,0))</x:f>
      </x:c>
    </x:row>
    <x:row r="573">
      <x:c r="A573" s="8" t="n"/>
      <x:c r="B573" s="8" t="n"/>
      <x:c r="C573" s="8" t="n"/>
      <x:c r="D573" s="8" t="n"/>
      <x:c r="E573" s="8" t="n"/>
      <x:c r="F573" s="8" t="n"/>
      <x:c r="G573" s="7">
        <x:f>IF(A573="","",IF(01_Parametres!$B$11="Oui",IF((01_Parametres!$B$4*(D573&gt;0)+01_Parametres!$B$5*(E573&gt;0)+01_Parametres!$B$6*(F573&gt;0))=0,"",(01_Parametres!$B$4*IF(D573&gt;0,D573,0)+01_Parametres!$B$5*IF(E573&gt;0,E573,0)+01_Parametres!$B$6*IF(F573&gt;0,F573,0))/(01_Parametres!$B$4*(D573&gt;0)+01_Parametres!$B$5*(E573&gt;0)+01_Parametres!$B$6*(F573&gt;0))),IF(01_Parametres!$B$8=0,"",(01_Parametres!$B$4*D573+01_Parametres!$B$5*E573+01_Parametres!$B$6*F573)/01_Parametres!$B$8)))</x:f>
      </x:c>
      <x:c r="H573">
        <x:f>IFERROR(VLOOKUP(C573,02_Referentiels!$A$20:$D$99,3,FALSE),"")</x:f>
      </x:c>
      <x:c r="I573">
        <x:f>IFERROR(VLOOKUP(B573,02_Referentiels!$A$5:$C$16,2,FALSE),"")</x:f>
      </x:c>
      <x:c r="J573">
        <x:f>IF(A573="","",IF(OR(D573="",E573="",F573=""),1,IF(OR(D573&lt;0,D573&gt;3,E573&lt;0,E573&gt;3,F573&lt;0,F573&gt;3),1,0)))</x:f>
      </x:c>
      <x:c r="K573">
        <x:f>IF(A573="","",IF(G573="",1,0))</x:f>
      </x:c>
      <x:c r="L573">
        <x:f>IF(A573="","",IF(COUNTIFS($A$5:$A$2004,A573,$C$5:$C$2004,C573)&gt;1,1,0))</x:f>
      </x:c>
    </x:row>
    <x:row r="574">
      <x:c r="A574" s="8" t="n"/>
      <x:c r="B574" s="8" t="n"/>
      <x:c r="C574" s="8" t="n"/>
      <x:c r="D574" s="8" t="n"/>
      <x:c r="E574" s="8" t="n"/>
      <x:c r="F574" s="8" t="n"/>
      <x:c r="G574" s="7">
        <x:f>IF(A574="","",IF(01_Parametres!$B$11="Oui",IF((01_Parametres!$B$4*(D574&gt;0)+01_Parametres!$B$5*(E574&gt;0)+01_Parametres!$B$6*(F574&gt;0))=0,"",(01_Parametres!$B$4*IF(D574&gt;0,D574,0)+01_Parametres!$B$5*IF(E574&gt;0,E574,0)+01_Parametres!$B$6*IF(F574&gt;0,F574,0))/(01_Parametres!$B$4*(D574&gt;0)+01_Parametres!$B$5*(E574&gt;0)+01_Parametres!$B$6*(F574&gt;0))),IF(01_Parametres!$B$8=0,"",(01_Parametres!$B$4*D574+01_Parametres!$B$5*E574+01_Parametres!$B$6*F574)/01_Parametres!$B$8)))</x:f>
      </x:c>
      <x:c r="H574">
        <x:f>IFERROR(VLOOKUP(C574,02_Referentiels!$A$20:$D$99,3,FALSE),"")</x:f>
      </x:c>
      <x:c r="I574">
        <x:f>IFERROR(VLOOKUP(B574,02_Referentiels!$A$5:$C$16,2,FALSE),"")</x:f>
      </x:c>
      <x:c r="J574">
        <x:f>IF(A574="","",IF(OR(D574="",E574="",F574=""),1,IF(OR(D574&lt;0,D574&gt;3,E574&lt;0,E574&gt;3,F574&lt;0,F574&gt;3),1,0)))</x:f>
      </x:c>
      <x:c r="K574">
        <x:f>IF(A574="","",IF(G574="",1,0))</x:f>
      </x:c>
      <x:c r="L574">
        <x:f>IF(A574="","",IF(COUNTIFS($A$5:$A$2004,A574,$C$5:$C$2004,C574)&gt;1,1,0))</x:f>
      </x:c>
    </x:row>
    <x:row r="575">
      <x:c r="A575" s="8" t="n"/>
      <x:c r="B575" s="8" t="n"/>
      <x:c r="C575" s="8" t="n"/>
      <x:c r="D575" s="8" t="n"/>
      <x:c r="E575" s="8" t="n"/>
      <x:c r="F575" s="8" t="n"/>
      <x:c r="G575" s="7">
        <x:f>IF(A575="","",IF(01_Parametres!$B$11="Oui",IF((01_Parametres!$B$4*(D575&gt;0)+01_Parametres!$B$5*(E575&gt;0)+01_Parametres!$B$6*(F575&gt;0))=0,"",(01_Parametres!$B$4*IF(D575&gt;0,D575,0)+01_Parametres!$B$5*IF(E575&gt;0,E575,0)+01_Parametres!$B$6*IF(F575&gt;0,F575,0))/(01_Parametres!$B$4*(D575&gt;0)+01_Parametres!$B$5*(E575&gt;0)+01_Parametres!$B$6*(F575&gt;0))),IF(01_Parametres!$B$8=0,"",(01_Parametres!$B$4*D575+01_Parametres!$B$5*E575+01_Parametres!$B$6*F575)/01_Parametres!$B$8)))</x:f>
      </x:c>
      <x:c r="H575">
        <x:f>IFERROR(VLOOKUP(C575,02_Referentiels!$A$20:$D$99,3,FALSE),"")</x:f>
      </x:c>
      <x:c r="I575">
        <x:f>IFERROR(VLOOKUP(B575,02_Referentiels!$A$5:$C$16,2,FALSE),"")</x:f>
      </x:c>
      <x:c r="J575">
        <x:f>IF(A575="","",IF(OR(D575="",E575="",F575=""),1,IF(OR(D575&lt;0,D575&gt;3,E575&lt;0,E575&gt;3,F575&lt;0,F575&gt;3),1,0)))</x:f>
      </x:c>
      <x:c r="K575">
        <x:f>IF(A575="","",IF(G575="",1,0))</x:f>
      </x:c>
      <x:c r="L575">
        <x:f>IF(A575="","",IF(COUNTIFS($A$5:$A$2004,A575,$C$5:$C$2004,C575)&gt;1,1,0))</x:f>
      </x:c>
    </x:row>
    <x:row r="576">
      <x:c r="A576" s="8" t="n"/>
      <x:c r="B576" s="8" t="n"/>
      <x:c r="C576" s="8" t="n"/>
      <x:c r="D576" s="8" t="n"/>
      <x:c r="E576" s="8" t="n"/>
      <x:c r="F576" s="8" t="n"/>
      <x:c r="G576" s="7">
        <x:f>IF(A576="","",IF(01_Parametres!$B$11="Oui",IF((01_Parametres!$B$4*(D576&gt;0)+01_Parametres!$B$5*(E576&gt;0)+01_Parametres!$B$6*(F576&gt;0))=0,"",(01_Parametres!$B$4*IF(D576&gt;0,D576,0)+01_Parametres!$B$5*IF(E576&gt;0,E576,0)+01_Parametres!$B$6*IF(F576&gt;0,F576,0))/(01_Parametres!$B$4*(D576&gt;0)+01_Parametres!$B$5*(E576&gt;0)+01_Parametres!$B$6*(F576&gt;0))),IF(01_Parametres!$B$8=0,"",(01_Parametres!$B$4*D576+01_Parametres!$B$5*E576+01_Parametres!$B$6*F576)/01_Parametres!$B$8)))</x:f>
      </x:c>
      <x:c r="H576">
        <x:f>IFERROR(VLOOKUP(C576,02_Referentiels!$A$20:$D$99,3,FALSE),"")</x:f>
      </x:c>
      <x:c r="I576">
        <x:f>IFERROR(VLOOKUP(B576,02_Referentiels!$A$5:$C$16,2,FALSE),"")</x:f>
      </x:c>
      <x:c r="J576">
        <x:f>IF(A576="","",IF(OR(D576="",E576="",F576=""),1,IF(OR(D576&lt;0,D576&gt;3,E576&lt;0,E576&gt;3,F576&lt;0,F576&gt;3),1,0)))</x:f>
      </x:c>
      <x:c r="K576">
        <x:f>IF(A576="","",IF(G576="",1,0))</x:f>
      </x:c>
      <x:c r="L576">
        <x:f>IF(A576="","",IF(COUNTIFS($A$5:$A$2004,A576,$C$5:$C$2004,C576)&gt;1,1,0))</x:f>
      </x:c>
    </x:row>
    <x:row r="577">
      <x:c r="A577" s="8" t="n"/>
      <x:c r="B577" s="8" t="n"/>
      <x:c r="C577" s="8" t="n"/>
      <x:c r="D577" s="8" t="n"/>
      <x:c r="E577" s="8" t="n"/>
      <x:c r="F577" s="8" t="n"/>
      <x:c r="G577" s="7">
        <x:f>IF(A577="","",IF(01_Parametres!$B$11="Oui",IF((01_Parametres!$B$4*(D577&gt;0)+01_Parametres!$B$5*(E577&gt;0)+01_Parametres!$B$6*(F577&gt;0))=0,"",(01_Parametres!$B$4*IF(D577&gt;0,D577,0)+01_Parametres!$B$5*IF(E577&gt;0,E577,0)+01_Parametres!$B$6*IF(F577&gt;0,F577,0))/(01_Parametres!$B$4*(D577&gt;0)+01_Parametres!$B$5*(E577&gt;0)+01_Parametres!$B$6*(F577&gt;0))),IF(01_Parametres!$B$8=0,"",(01_Parametres!$B$4*D577+01_Parametres!$B$5*E577+01_Parametres!$B$6*F577)/01_Parametres!$B$8)))</x:f>
      </x:c>
      <x:c r="H577">
        <x:f>IFERROR(VLOOKUP(C577,02_Referentiels!$A$20:$D$99,3,FALSE),"")</x:f>
      </x:c>
      <x:c r="I577">
        <x:f>IFERROR(VLOOKUP(B577,02_Referentiels!$A$5:$C$16,2,FALSE),"")</x:f>
      </x:c>
      <x:c r="J577">
        <x:f>IF(A577="","",IF(OR(D577="",E577="",F577=""),1,IF(OR(D577&lt;0,D577&gt;3,E577&lt;0,E577&gt;3,F577&lt;0,F577&gt;3),1,0)))</x:f>
      </x:c>
      <x:c r="K577">
        <x:f>IF(A577="","",IF(G577="",1,0))</x:f>
      </x:c>
      <x:c r="L577">
        <x:f>IF(A577="","",IF(COUNTIFS($A$5:$A$2004,A577,$C$5:$C$2004,C577)&gt;1,1,0))</x:f>
      </x:c>
    </x:row>
    <x:row r="578">
      <x:c r="A578" s="8" t="n"/>
      <x:c r="B578" s="8" t="n"/>
      <x:c r="C578" s="8" t="n"/>
      <x:c r="D578" s="8" t="n"/>
      <x:c r="E578" s="8" t="n"/>
      <x:c r="F578" s="8" t="n"/>
      <x:c r="G578" s="7">
        <x:f>IF(A578="","",IF(01_Parametres!$B$11="Oui",IF((01_Parametres!$B$4*(D578&gt;0)+01_Parametres!$B$5*(E578&gt;0)+01_Parametres!$B$6*(F578&gt;0))=0,"",(01_Parametres!$B$4*IF(D578&gt;0,D578,0)+01_Parametres!$B$5*IF(E578&gt;0,E578,0)+01_Parametres!$B$6*IF(F578&gt;0,F578,0))/(01_Parametres!$B$4*(D578&gt;0)+01_Parametres!$B$5*(E578&gt;0)+01_Parametres!$B$6*(F578&gt;0))),IF(01_Parametres!$B$8=0,"",(01_Parametres!$B$4*D578+01_Parametres!$B$5*E578+01_Parametres!$B$6*F578)/01_Parametres!$B$8)))</x:f>
      </x:c>
      <x:c r="H578">
        <x:f>IFERROR(VLOOKUP(C578,02_Referentiels!$A$20:$D$99,3,FALSE),"")</x:f>
      </x:c>
      <x:c r="I578">
        <x:f>IFERROR(VLOOKUP(B578,02_Referentiels!$A$5:$C$16,2,FALSE),"")</x:f>
      </x:c>
      <x:c r="J578">
        <x:f>IF(A578="","",IF(OR(D578="",E578="",F578=""),1,IF(OR(D578&lt;0,D578&gt;3,E578&lt;0,E578&gt;3,F578&lt;0,F578&gt;3),1,0)))</x:f>
      </x:c>
      <x:c r="K578">
        <x:f>IF(A578="","",IF(G578="",1,0))</x:f>
      </x:c>
      <x:c r="L578">
        <x:f>IF(A578="","",IF(COUNTIFS($A$5:$A$2004,A578,$C$5:$C$2004,C578)&gt;1,1,0))</x:f>
      </x:c>
    </x:row>
    <x:row r="579">
      <x:c r="A579" s="8" t="n"/>
      <x:c r="B579" s="8" t="n"/>
      <x:c r="C579" s="8" t="n"/>
      <x:c r="D579" s="8" t="n"/>
      <x:c r="E579" s="8" t="n"/>
      <x:c r="F579" s="8" t="n"/>
      <x:c r="G579" s="7">
        <x:f>IF(A579="","",IF(01_Parametres!$B$11="Oui",IF((01_Parametres!$B$4*(D579&gt;0)+01_Parametres!$B$5*(E579&gt;0)+01_Parametres!$B$6*(F579&gt;0))=0,"",(01_Parametres!$B$4*IF(D579&gt;0,D579,0)+01_Parametres!$B$5*IF(E579&gt;0,E579,0)+01_Parametres!$B$6*IF(F579&gt;0,F579,0))/(01_Parametres!$B$4*(D579&gt;0)+01_Parametres!$B$5*(E579&gt;0)+01_Parametres!$B$6*(F579&gt;0))),IF(01_Parametres!$B$8=0,"",(01_Parametres!$B$4*D579+01_Parametres!$B$5*E579+01_Parametres!$B$6*F579)/01_Parametres!$B$8)))</x:f>
      </x:c>
      <x:c r="H579">
        <x:f>IFERROR(VLOOKUP(C579,02_Referentiels!$A$20:$D$99,3,FALSE),"")</x:f>
      </x:c>
      <x:c r="I579">
        <x:f>IFERROR(VLOOKUP(B579,02_Referentiels!$A$5:$C$16,2,FALSE),"")</x:f>
      </x:c>
      <x:c r="J579">
        <x:f>IF(A579="","",IF(OR(D579="",E579="",F579=""),1,IF(OR(D579&lt;0,D579&gt;3,E579&lt;0,E579&gt;3,F579&lt;0,F579&gt;3),1,0)))</x:f>
      </x:c>
      <x:c r="K579">
        <x:f>IF(A579="","",IF(G579="",1,0))</x:f>
      </x:c>
      <x:c r="L579">
        <x:f>IF(A579="","",IF(COUNTIFS($A$5:$A$2004,A579,$C$5:$C$2004,C579)&gt;1,1,0))</x:f>
      </x:c>
    </x:row>
    <x:row r="580">
      <x:c r="A580" s="8" t="n"/>
      <x:c r="B580" s="8" t="n"/>
      <x:c r="C580" s="8" t="n"/>
      <x:c r="D580" s="8" t="n"/>
      <x:c r="E580" s="8" t="n"/>
      <x:c r="F580" s="8" t="n"/>
      <x:c r="G580" s="7">
        <x:f>IF(A580="","",IF(01_Parametres!$B$11="Oui",IF((01_Parametres!$B$4*(D580&gt;0)+01_Parametres!$B$5*(E580&gt;0)+01_Parametres!$B$6*(F580&gt;0))=0,"",(01_Parametres!$B$4*IF(D580&gt;0,D580,0)+01_Parametres!$B$5*IF(E580&gt;0,E580,0)+01_Parametres!$B$6*IF(F580&gt;0,F580,0))/(01_Parametres!$B$4*(D580&gt;0)+01_Parametres!$B$5*(E580&gt;0)+01_Parametres!$B$6*(F580&gt;0))),IF(01_Parametres!$B$8=0,"",(01_Parametres!$B$4*D580+01_Parametres!$B$5*E580+01_Parametres!$B$6*F580)/01_Parametres!$B$8)))</x:f>
      </x:c>
      <x:c r="H580">
        <x:f>IFERROR(VLOOKUP(C580,02_Referentiels!$A$20:$D$99,3,FALSE),"")</x:f>
      </x:c>
      <x:c r="I580">
        <x:f>IFERROR(VLOOKUP(B580,02_Referentiels!$A$5:$C$16,2,FALSE),"")</x:f>
      </x:c>
      <x:c r="J580">
        <x:f>IF(A580="","",IF(OR(D580="",E580="",F580=""),1,IF(OR(D580&lt;0,D580&gt;3,E580&lt;0,E580&gt;3,F580&lt;0,F580&gt;3),1,0)))</x:f>
      </x:c>
      <x:c r="K580">
        <x:f>IF(A580="","",IF(G580="",1,0))</x:f>
      </x:c>
      <x:c r="L580">
        <x:f>IF(A580="","",IF(COUNTIFS($A$5:$A$2004,A580,$C$5:$C$2004,C580)&gt;1,1,0))</x:f>
      </x:c>
    </x:row>
    <x:row r="581">
      <x:c r="A581" s="8" t="n"/>
      <x:c r="B581" s="8" t="n"/>
      <x:c r="C581" s="8" t="n"/>
      <x:c r="D581" s="8" t="n"/>
      <x:c r="E581" s="8" t="n"/>
      <x:c r="F581" s="8" t="n"/>
      <x:c r="G581" s="7">
        <x:f>IF(A581="","",IF(01_Parametres!$B$11="Oui",IF((01_Parametres!$B$4*(D581&gt;0)+01_Parametres!$B$5*(E581&gt;0)+01_Parametres!$B$6*(F581&gt;0))=0,"",(01_Parametres!$B$4*IF(D581&gt;0,D581,0)+01_Parametres!$B$5*IF(E581&gt;0,E581,0)+01_Parametres!$B$6*IF(F581&gt;0,F581,0))/(01_Parametres!$B$4*(D581&gt;0)+01_Parametres!$B$5*(E581&gt;0)+01_Parametres!$B$6*(F581&gt;0))),IF(01_Parametres!$B$8=0,"",(01_Parametres!$B$4*D581+01_Parametres!$B$5*E581+01_Parametres!$B$6*F581)/01_Parametres!$B$8)))</x:f>
      </x:c>
      <x:c r="H581">
        <x:f>IFERROR(VLOOKUP(C581,02_Referentiels!$A$20:$D$99,3,FALSE),"")</x:f>
      </x:c>
      <x:c r="I581">
        <x:f>IFERROR(VLOOKUP(B581,02_Referentiels!$A$5:$C$16,2,FALSE),"")</x:f>
      </x:c>
      <x:c r="J581">
        <x:f>IF(A581="","",IF(OR(D581="",E581="",F581=""),1,IF(OR(D581&lt;0,D581&gt;3,E581&lt;0,E581&gt;3,F581&lt;0,F581&gt;3),1,0)))</x:f>
      </x:c>
      <x:c r="K581">
        <x:f>IF(A581="","",IF(G581="",1,0))</x:f>
      </x:c>
      <x:c r="L581">
        <x:f>IF(A581="","",IF(COUNTIFS($A$5:$A$2004,A581,$C$5:$C$2004,C581)&gt;1,1,0))</x:f>
      </x:c>
    </x:row>
    <x:row r="582">
      <x:c r="A582" s="8" t="n"/>
      <x:c r="B582" s="8" t="n"/>
      <x:c r="C582" s="8" t="n"/>
      <x:c r="D582" s="8" t="n"/>
      <x:c r="E582" s="8" t="n"/>
      <x:c r="F582" s="8" t="n"/>
      <x:c r="G582" s="7">
        <x:f>IF(A582="","",IF(01_Parametres!$B$11="Oui",IF((01_Parametres!$B$4*(D582&gt;0)+01_Parametres!$B$5*(E582&gt;0)+01_Parametres!$B$6*(F582&gt;0))=0,"",(01_Parametres!$B$4*IF(D582&gt;0,D582,0)+01_Parametres!$B$5*IF(E582&gt;0,E582,0)+01_Parametres!$B$6*IF(F582&gt;0,F582,0))/(01_Parametres!$B$4*(D582&gt;0)+01_Parametres!$B$5*(E582&gt;0)+01_Parametres!$B$6*(F582&gt;0))),IF(01_Parametres!$B$8=0,"",(01_Parametres!$B$4*D582+01_Parametres!$B$5*E582+01_Parametres!$B$6*F582)/01_Parametres!$B$8)))</x:f>
      </x:c>
      <x:c r="H582">
        <x:f>IFERROR(VLOOKUP(C582,02_Referentiels!$A$20:$D$99,3,FALSE),"")</x:f>
      </x:c>
      <x:c r="I582">
        <x:f>IFERROR(VLOOKUP(B582,02_Referentiels!$A$5:$C$16,2,FALSE),"")</x:f>
      </x:c>
      <x:c r="J582">
        <x:f>IF(A582="","",IF(OR(D582="",E582="",F582=""),1,IF(OR(D582&lt;0,D582&gt;3,E582&lt;0,E582&gt;3,F582&lt;0,F582&gt;3),1,0)))</x:f>
      </x:c>
      <x:c r="K582">
        <x:f>IF(A582="","",IF(G582="",1,0))</x:f>
      </x:c>
      <x:c r="L582">
        <x:f>IF(A582="","",IF(COUNTIFS($A$5:$A$2004,A582,$C$5:$C$2004,C582)&gt;1,1,0))</x:f>
      </x:c>
    </x:row>
    <x:row r="583">
      <x:c r="A583" s="8" t="n"/>
      <x:c r="B583" s="8" t="n"/>
      <x:c r="C583" s="8" t="n"/>
      <x:c r="D583" s="8" t="n"/>
      <x:c r="E583" s="8" t="n"/>
      <x:c r="F583" s="8" t="n"/>
      <x:c r="G583" s="7">
        <x:f>IF(A583="","",IF(01_Parametres!$B$11="Oui",IF((01_Parametres!$B$4*(D583&gt;0)+01_Parametres!$B$5*(E583&gt;0)+01_Parametres!$B$6*(F583&gt;0))=0,"",(01_Parametres!$B$4*IF(D583&gt;0,D583,0)+01_Parametres!$B$5*IF(E583&gt;0,E583,0)+01_Parametres!$B$6*IF(F583&gt;0,F583,0))/(01_Parametres!$B$4*(D583&gt;0)+01_Parametres!$B$5*(E583&gt;0)+01_Parametres!$B$6*(F583&gt;0))),IF(01_Parametres!$B$8=0,"",(01_Parametres!$B$4*D583+01_Parametres!$B$5*E583+01_Parametres!$B$6*F583)/01_Parametres!$B$8)))</x:f>
      </x:c>
      <x:c r="H583">
        <x:f>IFERROR(VLOOKUP(C583,02_Referentiels!$A$20:$D$99,3,FALSE),"")</x:f>
      </x:c>
      <x:c r="I583">
        <x:f>IFERROR(VLOOKUP(B583,02_Referentiels!$A$5:$C$16,2,FALSE),"")</x:f>
      </x:c>
      <x:c r="J583">
        <x:f>IF(A583="","",IF(OR(D583="",E583="",F583=""),1,IF(OR(D583&lt;0,D583&gt;3,E583&lt;0,E583&gt;3,F583&lt;0,F583&gt;3),1,0)))</x:f>
      </x:c>
      <x:c r="K583">
        <x:f>IF(A583="","",IF(G583="",1,0))</x:f>
      </x:c>
      <x:c r="L583">
        <x:f>IF(A583="","",IF(COUNTIFS($A$5:$A$2004,A583,$C$5:$C$2004,C583)&gt;1,1,0))</x:f>
      </x:c>
    </x:row>
    <x:row r="584">
      <x:c r="A584" s="8" t="n"/>
      <x:c r="B584" s="8" t="n"/>
      <x:c r="C584" s="8" t="n"/>
      <x:c r="D584" s="8" t="n"/>
      <x:c r="E584" s="8" t="n"/>
      <x:c r="F584" s="8" t="n"/>
      <x:c r="G584" s="7">
        <x:f>IF(A584="","",IF(01_Parametres!$B$11="Oui",IF((01_Parametres!$B$4*(D584&gt;0)+01_Parametres!$B$5*(E584&gt;0)+01_Parametres!$B$6*(F584&gt;0))=0,"",(01_Parametres!$B$4*IF(D584&gt;0,D584,0)+01_Parametres!$B$5*IF(E584&gt;0,E584,0)+01_Parametres!$B$6*IF(F584&gt;0,F584,0))/(01_Parametres!$B$4*(D584&gt;0)+01_Parametres!$B$5*(E584&gt;0)+01_Parametres!$B$6*(F584&gt;0))),IF(01_Parametres!$B$8=0,"",(01_Parametres!$B$4*D584+01_Parametres!$B$5*E584+01_Parametres!$B$6*F584)/01_Parametres!$B$8)))</x:f>
      </x:c>
      <x:c r="H584">
        <x:f>IFERROR(VLOOKUP(C584,02_Referentiels!$A$20:$D$99,3,FALSE),"")</x:f>
      </x:c>
      <x:c r="I584">
        <x:f>IFERROR(VLOOKUP(B584,02_Referentiels!$A$5:$C$16,2,FALSE),"")</x:f>
      </x:c>
      <x:c r="J584">
        <x:f>IF(A584="","",IF(OR(D584="",E584="",F584=""),1,IF(OR(D584&lt;0,D584&gt;3,E584&lt;0,E584&gt;3,F584&lt;0,F584&gt;3),1,0)))</x:f>
      </x:c>
      <x:c r="K584">
        <x:f>IF(A584="","",IF(G584="",1,0))</x:f>
      </x:c>
      <x:c r="L584">
        <x:f>IF(A584="","",IF(COUNTIFS($A$5:$A$2004,A584,$C$5:$C$2004,C584)&gt;1,1,0))</x:f>
      </x:c>
    </x:row>
    <x:row r="585">
      <x:c r="A585" s="8" t="n"/>
      <x:c r="B585" s="8" t="n"/>
      <x:c r="C585" s="8" t="n"/>
      <x:c r="D585" s="8" t="n"/>
      <x:c r="E585" s="8" t="n"/>
      <x:c r="F585" s="8" t="n"/>
      <x:c r="G585" s="7">
        <x:f>IF(A585="","",IF(01_Parametres!$B$11="Oui",IF((01_Parametres!$B$4*(D585&gt;0)+01_Parametres!$B$5*(E585&gt;0)+01_Parametres!$B$6*(F585&gt;0))=0,"",(01_Parametres!$B$4*IF(D585&gt;0,D585,0)+01_Parametres!$B$5*IF(E585&gt;0,E585,0)+01_Parametres!$B$6*IF(F585&gt;0,F585,0))/(01_Parametres!$B$4*(D585&gt;0)+01_Parametres!$B$5*(E585&gt;0)+01_Parametres!$B$6*(F585&gt;0))),IF(01_Parametres!$B$8=0,"",(01_Parametres!$B$4*D585+01_Parametres!$B$5*E585+01_Parametres!$B$6*F585)/01_Parametres!$B$8)))</x:f>
      </x:c>
      <x:c r="H585">
        <x:f>IFERROR(VLOOKUP(C585,02_Referentiels!$A$20:$D$99,3,FALSE),"")</x:f>
      </x:c>
      <x:c r="I585">
        <x:f>IFERROR(VLOOKUP(B585,02_Referentiels!$A$5:$C$16,2,FALSE),"")</x:f>
      </x:c>
      <x:c r="J585">
        <x:f>IF(A585="","",IF(OR(D585="",E585="",F585=""),1,IF(OR(D585&lt;0,D585&gt;3,E585&lt;0,E585&gt;3,F585&lt;0,F585&gt;3),1,0)))</x:f>
      </x:c>
      <x:c r="K585">
        <x:f>IF(A585="","",IF(G585="",1,0))</x:f>
      </x:c>
      <x:c r="L585">
        <x:f>IF(A585="","",IF(COUNTIFS($A$5:$A$2004,A585,$C$5:$C$2004,C585)&gt;1,1,0))</x:f>
      </x:c>
    </x:row>
    <x:row r="586">
      <x:c r="A586" s="8" t="n"/>
      <x:c r="B586" s="8" t="n"/>
      <x:c r="C586" s="8" t="n"/>
      <x:c r="D586" s="8" t="n"/>
      <x:c r="E586" s="8" t="n"/>
      <x:c r="F586" s="8" t="n"/>
      <x:c r="G586" s="7">
        <x:f>IF(A586="","",IF(01_Parametres!$B$11="Oui",IF((01_Parametres!$B$4*(D586&gt;0)+01_Parametres!$B$5*(E586&gt;0)+01_Parametres!$B$6*(F586&gt;0))=0,"",(01_Parametres!$B$4*IF(D586&gt;0,D586,0)+01_Parametres!$B$5*IF(E586&gt;0,E586,0)+01_Parametres!$B$6*IF(F586&gt;0,F586,0))/(01_Parametres!$B$4*(D586&gt;0)+01_Parametres!$B$5*(E586&gt;0)+01_Parametres!$B$6*(F586&gt;0))),IF(01_Parametres!$B$8=0,"",(01_Parametres!$B$4*D586+01_Parametres!$B$5*E586+01_Parametres!$B$6*F586)/01_Parametres!$B$8)))</x:f>
      </x:c>
      <x:c r="H586">
        <x:f>IFERROR(VLOOKUP(C586,02_Referentiels!$A$20:$D$99,3,FALSE),"")</x:f>
      </x:c>
      <x:c r="I586">
        <x:f>IFERROR(VLOOKUP(B586,02_Referentiels!$A$5:$C$16,2,FALSE),"")</x:f>
      </x:c>
      <x:c r="J586">
        <x:f>IF(A586="","",IF(OR(D586="",E586="",F586=""),1,IF(OR(D586&lt;0,D586&gt;3,E586&lt;0,E586&gt;3,F586&lt;0,F586&gt;3),1,0)))</x:f>
      </x:c>
      <x:c r="K586">
        <x:f>IF(A586="","",IF(G586="",1,0))</x:f>
      </x:c>
      <x:c r="L586">
        <x:f>IF(A586="","",IF(COUNTIFS($A$5:$A$2004,A586,$C$5:$C$2004,C586)&gt;1,1,0))</x:f>
      </x:c>
    </x:row>
    <x:row r="587">
      <x:c r="A587" s="8" t="n"/>
      <x:c r="B587" s="8" t="n"/>
      <x:c r="C587" s="8" t="n"/>
      <x:c r="D587" s="8" t="n"/>
      <x:c r="E587" s="8" t="n"/>
      <x:c r="F587" s="8" t="n"/>
      <x:c r="G587" s="7">
        <x:f>IF(A587="","",IF(01_Parametres!$B$11="Oui",IF((01_Parametres!$B$4*(D587&gt;0)+01_Parametres!$B$5*(E587&gt;0)+01_Parametres!$B$6*(F587&gt;0))=0,"",(01_Parametres!$B$4*IF(D587&gt;0,D587,0)+01_Parametres!$B$5*IF(E587&gt;0,E587,0)+01_Parametres!$B$6*IF(F587&gt;0,F587,0))/(01_Parametres!$B$4*(D587&gt;0)+01_Parametres!$B$5*(E587&gt;0)+01_Parametres!$B$6*(F587&gt;0))),IF(01_Parametres!$B$8=0,"",(01_Parametres!$B$4*D587+01_Parametres!$B$5*E587+01_Parametres!$B$6*F587)/01_Parametres!$B$8)))</x:f>
      </x:c>
      <x:c r="H587">
        <x:f>IFERROR(VLOOKUP(C587,02_Referentiels!$A$20:$D$99,3,FALSE),"")</x:f>
      </x:c>
      <x:c r="I587">
        <x:f>IFERROR(VLOOKUP(B587,02_Referentiels!$A$5:$C$16,2,FALSE),"")</x:f>
      </x:c>
      <x:c r="J587">
        <x:f>IF(A587="","",IF(OR(D587="",E587="",F587=""),1,IF(OR(D587&lt;0,D587&gt;3,E587&lt;0,E587&gt;3,F587&lt;0,F587&gt;3),1,0)))</x:f>
      </x:c>
      <x:c r="K587">
        <x:f>IF(A587="","",IF(G587="",1,0))</x:f>
      </x:c>
      <x:c r="L587">
        <x:f>IF(A587="","",IF(COUNTIFS($A$5:$A$2004,A587,$C$5:$C$2004,C587)&gt;1,1,0))</x:f>
      </x:c>
    </x:row>
    <x:row r="588">
      <x:c r="A588" s="8" t="n"/>
      <x:c r="B588" s="8" t="n"/>
      <x:c r="C588" s="8" t="n"/>
      <x:c r="D588" s="8" t="n"/>
      <x:c r="E588" s="8" t="n"/>
      <x:c r="F588" s="8" t="n"/>
      <x:c r="G588" s="7">
        <x:f>IF(A588="","",IF(01_Parametres!$B$11="Oui",IF((01_Parametres!$B$4*(D588&gt;0)+01_Parametres!$B$5*(E588&gt;0)+01_Parametres!$B$6*(F588&gt;0))=0,"",(01_Parametres!$B$4*IF(D588&gt;0,D588,0)+01_Parametres!$B$5*IF(E588&gt;0,E588,0)+01_Parametres!$B$6*IF(F588&gt;0,F588,0))/(01_Parametres!$B$4*(D588&gt;0)+01_Parametres!$B$5*(E588&gt;0)+01_Parametres!$B$6*(F588&gt;0))),IF(01_Parametres!$B$8=0,"",(01_Parametres!$B$4*D588+01_Parametres!$B$5*E588+01_Parametres!$B$6*F588)/01_Parametres!$B$8)))</x:f>
      </x:c>
      <x:c r="H588">
        <x:f>IFERROR(VLOOKUP(C588,02_Referentiels!$A$20:$D$99,3,FALSE),"")</x:f>
      </x:c>
      <x:c r="I588">
        <x:f>IFERROR(VLOOKUP(B588,02_Referentiels!$A$5:$C$16,2,FALSE),"")</x:f>
      </x:c>
      <x:c r="J588">
        <x:f>IF(A588="","",IF(OR(D588="",E588="",F588=""),1,IF(OR(D588&lt;0,D588&gt;3,E588&lt;0,E588&gt;3,F588&lt;0,F588&gt;3),1,0)))</x:f>
      </x:c>
      <x:c r="K588">
        <x:f>IF(A588="","",IF(G588="",1,0))</x:f>
      </x:c>
      <x:c r="L588">
        <x:f>IF(A588="","",IF(COUNTIFS($A$5:$A$2004,A588,$C$5:$C$2004,C588)&gt;1,1,0))</x:f>
      </x:c>
    </x:row>
    <x:row r="589">
      <x:c r="A589" s="8" t="n"/>
      <x:c r="B589" s="8" t="n"/>
      <x:c r="C589" s="8" t="n"/>
      <x:c r="D589" s="8" t="n"/>
      <x:c r="E589" s="8" t="n"/>
      <x:c r="F589" s="8" t="n"/>
      <x:c r="G589" s="7">
        <x:f>IF(A589="","",IF(01_Parametres!$B$11="Oui",IF((01_Parametres!$B$4*(D589&gt;0)+01_Parametres!$B$5*(E589&gt;0)+01_Parametres!$B$6*(F589&gt;0))=0,"",(01_Parametres!$B$4*IF(D589&gt;0,D589,0)+01_Parametres!$B$5*IF(E589&gt;0,E589,0)+01_Parametres!$B$6*IF(F589&gt;0,F589,0))/(01_Parametres!$B$4*(D589&gt;0)+01_Parametres!$B$5*(E589&gt;0)+01_Parametres!$B$6*(F589&gt;0))),IF(01_Parametres!$B$8=0,"",(01_Parametres!$B$4*D589+01_Parametres!$B$5*E589+01_Parametres!$B$6*F589)/01_Parametres!$B$8)))</x:f>
      </x:c>
      <x:c r="H589">
        <x:f>IFERROR(VLOOKUP(C589,02_Referentiels!$A$20:$D$99,3,FALSE),"")</x:f>
      </x:c>
      <x:c r="I589">
        <x:f>IFERROR(VLOOKUP(B589,02_Referentiels!$A$5:$C$16,2,FALSE),"")</x:f>
      </x:c>
      <x:c r="J589">
        <x:f>IF(A589="","",IF(OR(D589="",E589="",F589=""),1,IF(OR(D589&lt;0,D589&gt;3,E589&lt;0,E589&gt;3,F589&lt;0,F589&gt;3),1,0)))</x:f>
      </x:c>
      <x:c r="K589">
        <x:f>IF(A589="","",IF(G589="",1,0))</x:f>
      </x:c>
      <x:c r="L589">
        <x:f>IF(A589="","",IF(COUNTIFS($A$5:$A$2004,A589,$C$5:$C$2004,C589)&gt;1,1,0))</x:f>
      </x:c>
    </x:row>
    <x:row r="590">
      <x:c r="A590" s="8" t="n"/>
      <x:c r="B590" s="8" t="n"/>
      <x:c r="C590" s="8" t="n"/>
      <x:c r="D590" s="8" t="n"/>
      <x:c r="E590" s="8" t="n"/>
      <x:c r="F590" s="8" t="n"/>
      <x:c r="G590" s="7">
        <x:f>IF(A590="","",IF(01_Parametres!$B$11="Oui",IF((01_Parametres!$B$4*(D590&gt;0)+01_Parametres!$B$5*(E590&gt;0)+01_Parametres!$B$6*(F590&gt;0))=0,"",(01_Parametres!$B$4*IF(D590&gt;0,D590,0)+01_Parametres!$B$5*IF(E590&gt;0,E590,0)+01_Parametres!$B$6*IF(F590&gt;0,F590,0))/(01_Parametres!$B$4*(D590&gt;0)+01_Parametres!$B$5*(E590&gt;0)+01_Parametres!$B$6*(F590&gt;0))),IF(01_Parametres!$B$8=0,"",(01_Parametres!$B$4*D590+01_Parametres!$B$5*E590+01_Parametres!$B$6*F590)/01_Parametres!$B$8)))</x:f>
      </x:c>
      <x:c r="H590">
        <x:f>IFERROR(VLOOKUP(C590,02_Referentiels!$A$20:$D$99,3,FALSE),"")</x:f>
      </x:c>
      <x:c r="I590">
        <x:f>IFERROR(VLOOKUP(B590,02_Referentiels!$A$5:$C$16,2,FALSE),"")</x:f>
      </x:c>
      <x:c r="J590">
        <x:f>IF(A590="","",IF(OR(D590="",E590="",F590=""),1,IF(OR(D590&lt;0,D590&gt;3,E590&lt;0,E590&gt;3,F590&lt;0,F590&gt;3),1,0)))</x:f>
      </x:c>
      <x:c r="K590">
        <x:f>IF(A590="","",IF(G590="",1,0))</x:f>
      </x:c>
      <x:c r="L590">
        <x:f>IF(A590="","",IF(COUNTIFS($A$5:$A$2004,A590,$C$5:$C$2004,C590)&gt;1,1,0))</x:f>
      </x:c>
    </x:row>
    <x:row r="591">
      <x:c r="A591" s="8" t="n"/>
      <x:c r="B591" s="8" t="n"/>
      <x:c r="C591" s="8" t="n"/>
      <x:c r="D591" s="8" t="n"/>
      <x:c r="E591" s="8" t="n"/>
      <x:c r="F591" s="8" t="n"/>
      <x:c r="G591" s="7">
        <x:f>IF(A591="","",IF(01_Parametres!$B$11="Oui",IF((01_Parametres!$B$4*(D591&gt;0)+01_Parametres!$B$5*(E591&gt;0)+01_Parametres!$B$6*(F591&gt;0))=0,"",(01_Parametres!$B$4*IF(D591&gt;0,D591,0)+01_Parametres!$B$5*IF(E591&gt;0,E591,0)+01_Parametres!$B$6*IF(F591&gt;0,F591,0))/(01_Parametres!$B$4*(D591&gt;0)+01_Parametres!$B$5*(E591&gt;0)+01_Parametres!$B$6*(F591&gt;0))),IF(01_Parametres!$B$8=0,"",(01_Parametres!$B$4*D591+01_Parametres!$B$5*E591+01_Parametres!$B$6*F591)/01_Parametres!$B$8)))</x:f>
      </x:c>
      <x:c r="H591">
        <x:f>IFERROR(VLOOKUP(C591,02_Referentiels!$A$20:$D$99,3,FALSE),"")</x:f>
      </x:c>
      <x:c r="I591">
        <x:f>IFERROR(VLOOKUP(B591,02_Referentiels!$A$5:$C$16,2,FALSE),"")</x:f>
      </x:c>
      <x:c r="J591">
        <x:f>IF(A591="","",IF(OR(D591="",E591="",F591=""),1,IF(OR(D591&lt;0,D591&gt;3,E591&lt;0,E591&gt;3,F591&lt;0,F591&gt;3),1,0)))</x:f>
      </x:c>
      <x:c r="K591">
        <x:f>IF(A591="","",IF(G591="",1,0))</x:f>
      </x:c>
      <x:c r="L591">
        <x:f>IF(A591="","",IF(COUNTIFS($A$5:$A$2004,A591,$C$5:$C$2004,C591)&gt;1,1,0))</x:f>
      </x:c>
    </x:row>
    <x:row r="592">
      <x:c r="A592" s="8" t="n"/>
      <x:c r="B592" s="8" t="n"/>
      <x:c r="C592" s="8" t="n"/>
      <x:c r="D592" s="8" t="n"/>
      <x:c r="E592" s="8" t="n"/>
      <x:c r="F592" s="8" t="n"/>
      <x:c r="G592" s="7">
        <x:f>IF(A592="","",IF(01_Parametres!$B$11="Oui",IF((01_Parametres!$B$4*(D592&gt;0)+01_Parametres!$B$5*(E592&gt;0)+01_Parametres!$B$6*(F592&gt;0))=0,"",(01_Parametres!$B$4*IF(D592&gt;0,D592,0)+01_Parametres!$B$5*IF(E592&gt;0,E592,0)+01_Parametres!$B$6*IF(F592&gt;0,F592,0))/(01_Parametres!$B$4*(D592&gt;0)+01_Parametres!$B$5*(E592&gt;0)+01_Parametres!$B$6*(F592&gt;0))),IF(01_Parametres!$B$8=0,"",(01_Parametres!$B$4*D592+01_Parametres!$B$5*E592+01_Parametres!$B$6*F592)/01_Parametres!$B$8)))</x:f>
      </x:c>
      <x:c r="H592">
        <x:f>IFERROR(VLOOKUP(C592,02_Referentiels!$A$20:$D$99,3,FALSE),"")</x:f>
      </x:c>
      <x:c r="I592">
        <x:f>IFERROR(VLOOKUP(B592,02_Referentiels!$A$5:$C$16,2,FALSE),"")</x:f>
      </x:c>
      <x:c r="J592">
        <x:f>IF(A592="","",IF(OR(D592="",E592="",F592=""),1,IF(OR(D592&lt;0,D592&gt;3,E592&lt;0,E592&gt;3,F592&lt;0,F592&gt;3),1,0)))</x:f>
      </x:c>
      <x:c r="K592">
        <x:f>IF(A592="","",IF(G592="",1,0))</x:f>
      </x:c>
      <x:c r="L592">
        <x:f>IF(A592="","",IF(COUNTIFS($A$5:$A$2004,A592,$C$5:$C$2004,C592)&gt;1,1,0))</x:f>
      </x:c>
    </x:row>
    <x:row r="593">
      <x:c r="A593" s="8" t="n"/>
      <x:c r="B593" s="8" t="n"/>
      <x:c r="C593" s="8" t="n"/>
      <x:c r="D593" s="8" t="n"/>
      <x:c r="E593" s="8" t="n"/>
      <x:c r="F593" s="8" t="n"/>
      <x:c r="G593" s="7">
        <x:f>IF(A593="","",IF(01_Parametres!$B$11="Oui",IF((01_Parametres!$B$4*(D593&gt;0)+01_Parametres!$B$5*(E593&gt;0)+01_Parametres!$B$6*(F593&gt;0))=0,"",(01_Parametres!$B$4*IF(D593&gt;0,D593,0)+01_Parametres!$B$5*IF(E593&gt;0,E593,0)+01_Parametres!$B$6*IF(F593&gt;0,F593,0))/(01_Parametres!$B$4*(D593&gt;0)+01_Parametres!$B$5*(E593&gt;0)+01_Parametres!$B$6*(F593&gt;0))),IF(01_Parametres!$B$8=0,"",(01_Parametres!$B$4*D593+01_Parametres!$B$5*E593+01_Parametres!$B$6*F593)/01_Parametres!$B$8)))</x:f>
      </x:c>
      <x:c r="H593">
        <x:f>IFERROR(VLOOKUP(C593,02_Referentiels!$A$20:$D$99,3,FALSE),"")</x:f>
      </x:c>
      <x:c r="I593">
        <x:f>IFERROR(VLOOKUP(B593,02_Referentiels!$A$5:$C$16,2,FALSE),"")</x:f>
      </x:c>
      <x:c r="J593">
        <x:f>IF(A593="","",IF(OR(D593="",E593="",F593=""),1,IF(OR(D593&lt;0,D593&gt;3,E593&lt;0,E593&gt;3,F593&lt;0,F593&gt;3),1,0)))</x:f>
      </x:c>
      <x:c r="K593">
        <x:f>IF(A593="","",IF(G593="",1,0))</x:f>
      </x:c>
      <x:c r="L593">
        <x:f>IF(A593="","",IF(COUNTIFS($A$5:$A$2004,A593,$C$5:$C$2004,C593)&gt;1,1,0))</x:f>
      </x:c>
    </x:row>
    <x:row r="594">
      <x:c r="A594" s="8" t="n"/>
      <x:c r="B594" s="8" t="n"/>
      <x:c r="C594" s="8" t="n"/>
      <x:c r="D594" s="8" t="n"/>
      <x:c r="E594" s="8" t="n"/>
      <x:c r="F594" s="8" t="n"/>
      <x:c r="G594" s="7">
        <x:f>IF(A594="","",IF(01_Parametres!$B$11="Oui",IF((01_Parametres!$B$4*(D594&gt;0)+01_Parametres!$B$5*(E594&gt;0)+01_Parametres!$B$6*(F594&gt;0))=0,"",(01_Parametres!$B$4*IF(D594&gt;0,D594,0)+01_Parametres!$B$5*IF(E594&gt;0,E594,0)+01_Parametres!$B$6*IF(F594&gt;0,F594,0))/(01_Parametres!$B$4*(D594&gt;0)+01_Parametres!$B$5*(E594&gt;0)+01_Parametres!$B$6*(F594&gt;0))),IF(01_Parametres!$B$8=0,"",(01_Parametres!$B$4*D594+01_Parametres!$B$5*E594+01_Parametres!$B$6*F594)/01_Parametres!$B$8)))</x:f>
      </x:c>
      <x:c r="H594">
        <x:f>IFERROR(VLOOKUP(C594,02_Referentiels!$A$20:$D$99,3,FALSE),"")</x:f>
      </x:c>
      <x:c r="I594">
        <x:f>IFERROR(VLOOKUP(B594,02_Referentiels!$A$5:$C$16,2,FALSE),"")</x:f>
      </x:c>
      <x:c r="J594">
        <x:f>IF(A594="","",IF(OR(D594="",E594="",F594=""),1,IF(OR(D594&lt;0,D594&gt;3,E594&lt;0,E594&gt;3,F594&lt;0,F594&gt;3),1,0)))</x:f>
      </x:c>
      <x:c r="K594">
        <x:f>IF(A594="","",IF(G594="",1,0))</x:f>
      </x:c>
      <x:c r="L594">
        <x:f>IF(A594="","",IF(COUNTIFS($A$5:$A$2004,A594,$C$5:$C$2004,C594)&gt;1,1,0))</x:f>
      </x:c>
    </x:row>
    <x:row r="595">
      <x:c r="A595" s="8" t="n"/>
      <x:c r="B595" s="8" t="n"/>
      <x:c r="C595" s="8" t="n"/>
      <x:c r="D595" s="8" t="n"/>
      <x:c r="E595" s="8" t="n"/>
      <x:c r="F595" s="8" t="n"/>
      <x:c r="G595" s="7">
        <x:f>IF(A595="","",IF(01_Parametres!$B$11="Oui",IF((01_Parametres!$B$4*(D595&gt;0)+01_Parametres!$B$5*(E595&gt;0)+01_Parametres!$B$6*(F595&gt;0))=0,"",(01_Parametres!$B$4*IF(D595&gt;0,D595,0)+01_Parametres!$B$5*IF(E595&gt;0,E595,0)+01_Parametres!$B$6*IF(F595&gt;0,F595,0))/(01_Parametres!$B$4*(D595&gt;0)+01_Parametres!$B$5*(E595&gt;0)+01_Parametres!$B$6*(F595&gt;0))),IF(01_Parametres!$B$8=0,"",(01_Parametres!$B$4*D595+01_Parametres!$B$5*E595+01_Parametres!$B$6*F595)/01_Parametres!$B$8)))</x:f>
      </x:c>
      <x:c r="H595">
        <x:f>IFERROR(VLOOKUP(C595,02_Referentiels!$A$20:$D$99,3,FALSE),"")</x:f>
      </x:c>
      <x:c r="I595">
        <x:f>IFERROR(VLOOKUP(B595,02_Referentiels!$A$5:$C$16,2,FALSE),"")</x:f>
      </x:c>
      <x:c r="J595">
        <x:f>IF(A595="","",IF(OR(D595="",E595="",F595=""),1,IF(OR(D595&lt;0,D595&gt;3,E595&lt;0,E595&gt;3,F595&lt;0,F595&gt;3),1,0)))</x:f>
      </x:c>
      <x:c r="K595">
        <x:f>IF(A595="","",IF(G595="",1,0))</x:f>
      </x:c>
      <x:c r="L595">
        <x:f>IF(A595="","",IF(COUNTIFS($A$5:$A$2004,A595,$C$5:$C$2004,C595)&gt;1,1,0))</x:f>
      </x:c>
    </x:row>
    <x:row r="596">
      <x:c r="A596" s="8" t="n"/>
      <x:c r="B596" s="8" t="n"/>
      <x:c r="C596" s="8" t="n"/>
      <x:c r="D596" s="8" t="n"/>
      <x:c r="E596" s="8" t="n"/>
      <x:c r="F596" s="8" t="n"/>
      <x:c r="G596" s="7">
        <x:f>IF(A596="","",IF(01_Parametres!$B$11="Oui",IF((01_Parametres!$B$4*(D596&gt;0)+01_Parametres!$B$5*(E596&gt;0)+01_Parametres!$B$6*(F596&gt;0))=0,"",(01_Parametres!$B$4*IF(D596&gt;0,D596,0)+01_Parametres!$B$5*IF(E596&gt;0,E596,0)+01_Parametres!$B$6*IF(F596&gt;0,F596,0))/(01_Parametres!$B$4*(D596&gt;0)+01_Parametres!$B$5*(E596&gt;0)+01_Parametres!$B$6*(F596&gt;0))),IF(01_Parametres!$B$8=0,"",(01_Parametres!$B$4*D596+01_Parametres!$B$5*E596+01_Parametres!$B$6*F596)/01_Parametres!$B$8)))</x:f>
      </x:c>
      <x:c r="H596">
        <x:f>IFERROR(VLOOKUP(C596,02_Referentiels!$A$20:$D$99,3,FALSE),"")</x:f>
      </x:c>
      <x:c r="I596">
        <x:f>IFERROR(VLOOKUP(B596,02_Referentiels!$A$5:$C$16,2,FALSE),"")</x:f>
      </x:c>
      <x:c r="J596">
        <x:f>IF(A596="","",IF(OR(D596="",E596="",F596=""),1,IF(OR(D596&lt;0,D596&gt;3,E596&lt;0,E596&gt;3,F596&lt;0,F596&gt;3),1,0)))</x:f>
      </x:c>
      <x:c r="K596">
        <x:f>IF(A596="","",IF(G596="",1,0))</x:f>
      </x:c>
      <x:c r="L596">
        <x:f>IF(A596="","",IF(COUNTIFS($A$5:$A$2004,A596,$C$5:$C$2004,C596)&gt;1,1,0))</x:f>
      </x:c>
    </x:row>
    <x:row r="597">
      <x:c r="A597" s="8" t="n"/>
      <x:c r="B597" s="8" t="n"/>
      <x:c r="C597" s="8" t="n"/>
      <x:c r="D597" s="8" t="n"/>
      <x:c r="E597" s="8" t="n"/>
      <x:c r="F597" s="8" t="n"/>
      <x:c r="G597" s="7">
        <x:f>IF(A597="","",IF(01_Parametres!$B$11="Oui",IF((01_Parametres!$B$4*(D597&gt;0)+01_Parametres!$B$5*(E597&gt;0)+01_Parametres!$B$6*(F597&gt;0))=0,"",(01_Parametres!$B$4*IF(D597&gt;0,D597,0)+01_Parametres!$B$5*IF(E597&gt;0,E597,0)+01_Parametres!$B$6*IF(F597&gt;0,F597,0))/(01_Parametres!$B$4*(D597&gt;0)+01_Parametres!$B$5*(E597&gt;0)+01_Parametres!$B$6*(F597&gt;0))),IF(01_Parametres!$B$8=0,"",(01_Parametres!$B$4*D597+01_Parametres!$B$5*E597+01_Parametres!$B$6*F597)/01_Parametres!$B$8)))</x:f>
      </x:c>
      <x:c r="H597">
        <x:f>IFERROR(VLOOKUP(C597,02_Referentiels!$A$20:$D$99,3,FALSE),"")</x:f>
      </x:c>
      <x:c r="I597">
        <x:f>IFERROR(VLOOKUP(B597,02_Referentiels!$A$5:$C$16,2,FALSE),"")</x:f>
      </x:c>
      <x:c r="J597">
        <x:f>IF(A597="","",IF(OR(D597="",E597="",F597=""),1,IF(OR(D597&lt;0,D597&gt;3,E597&lt;0,E597&gt;3,F597&lt;0,F597&gt;3),1,0)))</x:f>
      </x:c>
      <x:c r="K597">
        <x:f>IF(A597="","",IF(G597="",1,0))</x:f>
      </x:c>
      <x:c r="L597">
        <x:f>IF(A597="","",IF(COUNTIFS($A$5:$A$2004,A597,$C$5:$C$2004,C597)&gt;1,1,0))</x:f>
      </x:c>
    </x:row>
    <x:row r="598">
      <x:c r="A598" s="8" t="n"/>
      <x:c r="B598" s="8" t="n"/>
      <x:c r="C598" s="8" t="n"/>
      <x:c r="D598" s="8" t="n"/>
      <x:c r="E598" s="8" t="n"/>
      <x:c r="F598" s="8" t="n"/>
      <x:c r="G598" s="7">
        <x:f>IF(A598="","",IF(01_Parametres!$B$11="Oui",IF((01_Parametres!$B$4*(D598&gt;0)+01_Parametres!$B$5*(E598&gt;0)+01_Parametres!$B$6*(F598&gt;0))=0,"",(01_Parametres!$B$4*IF(D598&gt;0,D598,0)+01_Parametres!$B$5*IF(E598&gt;0,E598,0)+01_Parametres!$B$6*IF(F598&gt;0,F598,0))/(01_Parametres!$B$4*(D598&gt;0)+01_Parametres!$B$5*(E598&gt;0)+01_Parametres!$B$6*(F598&gt;0))),IF(01_Parametres!$B$8=0,"",(01_Parametres!$B$4*D598+01_Parametres!$B$5*E598+01_Parametres!$B$6*F598)/01_Parametres!$B$8)))</x:f>
      </x:c>
      <x:c r="H598">
        <x:f>IFERROR(VLOOKUP(C598,02_Referentiels!$A$20:$D$99,3,FALSE),"")</x:f>
      </x:c>
      <x:c r="I598">
        <x:f>IFERROR(VLOOKUP(B598,02_Referentiels!$A$5:$C$16,2,FALSE),"")</x:f>
      </x:c>
      <x:c r="J598">
        <x:f>IF(A598="","",IF(OR(D598="",E598="",F598=""),1,IF(OR(D598&lt;0,D598&gt;3,E598&lt;0,E598&gt;3,F598&lt;0,F598&gt;3),1,0)))</x:f>
      </x:c>
      <x:c r="K598">
        <x:f>IF(A598="","",IF(G598="",1,0))</x:f>
      </x:c>
      <x:c r="L598">
        <x:f>IF(A598="","",IF(COUNTIFS($A$5:$A$2004,A598,$C$5:$C$2004,C598)&gt;1,1,0))</x:f>
      </x:c>
    </x:row>
    <x:row r="599">
      <x:c r="A599" s="8" t="n"/>
      <x:c r="B599" s="8" t="n"/>
      <x:c r="C599" s="8" t="n"/>
      <x:c r="D599" s="8" t="n"/>
      <x:c r="E599" s="8" t="n"/>
      <x:c r="F599" s="8" t="n"/>
      <x:c r="G599" s="7">
        <x:f>IF(A599="","",IF(01_Parametres!$B$11="Oui",IF((01_Parametres!$B$4*(D599&gt;0)+01_Parametres!$B$5*(E599&gt;0)+01_Parametres!$B$6*(F599&gt;0))=0,"",(01_Parametres!$B$4*IF(D599&gt;0,D599,0)+01_Parametres!$B$5*IF(E599&gt;0,E599,0)+01_Parametres!$B$6*IF(F599&gt;0,F599,0))/(01_Parametres!$B$4*(D599&gt;0)+01_Parametres!$B$5*(E599&gt;0)+01_Parametres!$B$6*(F599&gt;0))),IF(01_Parametres!$B$8=0,"",(01_Parametres!$B$4*D599+01_Parametres!$B$5*E599+01_Parametres!$B$6*F599)/01_Parametres!$B$8)))</x:f>
      </x:c>
      <x:c r="H599">
        <x:f>IFERROR(VLOOKUP(C599,02_Referentiels!$A$20:$D$99,3,FALSE),"")</x:f>
      </x:c>
      <x:c r="I599">
        <x:f>IFERROR(VLOOKUP(B599,02_Referentiels!$A$5:$C$16,2,FALSE),"")</x:f>
      </x:c>
      <x:c r="J599">
        <x:f>IF(A599="","",IF(OR(D599="",E599="",F599=""),1,IF(OR(D599&lt;0,D599&gt;3,E599&lt;0,E599&gt;3,F599&lt;0,F599&gt;3),1,0)))</x:f>
      </x:c>
      <x:c r="K599">
        <x:f>IF(A599="","",IF(G599="",1,0))</x:f>
      </x:c>
      <x:c r="L599">
        <x:f>IF(A599="","",IF(COUNTIFS($A$5:$A$2004,A599,$C$5:$C$2004,C599)&gt;1,1,0))</x:f>
      </x:c>
    </x:row>
    <x:row r="600">
      <x:c r="A600" s="8" t="n"/>
      <x:c r="B600" s="8" t="n"/>
      <x:c r="C600" s="8" t="n"/>
      <x:c r="D600" s="8" t="n"/>
      <x:c r="E600" s="8" t="n"/>
      <x:c r="F600" s="8" t="n"/>
      <x:c r="G600" s="7">
        <x:f>IF(A600="","",IF(01_Parametres!$B$11="Oui",IF((01_Parametres!$B$4*(D600&gt;0)+01_Parametres!$B$5*(E600&gt;0)+01_Parametres!$B$6*(F600&gt;0))=0,"",(01_Parametres!$B$4*IF(D600&gt;0,D600,0)+01_Parametres!$B$5*IF(E600&gt;0,E600,0)+01_Parametres!$B$6*IF(F600&gt;0,F600,0))/(01_Parametres!$B$4*(D600&gt;0)+01_Parametres!$B$5*(E600&gt;0)+01_Parametres!$B$6*(F600&gt;0))),IF(01_Parametres!$B$8=0,"",(01_Parametres!$B$4*D600+01_Parametres!$B$5*E600+01_Parametres!$B$6*F600)/01_Parametres!$B$8)))</x:f>
      </x:c>
      <x:c r="H600">
        <x:f>IFERROR(VLOOKUP(C600,02_Referentiels!$A$20:$D$99,3,FALSE),"")</x:f>
      </x:c>
      <x:c r="I600">
        <x:f>IFERROR(VLOOKUP(B600,02_Referentiels!$A$5:$C$16,2,FALSE),"")</x:f>
      </x:c>
      <x:c r="J600">
        <x:f>IF(A600="","",IF(OR(D600="",E600="",F600=""),1,IF(OR(D600&lt;0,D600&gt;3,E600&lt;0,E600&gt;3,F600&lt;0,F600&gt;3),1,0)))</x:f>
      </x:c>
      <x:c r="K600">
        <x:f>IF(A600="","",IF(G600="",1,0))</x:f>
      </x:c>
      <x:c r="L600">
        <x:f>IF(A600="","",IF(COUNTIFS($A$5:$A$2004,A600,$C$5:$C$2004,C600)&gt;1,1,0))</x:f>
      </x:c>
    </x:row>
    <x:row r="601">
      <x:c r="A601" s="8" t="n"/>
      <x:c r="B601" s="8" t="n"/>
      <x:c r="C601" s="8" t="n"/>
      <x:c r="D601" s="8" t="n"/>
      <x:c r="E601" s="8" t="n"/>
      <x:c r="F601" s="8" t="n"/>
      <x:c r="G601" s="7">
        <x:f>IF(A601="","",IF(01_Parametres!$B$11="Oui",IF((01_Parametres!$B$4*(D601&gt;0)+01_Parametres!$B$5*(E601&gt;0)+01_Parametres!$B$6*(F601&gt;0))=0,"",(01_Parametres!$B$4*IF(D601&gt;0,D601,0)+01_Parametres!$B$5*IF(E601&gt;0,E601,0)+01_Parametres!$B$6*IF(F601&gt;0,F601,0))/(01_Parametres!$B$4*(D601&gt;0)+01_Parametres!$B$5*(E601&gt;0)+01_Parametres!$B$6*(F601&gt;0))),IF(01_Parametres!$B$8=0,"",(01_Parametres!$B$4*D601+01_Parametres!$B$5*E601+01_Parametres!$B$6*F601)/01_Parametres!$B$8)))</x:f>
      </x:c>
      <x:c r="H601">
        <x:f>IFERROR(VLOOKUP(C601,02_Referentiels!$A$20:$D$99,3,FALSE),"")</x:f>
      </x:c>
      <x:c r="I601">
        <x:f>IFERROR(VLOOKUP(B601,02_Referentiels!$A$5:$C$16,2,FALSE),"")</x:f>
      </x:c>
      <x:c r="J601">
        <x:f>IF(A601="","",IF(OR(D601="",E601="",F601=""),1,IF(OR(D601&lt;0,D601&gt;3,E601&lt;0,E601&gt;3,F601&lt;0,F601&gt;3),1,0)))</x:f>
      </x:c>
      <x:c r="K601">
        <x:f>IF(A601="","",IF(G601="",1,0))</x:f>
      </x:c>
      <x:c r="L601">
        <x:f>IF(A601="","",IF(COUNTIFS($A$5:$A$2004,A601,$C$5:$C$2004,C601)&gt;1,1,0))</x:f>
      </x:c>
    </x:row>
    <x:row r="602">
      <x:c r="A602" s="8" t="n"/>
      <x:c r="B602" s="8" t="n"/>
      <x:c r="C602" s="8" t="n"/>
      <x:c r="D602" s="8" t="n"/>
      <x:c r="E602" s="8" t="n"/>
      <x:c r="F602" s="8" t="n"/>
      <x:c r="G602" s="7">
        <x:f>IF(A602="","",IF(01_Parametres!$B$11="Oui",IF((01_Parametres!$B$4*(D602&gt;0)+01_Parametres!$B$5*(E602&gt;0)+01_Parametres!$B$6*(F602&gt;0))=0,"",(01_Parametres!$B$4*IF(D602&gt;0,D602,0)+01_Parametres!$B$5*IF(E602&gt;0,E602,0)+01_Parametres!$B$6*IF(F602&gt;0,F602,0))/(01_Parametres!$B$4*(D602&gt;0)+01_Parametres!$B$5*(E602&gt;0)+01_Parametres!$B$6*(F602&gt;0))),IF(01_Parametres!$B$8=0,"",(01_Parametres!$B$4*D602+01_Parametres!$B$5*E602+01_Parametres!$B$6*F602)/01_Parametres!$B$8)))</x:f>
      </x:c>
      <x:c r="H602">
        <x:f>IFERROR(VLOOKUP(C602,02_Referentiels!$A$20:$D$99,3,FALSE),"")</x:f>
      </x:c>
      <x:c r="I602">
        <x:f>IFERROR(VLOOKUP(B602,02_Referentiels!$A$5:$C$16,2,FALSE),"")</x:f>
      </x:c>
      <x:c r="J602">
        <x:f>IF(A602="","",IF(OR(D602="",E602="",F602=""),1,IF(OR(D602&lt;0,D602&gt;3,E602&lt;0,E602&gt;3,F602&lt;0,F602&gt;3),1,0)))</x:f>
      </x:c>
      <x:c r="K602">
        <x:f>IF(A602="","",IF(G602="",1,0))</x:f>
      </x:c>
      <x:c r="L602">
        <x:f>IF(A602="","",IF(COUNTIFS($A$5:$A$2004,A602,$C$5:$C$2004,C602)&gt;1,1,0))</x:f>
      </x:c>
    </x:row>
    <x:row r="603">
      <x:c r="A603" s="8" t="n"/>
      <x:c r="B603" s="8" t="n"/>
      <x:c r="C603" s="8" t="n"/>
      <x:c r="D603" s="8" t="n"/>
      <x:c r="E603" s="8" t="n"/>
      <x:c r="F603" s="8" t="n"/>
      <x:c r="G603" s="7">
        <x:f>IF(A603="","",IF(01_Parametres!$B$11="Oui",IF((01_Parametres!$B$4*(D603&gt;0)+01_Parametres!$B$5*(E603&gt;0)+01_Parametres!$B$6*(F603&gt;0))=0,"",(01_Parametres!$B$4*IF(D603&gt;0,D603,0)+01_Parametres!$B$5*IF(E603&gt;0,E603,0)+01_Parametres!$B$6*IF(F603&gt;0,F603,0))/(01_Parametres!$B$4*(D603&gt;0)+01_Parametres!$B$5*(E603&gt;0)+01_Parametres!$B$6*(F603&gt;0))),IF(01_Parametres!$B$8=0,"",(01_Parametres!$B$4*D603+01_Parametres!$B$5*E603+01_Parametres!$B$6*F603)/01_Parametres!$B$8)))</x:f>
      </x:c>
      <x:c r="H603">
        <x:f>IFERROR(VLOOKUP(C603,02_Referentiels!$A$20:$D$99,3,FALSE),"")</x:f>
      </x:c>
      <x:c r="I603">
        <x:f>IFERROR(VLOOKUP(B603,02_Referentiels!$A$5:$C$16,2,FALSE),"")</x:f>
      </x:c>
      <x:c r="J603">
        <x:f>IF(A603="","",IF(OR(D603="",E603="",F603=""),1,IF(OR(D603&lt;0,D603&gt;3,E603&lt;0,E603&gt;3,F603&lt;0,F603&gt;3),1,0)))</x:f>
      </x:c>
      <x:c r="K603">
        <x:f>IF(A603="","",IF(G603="",1,0))</x:f>
      </x:c>
      <x:c r="L603">
        <x:f>IF(A603="","",IF(COUNTIFS($A$5:$A$2004,A603,$C$5:$C$2004,C603)&gt;1,1,0))</x:f>
      </x:c>
    </x:row>
    <x:row r="604">
      <x:c r="A604" s="8" t="n"/>
      <x:c r="B604" s="8" t="n"/>
      <x:c r="C604" s="8" t="n"/>
      <x:c r="D604" s="8" t="n"/>
      <x:c r="E604" s="8" t="n"/>
      <x:c r="F604" s="8" t="n"/>
      <x:c r="G604" s="7">
        <x:f>IF(A604="","",IF(01_Parametres!$B$11="Oui",IF((01_Parametres!$B$4*(D604&gt;0)+01_Parametres!$B$5*(E604&gt;0)+01_Parametres!$B$6*(F604&gt;0))=0,"",(01_Parametres!$B$4*IF(D604&gt;0,D604,0)+01_Parametres!$B$5*IF(E604&gt;0,E604,0)+01_Parametres!$B$6*IF(F604&gt;0,F604,0))/(01_Parametres!$B$4*(D604&gt;0)+01_Parametres!$B$5*(E604&gt;0)+01_Parametres!$B$6*(F604&gt;0))),IF(01_Parametres!$B$8=0,"",(01_Parametres!$B$4*D604+01_Parametres!$B$5*E604+01_Parametres!$B$6*F604)/01_Parametres!$B$8)))</x:f>
      </x:c>
      <x:c r="H604">
        <x:f>IFERROR(VLOOKUP(C604,02_Referentiels!$A$20:$D$99,3,FALSE),"")</x:f>
      </x:c>
      <x:c r="I604">
        <x:f>IFERROR(VLOOKUP(B604,02_Referentiels!$A$5:$C$16,2,FALSE),"")</x:f>
      </x:c>
      <x:c r="J604">
        <x:f>IF(A604="","",IF(OR(D604="",E604="",F604=""),1,IF(OR(D604&lt;0,D604&gt;3,E604&lt;0,E604&gt;3,F604&lt;0,F604&gt;3),1,0)))</x:f>
      </x:c>
      <x:c r="K604">
        <x:f>IF(A604="","",IF(G604="",1,0))</x:f>
      </x:c>
      <x:c r="L604">
        <x:f>IF(A604="","",IF(COUNTIFS($A$5:$A$2004,A604,$C$5:$C$2004,C604)&gt;1,1,0))</x:f>
      </x:c>
    </x:row>
    <x:row r="605">
      <x:c r="A605" s="8" t="n"/>
      <x:c r="B605" s="8" t="n"/>
      <x:c r="C605" s="8" t="n"/>
      <x:c r="D605" s="8" t="n"/>
      <x:c r="E605" s="8" t="n"/>
      <x:c r="F605" s="8" t="n"/>
      <x:c r="G605" s="7">
        <x:f>IF(A605="","",IF(01_Parametres!$B$11="Oui",IF((01_Parametres!$B$4*(D605&gt;0)+01_Parametres!$B$5*(E605&gt;0)+01_Parametres!$B$6*(F605&gt;0))=0,"",(01_Parametres!$B$4*IF(D605&gt;0,D605,0)+01_Parametres!$B$5*IF(E605&gt;0,E605,0)+01_Parametres!$B$6*IF(F605&gt;0,F605,0))/(01_Parametres!$B$4*(D605&gt;0)+01_Parametres!$B$5*(E605&gt;0)+01_Parametres!$B$6*(F605&gt;0))),IF(01_Parametres!$B$8=0,"",(01_Parametres!$B$4*D605+01_Parametres!$B$5*E605+01_Parametres!$B$6*F605)/01_Parametres!$B$8)))</x:f>
      </x:c>
      <x:c r="H605">
        <x:f>IFERROR(VLOOKUP(C605,02_Referentiels!$A$20:$D$99,3,FALSE),"")</x:f>
      </x:c>
      <x:c r="I605">
        <x:f>IFERROR(VLOOKUP(B605,02_Referentiels!$A$5:$C$16,2,FALSE),"")</x:f>
      </x:c>
      <x:c r="J605">
        <x:f>IF(A605="","",IF(OR(D605="",E605="",F605=""),1,IF(OR(D605&lt;0,D605&gt;3,E605&lt;0,E605&gt;3,F605&lt;0,F605&gt;3),1,0)))</x:f>
      </x:c>
      <x:c r="K605">
        <x:f>IF(A605="","",IF(G605="",1,0))</x:f>
      </x:c>
      <x:c r="L605">
        <x:f>IF(A605="","",IF(COUNTIFS($A$5:$A$2004,A605,$C$5:$C$2004,C605)&gt;1,1,0))</x:f>
      </x:c>
    </x:row>
    <x:row r="606">
      <x:c r="A606" s="8" t="n"/>
      <x:c r="B606" s="8" t="n"/>
      <x:c r="C606" s="8" t="n"/>
      <x:c r="D606" s="8" t="n"/>
      <x:c r="E606" s="8" t="n"/>
      <x:c r="F606" s="8" t="n"/>
      <x:c r="G606" s="7">
        <x:f>IF(A606="","",IF(01_Parametres!$B$11="Oui",IF((01_Parametres!$B$4*(D606&gt;0)+01_Parametres!$B$5*(E606&gt;0)+01_Parametres!$B$6*(F606&gt;0))=0,"",(01_Parametres!$B$4*IF(D606&gt;0,D606,0)+01_Parametres!$B$5*IF(E606&gt;0,E606,0)+01_Parametres!$B$6*IF(F606&gt;0,F606,0))/(01_Parametres!$B$4*(D606&gt;0)+01_Parametres!$B$5*(E606&gt;0)+01_Parametres!$B$6*(F606&gt;0))),IF(01_Parametres!$B$8=0,"",(01_Parametres!$B$4*D606+01_Parametres!$B$5*E606+01_Parametres!$B$6*F606)/01_Parametres!$B$8)))</x:f>
      </x:c>
      <x:c r="H606">
        <x:f>IFERROR(VLOOKUP(C606,02_Referentiels!$A$20:$D$99,3,FALSE),"")</x:f>
      </x:c>
      <x:c r="I606">
        <x:f>IFERROR(VLOOKUP(B606,02_Referentiels!$A$5:$C$16,2,FALSE),"")</x:f>
      </x:c>
      <x:c r="J606">
        <x:f>IF(A606="","",IF(OR(D606="",E606="",F606=""),1,IF(OR(D606&lt;0,D606&gt;3,E606&lt;0,E606&gt;3,F606&lt;0,F606&gt;3),1,0)))</x:f>
      </x:c>
      <x:c r="K606">
        <x:f>IF(A606="","",IF(G606="",1,0))</x:f>
      </x:c>
      <x:c r="L606">
        <x:f>IF(A606="","",IF(COUNTIFS($A$5:$A$2004,A606,$C$5:$C$2004,C606)&gt;1,1,0))</x:f>
      </x:c>
    </x:row>
    <x:row r="607">
      <x:c r="A607" s="8" t="n"/>
      <x:c r="B607" s="8" t="n"/>
      <x:c r="C607" s="8" t="n"/>
      <x:c r="D607" s="8" t="n"/>
      <x:c r="E607" s="8" t="n"/>
      <x:c r="F607" s="8" t="n"/>
      <x:c r="G607" s="7">
        <x:f>IF(A607="","",IF(01_Parametres!$B$11="Oui",IF((01_Parametres!$B$4*(D607&gt;0)+01_Parametres!$B$5*(E607&gt;0)+01_Parametres!$B$6*(F607&gt;0))=0,"",(01_Parametres!$B$4*IF(D607&gt;0,D607,0)+01_Parametres!$B$5*IF(E607&gt;0,E607,0)+01_Parametres!$B$6*IF(F607&gt;0,F607,0))/(01_Parametres!$B$4*(D607&gt;0)+01_Parametres!$B$5*(E607&gt;0)+01_Parametres!$B$6*(F607&gt;0))),IF(01_Parametres!$B$8=0,"",(01_Parametres!$B$4*D607+01_Parametres!$B$5*E607+01_Parametres!$B$6*F607)/01_Parametres!$B$8)))</x:f>
      </x:c>
      <x:c r="H607">
        <x:f>IFERROR(VLOOKUP(C607,02_Referentiels!$A$20:$D$99,3,FALSE),"")</x:f>
      </x:c>
      <x:c r="I607">
        <x:f>IFERROR(VLOOKUP(B607,02_Referentiels!$A$5:$C$16,2,FALSE),"")</x:f>
      </x:c>
      <x:c r="J607">
        <x:f>IF(A607="","",IF(OR(D607="",E607="",F607=""),1,IF(OR(D607&lt;0,D607&gt;3,E607&lt;0,E607&gt;3,F607&lt;0,F607&gt;3),1,0)))</x:f>
      </x:c>
      <x:c r="K607">
        <x:f>IF(A607="","",IF(G607="",1,0))</x:f>
      </x:c>
      <x:c r="L607">
        <x:f>IF(A607="","",IF(COUNTIFS($A$5:$A$2004,A607,$C$5:$C$2004,C607)&gt;1,1,0))</x:f>
      </x:c>
    </x:row>
    <x:row r="608">
      <x:c r="A608" s="8" t="n"/>
      <x:c r="B608" s="8" t="n"/>
      <x:c r="C608" s="8" t="n"/>
      <x:c r="D608" s="8" t="n"/>
      <x:c r="E608" s="8" t="n"/>
      <x:c r="F608" s="8" t="n"/>
      <x:c r="G608" s="7">
        <x:f>IF(A608="","",IF(01_Parametres!$B$11="Oui",IF((01_Parametres!$B$4*(D608&gt;0)+01_Parametres!$B$5*(E608&gt;0)+01_Parametres!$B$6*(F608&gt;0))=0,"",(01_Parametres!$B$4*IF(D608&gt;0,D608,0)+01_Parametres!$B$5*IF(E608&gt;0,E608,0)+01_Parametres!$B$6*IF(F608&gt;0,F608,0))/(01_Parametres!$B$4*(D608&gt;0)+01_Parametres!$B$5*(E608&gt;0)+01_Parametres!$B$6*(F608&gt;0))),IF(01_Parametres!$B$8=0,"",(01_Parametres!$B$4*D608+01_Parametres!$B$5*E608+01_Parametres!$B$6*F608)/01_Parametres!$B$8)))</x:f>
      </x:c>
      <x:c r="H608">
        <x:f>IFERROR(VLOOKUP(C608,02_Referentiels!$A$20:$D$99,3,FALSE),"")</x:f>
      </x:c>
      <x:c r="I608">
        <x:f>IFERROR(VLOOKUP(B608,02_Referentiels!$A$5:$C$16,2,FALSE),"")</x:f>
      </x:c>
      <x:c r="J608">
        <x:f>IF(A608="","",IF(OR(D608="",E608="",F608=""),1,IF(OR(D608&lt;0,D608&gt;3,E608&lt;0,E608&gt;3,F608&lt;0,F608&gt;3),1,0)))</x:f>
      </x:c>
      <x:c r="K608">
        <x:f>IF(A608="","",IF(G608="",1,0))</x:f>
      </x:c>
      <x:c r="L608">
        <x:f>IF(A608="","",IF(COUNTIFS($A$5:$A$2004,A608,$C$5:$C$2004,C608)&gt;1,1,0))</x:f>
      </x:c>
    </x:row>
    <x:row r="609">
      <x:c r="A609" s="8" t="n"/>
      <x:c r="B609" s="8" t="n"/>
      <x:c r="C609" s="8" t="n"/>
      <x:c r="D609" s="8" t="n"/>
      <x:c r="E609" s="8" t="n"/>
      <x:c r="F609" s="8" t="n"/>
      <x:c r="G609" s="7">
        <x:f>IF(A609="","",IF(01_Parametres!$B$11="Oui",IF((01_Parametres!$B$4*(D609&gt;0)+01_Parametres!$B$5*(E609&gt;0)+01_Parametres!$B$6*(F609&gt;0))=0,"",(01_Parametres!$B$4*IF(D609&gt;0,D609,0)+01_Parametres!$B$5*IF(E609&gt;0,E609,0)+01_Parametres!$B$6*IF(F609&gt;0,F609,0))/(01_Parametres!$B$4*(D609&gt;0)+01_Parametres!$B$5*(E609&gt;0)+01_Parametres!$B$6*(F609&gt;0))),IF(01_Parametres!$B$8=0,"",(01_Parametres!$B$4*D609+01_Parametres!$B$5*E609+01_Parametres!$B$6*F609)/01_Parametres!$B$8)))</x:f>
      </x:c>
      <x:c r="H609">
        <x:f>IFERROR(VLOOKUP(C609,02_Referentiels!$A$20:$D$99,3,FALSE),"")</x:f>
      </x:c>
      <x:c r="I609">
        <x:f>IFERROR(VLOOKUP(B609,02_Referentiels!$A$5:$C$16,2,FALSE),"")</x:f>
      </x:c>
      <x:c r="J609">
        <x:f>IF(A609="","",IF(OR(D609="",E609="",F609=""),1,IF(OR(D609&lt;0,D609&gt;3,E609&lt;0,E609&gt;3,F609&lt;0,F609&gt;3),1,0)))</x:f>
      </x:c>
      <x:c r="K609">
        <x:f>IF(A609="","",IF(G609="",1,0))</x:f>
      </x:c>
      <x:c r="L609">
        <x:f>IF(A609="","",IF(COUNTIFS($A$5:$A$2004,A609,$C$5:$C$2004,C609)&gt;1,1,0))</x:f>
      </x:c>
    </x:row>
    <x:row r="610">
      <x:c r="A610" s="8" t="n"/>
      <x:c r="B610" s="8" t="n"/>
      <x:c r="C610" s="8" t="n"/>
      <x:c r="D610" s="8" t="n"/>
      <x:c r="E610" s="8" t="n"/>
      <x:c r="F610" s="8" t="n"/>
      <x:c r="G610" s="7">
        <x:f>IF(A610="","",IF(01_Parametres!$B$11="Oui",IF((01_Parametres!$B$4*(D610&gt;0)+01_Parametres!$B$5*(E610&gt;0)+01_Parametres!$B$6*(F610&gt;0))=0,"",(01_Parametres!$B$4*IF(D610&gt;0,D610,0)+01_Parametres!$B$5*IF(E610&gt;0,E610,0)+01_Parametres!$B$6*IF(F610&gt;0,F610,0))/(01_Parametres!$B$4*(D610&gt;0)+01_Parametres!$B$5*(E610&gt;0)+01_Parametres!$B$6*(F610&gt;0))),IF(01_Parametres!$B$8=0,"",(01_Parametres!$B$4*D610+01_Parametres!$B$5*E610+01_Parametres!$B$6*F610)/01_Parametres!$B$8)))</x:f>
      </x:c>
      <x:c r="H610">
        <x:f>IFERROR(VLOOKUP(C610,02_Referentiels!$A$20:$D$99,3,FALSE),"")</x:f>
      </x:c>
      <x:c r="I610">
        <x:f>IFERROR(VLOOKUP(B610,02_Referentiels!$A$5:$C$16,2,FALSE),"")</x:f>
      </x:c>
      <x:c r="J610">
        <x:f>IF(A610="","",IF(OR(D610="",E610="",F610=""),1,IF(OR(D610&lt;0,D610&gt;3,E610&lt;0,E610&gt;3,F610&lt;0,F610&gt;3),1,0)))</x:f>
      </x:c>
      <x:c r="K610">
        <x:f>IF(A610="","",IF(G610="",1,0))</x:f>
      </x:c>
      <x:c r="L610">
        <x:f>IF(A610="","",IF(COUNTIFS($A$5:$A$2004,A610,$C$5:$C$2004,C610)&gt;1,1,0))</x:f>
      </x:c>
    </x:row>
    <x:row r="611">
      <x:c r="A611" s="8" t="n"/>
      <x:c r="B611" s="8" t="n"/>
      <x:c r="C611" s="8" t="n"/>
      <x:c r="D611" s="8" t="n"/>
      <x:c r="E611" s="8" t="n"/>
      <x:c r="F611" s="8" t="n"/>
      <x:c r="G611" s="7">
        <x:f>IF(A611="","",IF(01_Parametres!$B$11="Oui",IF((01_Parametres!$B$4*(D611&gt;0)+01_Parametres!$B$5*(E611&gt;0)+01_Parametres!$B$6*(F611&gt;0))=0,"",(01_Parametres!$B$4*IF(D611&gt;0,D611,0)+01_Parametres!$B$5*IF(E611&gt;0,E611,0)+01_Parametres!$B$6*IF(F611&gt;0,F611,0))/(01_Parametres!$B$4*(D611&gt;0)+01_Parametres!$B$5*(E611&gt;0)+01_Parametres!$B$6*(F611&gt;0))),IF(01_Parametres!$B$8=0,"",(01_Parametres!$B$4*D611+01_Parametres!$B$5*E611+01_Parametres!$B$6*F611)/01_Parametres!$B$8)))</x:f>
      </x:c>
      <x:c r="H611">
        <x:f>IFERROR(VLOOKUP(C611,02_Referentiels!$A$20:$D$99,3,FALSE),"")</x:f>
      </x:c>
      <x:c r="I611">
        <x:f>IFERROR(VLOOKUP(B611,02_Referentiels!$A$5:$C$16,2,FALSE),"")</x:f>
      </x:c>
      <x:c r="J611">
        <x:f>IF(A611="","",IF(OR(D611="",E611="",F611=""),1,IF(OR(D611&lt;0,D611&gt;3,E611&lt;0,E611&gt;3,F611&lt;0,F611&gt;3),1,0)))</x:f>
      </x:c>
      <x:c r="K611">
        <x:f>IF(A611="","",IF(G611="",1,0))</x:f>
      </x:c>
      <x:c r="L611">
        <x:f>IF(A611="","",IF(COUNTIFS($A$5:$A$2004,A611,$C$5:$C$2004,C611)&gt;1,1,0))</x:f>
      </x:c>
    </x:row>
    <x:row r="612">
      <x:c r="A612" s="8" t="n"/>
      <x:c r="B612" s="8" t="n"/>
      <x:c r="C612" s="8" t="n"/>
      <x:c r="D612" s="8" t="n"/>
      <x:c r="E612" s="8" t="n"/>
      <x:c r="F612" s="8" t="n"/>
      <x:c r="G612" s="7">
        <x:f>IF(A612="","",IF(01_Parametres!$B$11="Oui",IF((01_Parametres!$B$4*(D612&gt;0)+01_Parametres!$B$5*(E612&gt;0)+01_Parametres!$B$6*(F612&gt;0))=0,"",(01_Parametres!$B$4*IF(D612&gt;0,D612,0)+01_Parametres!$B$5*IF(E612&gt;0,E612,0)+01_Parametres!$B$6*IF(F612&gt;0,F612,0))/(01_Parametres!$B$4*(D612&gt;0)+01_Parametres!$B$5*(E612&gt;0)+01_Parametres!$B$6*(F612&gt;0))),IF(01_Parametres!$B$8=0,"",(01_Parametres!$B$4*D612+01_Parametres!$B$5*E612+01_Parametres!$B$6*F612)/01_Parametres!$B$8)))</x:f>
      </x:c>
      <x:c r="H612">
        <x:f>IFERROR(VLOOKUP(C612,02_Referentiels!$A$20:$D$99,3,FALSE),"")</x:f>
      </x:c>
      <x:c r="I612">
        <x:f>IFERROR(VLOOKUP(B612,02_Referentiels!$A$5:$C$16,2,FALSE),"")</x:f>
      </x:c>
      <x:c r="J612">
        <x:f>IF(A612="","",IF(OR(D612="",E612="",F612=""),1,IF(OR(D612&lt;0,D612&gt;3,E612&lt;0,E612&gt;3,F612&lt;0,F612&gt;3),1,0)))</x:f>
      </x:c>
      <x:c r="K612">
        <x:f>IF(A612="","",IF(G612="",1,0))</x:f>
      </x:c>
      <x:c r="L612">
        <x:f>IF(A612="","",IF(COUNTIFS($A$5:$A$2004,A612,$C$5:$C$2004,C612)&gt;1,1,0))</x:f>
      </x:c>
    </x:row>
    <x:row r="613">
      <x:c r="A613" s="8" t="n"/>
      <x:c r="B613" s="8" t="n"/>
      <x:c r="C613" s="8" t="n"/>
      <x:c r="D613" s="8" t="n"/>
      <x:c r="E613" s="8" t="n"/>
      <x:c r="F613" s="8" t="n"/>
      <x:c r="G613" s="7">
        <x:f>IF(A613="","",IF(01_Parametres!$B$11="Oui",IF((01_Parametres!$B$4*(D613&gt;0)+01_Parametres!$B$5*(E613&gt;0)+01_Parametres!$B$6*(F613&gt;0))=0,"",(01_Parametres!$B$4*IF(D613&gt;0,D613,0)+01_Parametres!$B$5*IF(E613&gt;0,E613,0)+01_Parametres!$B$6*IF(F613&gt;0,F613,0))/(01_Parametres!$B$4*(D613&gt;0)+01_Parametres!$B$5*(E613&gt;0)+01_Parametres!$B$6*(F613&gt;0))),IF(01_Parametres!$B$8=0,"",(01_Parametres!$B$4*D613+01_Parametres!$B$5*E613+01_Parametres!$B$6*F613)/01_Parametres!$B$8)))</x:f>
      </x:c>
      <x:c r="H613">
        <x:f>IFERROR(VLOOKUP(C613,02_Referentiels!$A$20:$D$99,3,FALSE),"")</x:f>
      </x:c>
      <x:c r="I613">
        <x:f>IFERROR(VLOOKUP(B613,02_Referentiels!$A$5:$C$16,2,FALSE),"")</x:f>
      </x:c>
      <x:c r="J613">
        <x:f>IF(A613="","",IF(OR(D613="",E613="",F613=""),1,IF(OR(D613&lt;0,D613&gt;3,E613&lt;0,E613&gt;3,F613&lt;0,F613&gt;3),1,0)))</x:f>
      </x:c>
      <x:c r="K613">
        <x:f>IF(A613="","",IF(G613="",1,0))</x:f>
      </x:c>
      <x:c r="L613">
        <x:f>IF(A613="","",IF(COUNTIFS($A$5:$A$2004,A613,$C$5:$C$2004,C613)&gt;1,1,0))</x:f>
      </x:c>
    </x:row>
    <x:row r="614">
      <x:c r="A614" s="8" t="n"/>
      <x:c r="B614" s="8" t="n"/>
      <x:c r="C614" s="8" t="n"/>
      <x:c r="D614" s="8" t="n"/>
      <x:c r="E614" s="8" t="n"/>
      <x:c r="F614" s="8" t="n"/>
      <x:c r="G614" s="7">
        <x:f>IF(A614="","",IF(01_Parametres!$B$11="Oui",IF((01_Parametres!$B$4*(D614&gt;0)+01_Parametres!$B$5*(E614&gt;0)+01_Parametres!$B$6*(F614&gt;0))=0,"",(01_Parametres!$B$4*IF(D614&gt;0,D614,0)+01_Parametres!$B$5*IF(E614&gt;0,E614,0)+01_Parametres!$B$6*IF(F614&gt;0,F614,0))/(01_Parametres!$B$4*(D614&gt;0)+01_Parametres!$B$5*(E614&gt;0)+01_Parametres!$B$6*(F614&gt;0))),IF(01_Parametres!$B$8=0,"",(01_Parametres!$B$4*D614+01_Parametres!$B$5*E614+01_Parametres!$B$6*F614)/01_Parametres!$B$8)))</x:f>
      </x:c>
      <x:c r="H614">
        <x:f>IFERROR(VLOOKUP(C614,02_Referentiels!$A$20:$D$99,3,FALSE),"")</x:f>
      </x:c>
      <x:c r="I614">
        <x:f>IFERROR(VLOOKUP(B614,02_Referentiels!$A$5:$C$16,2,FALSE),"")</x:f>
      </x:c>
      <x:c r="J614">
        <x:f>IF(A614="","",IF(OR(D614="",E614="",F614=""),1,IF(OR(D614&lt;0,D614&gt;3,E614&lt;0,E614&gt;3,F614&lt;0,F614&gt;3),1,0)))</x:f>
      </x:c>
      <x:c r="K614">
        <x:f>IF(A614="","",IF(G614="",1,0))</x:f>
      </x:c>
      <x:c r="L614">
        <x:f>IF(A614="","",IF(COUNTIFS($A$5:$A$2004,A614,$C$5:$C$2004,C614)&gt;1,1,0))</x:f>
      </x:c>
    </x:row>
    <x:row r="615">
      <x:c r="A615" s="8" t="n"/>
      <x:c r="B615" s="8" t="n"/>
      <x:c r="C615" s="8" t="n"/>
      <x:c r="D615" s="8" t="n"/>
      <x:c r="E615" s="8" t="n"/>
      <x:c r="F615" s="8" t="n"/>
      <x:c r="G615" s="7">
        <x:f>IF(A615="","",IF(01_Parametres!$B$11="Oui",IF((01_Parametres!$B$4*(D615&gt;0)+01_Parametres!$B$5*(E615&gt;0)+01_Parametres!$B$6*(F615&gt;0))=0,"",(01_Parametres!$B$4*IF(D615&gt;0,D615,0)+01_Parametres!$B$5*IF(E615&gt;0,E615,0)+01_Parametres!$B$6*IF(F615&gt;0,F615,0))/(01_Parametres!$B$4*(D615&gt;0)+01_Parametres!$B$5*(E615&gt;0)+01_Parametres!$B$6*(F615&gt;0))),IF(01_Parametres!$B$8=0,"",(01_Parametres!$B$4*D615+01_Parametres!$B$5*E615+01_Parametres!$B$6*F615)/01_Parametres!$B$8)))</x:f>
      </x:c>
      <x:c r="H615">
        <x:f>IFERROR(VLOOKUP(C615,02_Referentiels!$A$20:$D$99,3,FALSE),"")</x:f>
      </x:c>
      <x:c r="I615">
        <x:f>IFERROR(VLOOKUP(B615,02_Referentiels!$A$5:$C$16,2,FALSE),"")</x:f>
      </x:c>
      <x:c r="J615">
        <x:f>IF(A615="","",IF(OR(D615="",E615="",F615=""),1,IF(OR(D615&lt;0,D615&gt;3,E615&lt;0,E615&gt;3,F615&lt;0,F615&gt;3),1,0)))</x:f>
      </x:c>
      <x:c r="K615">
        <x:f>IF(A615="","",IF(G615="",1,0))</x:f>
      </x:c>
      <x:c r="L615">
        <x:f>IF(A615="","",IF(COUNTIFS($A$5:$A$2004,A615,$C$5:$C$2004,C615)&gt;1,1,0))</x:f>
      </x:c>
    </x:row>
    <x:row r="616">
      <x:c r="A616" s="8" t="n"/>
      <x:c r="B616" s="8" t="n"/>
      <x:c r="C616" s="8" t="n"/>
      <x:c r="D616" s="8" t="n"/>
      <x:c r="E616" s="8" t="n"/>
      <x:c r="F616" s="8" t="n"/>
      <x:c r="G616" s="7">
        <x:f>IF(A616="","",IF(01_Parametres!$B$11="Oui",IF((01_Parametres!$B$4*(D616&gt;0)+01_Parametres!$B$5*(E616&gt;0)+01_Parametres!$B$6*(F616&gt;0))=0,"",(01_Parametres!$B$4*IF(D616&gt;0,D616,0)+01_Parametres!$B$5*IF(E616&gt;0,E616,0)+01_Parametres!$B$6*IF(F616&gt;0,F616,0))/(01_Parametres!$B$4*(D616&gt;0)+01_Parametres!$B$5*(E616&gt;0)+01_Parametres!$B$6*(F616&gt;0))),IF(01_Parametres!$B$8=0,"",(01_Parametres!$B$4*D616+01_Parametres!$B$5*E616+01_Parametres!$B$6*F616)/01_Parametres!$B$8)))</x:f>
      </x:c>
      <x:c r="H616">
        <x:f>IFERROR(VLOOKUP(C616,02_Referentiels!$A$20:$D$99,3,FALSE),"")</x:f>
      </x:c>
      <x:c r="I616">
        <x:f>IFERROR(VLOOKUP(B616,02_Referentiels!$A$5:$C$16,2,FALSE),"")</x:f>
      </x:c>
      <x:c r="J616">
        <x:f>IF(A616="","",IF(OR(D616="",E616="",F616=""),1,IF(OR(D616&lt;0,D616&gt;3,E616&lt;0,E616&gt;3,F616&lt;0,F616&gt;3),1,0)))</x:f>
      </x:c>
      <x:c r="K616">
        <x:f>IF(A616="","",IF(G616="",1,0))</x:f>
      </x:c>
      <x:c r="L616">
        <x:f>IF(A616="","",IF(COUNTIFS($A$5:$A$2004,A616,$C$5:$C$2004,C616)&gt;1,1,0))</x:f>
      </x:c>
    </x:row>
    <x:row r="617">
      <x:c r="A617" s="8" t="n"/>
      <x:c r="B617" s="8" t="n"/>
      <x:c r="C617" s="8" t="n"/>
      <x:c r="D617" s="8" t="n"/>
      <x:c r="E617" s="8" t="n"/>
      <x:c r="F617" s="8" t="n"/>
      <x:c r="G617" s="7">
        <x:f>IF(A617="","",IF(01_Parametres!$B$11="Oui",IF((01_Parametres!$B$4*(D617&gt;0)+01_Parametres!$B$5*(E617&gt;0)+01_Parametres!$B$6*(F617&gt;0))=0,"",(01_Parametres!$B$4*IF(D617&gt;0,D617,0)+01_Parametres!$B$5*IF(E617&gt;0,E617,0)+01_Parametres!$B$6*IF(F617&gt;0,F617,0))/(01_Parametres!$B$4*(D617&gt;0)+01_Parametres!$B$5*(E617&gt;0)+01_Parametres!$B$6*(F617&gt;0))),IF(01_Parametres!$B$8=0,"",(01_Parametres!$B$4*D617+01_Parametres!$B$5*E617+01_Parametres!$B$6*F617)/01_Parametres!$B$8)))</x:f>
      </x:c>
      <x:c r="H617">
        <x:f>IFERROR(VLOOKUP(C617,02_Referentiels!$A$20:$D$99,3,FALSE),"")</x:f>
      </x:c>
      <x:c r="I617">
        <x:f>IFERROR(VLOOKUP(B617,02_Referentiels!$A$5:$C$16,2,FALSE),"")</x:f>
      </x:c>
      <x:c r="J617">
        <x:f>IF(A617="","",IF(OR(D617="",E617="",F617=""),1,IF(OR(D617&lt;0,D617&gt;3,E617&lt;0,E617&gt;3,F617&lt;0,F617&gt;3),1,0)))</x:f>
      </x:c>
      <x:c r="K617">
        <x:f>IF(A617="","",IF(G617="",1,0))</x:f>
      </x:c>
      <x:c r="L617">
        <x:f>IF(A617="","",IF(COUNTIFS($A$5:$A$2004,A617,$C$5:$C$2004,C617)&gt;1,1,0))</x:f>
      </x:c>
    </x:row>
    <x:row r="618">
      <x:c r="A618" s="8" t="n"/>
      <x:c r="B618" s="8" t="n"/>
      <x:c r="C618" s="8" t="n"/>
      <x:c r="D618" s="8" t="n"/>
      <x:c r="E618" s="8" t="n"/>
      <x:c r="F618" s="8" t="n"/>
      <x:c r="G618" s="7">
        <x:f>IF(A618="","",IF(01_Parametres!$B$11="Oui",IF((01_Parametres!$B$4*(D618&gt;0)+01_Parametres!$B$5*(E618&gt;0)+01_Parametres!$B$6*(F618&gt;0))=0,"",(01_Parametres!$B$4*IF(D618&gt;0,D618,0)+01_Parametres!$B$5*IF(E618&gt;0,E618,0)+01_Parametres!$B$6*IF(F618&gt;0,F618,0))/(01_Parametres!$B$4*(D618&gt;0)+01_Parametres!$B$5*(E618&gt;0)+01_Parametres!$B$6*(F618&gt;0))),IF(01_Parametres!$B$8=0,"",(01_Parametres!$B$4*D618+01_Parametres!$B$5*E618+01_Parametres!$B$6*F618)/01_Parametres!$B$8)))</x:f>
      </x:c>
      <x:c r="H618">
        <x:f>IFERROR(VLOOKUP(C618,02_Referentiels!$A$20:$D$99,3,FALSE),"")</x:f>
      </x:c>
      <x:c r="I618">
        <x:f>IFERROR(VLOOKUP(B618,02_Referentiels!$A$5:$C$16,2,FALSE),"")</x:f>
      </x:c>
      <x:c r="J618">
        <x:f>IF(A618="","",IF(OR(D618="",E618="",F618=""),1,IF(OR(D618&lt;0,D618&gt;3,E618&lt;0,E618&gt;3,F618&lt;0,F618&gt;3),1,0)))</x:f>
      </x:c>
      <x:c r="K618">
        <x:f>IF(A618="","",IF(G618="",1,0))</x:f>
      </x:c>
      <x:c r="L618">
        <x:f>IF(A618="","",IF(COUNTIFS($A$5:$A$2004,A618,$C$5:$C$2004,C618)&gt;1,1,0))</x:f>
      </x:c>
    </x:row>
    <x:row r="619">
      <x:c r="A619" s="8" t="n"/>
      <x:c r="B619" s="8" t="n"/>
      <x:c r="C619" s="8" t="n"/>
      <x:c r="D619" s="8" t="n"/>
      <x:c r="E619" s="8" t="n"/>
      <x:c r="F619" s="8" t="n"/>
      <x:c r="G619" s="7">
        <x:f>IF(A619="","",IF(01_Parametres!$B$11="Oui",IF((01_Parametres!$B$4*(D619&gt;0)+01_Parametres!$B$5*(E619&gt;0)+01_Parametres!$B$6*(F619&gt;0))=0,"",(01_Parametres!$B$4*IF(D619&gt;0,D619,0)+01_Parametres!$B$5*IF(E619&gt;0,E619,0)+01_Parametres!$B$6*IF(F619&gt;0,F619,0))/(01_Parametres!$B$4*(D619&gt;0)+01_Parametres!$B$5*(E619&gt;0)+01_Parametres!$B$6*(F619&gt;0))),IF(01_Parametres!$B$8=0,"",(01_Parametres!$B$4*D619+01_Parametres!$B$5*E619+01_Parametres!$B$6*F619)/01_Parametres!$B$8)))</x:f>
      </x:c>
      <x:c r="H619">
        <x:f>IFERROR(VLOOKUP(C619,02_Referentiels!$A$20:$D$99,3,FALSE),"")</x:f>
      </x:c>
      <x:c r="I619">
        <x:f>IFERROR(VLOOKUP(B619,02_Referentiels!$A$5:$C$16,2,FALSE),"")</x:f>
      </x:c>
      <x:c r="J619">
        <x:f>IF(A619="","",IF(OR(D619="",E619="",F619=""),1,IF(OR(D619&lt;0,D619&gt;3,E619&lt;0,E619&gt;3,F619&lt;0,F619&gt;3),1,0)))</x:f>
      </x:c>
      <x:c r="K619">
        <x:f>IF(A619="","",IF(G619="",1,0))</x:f>
      </x:c>
      <x:c r="L619">
        <x:f>IF(A619="","",IF(COUNTIFS($A$5:$A$2004,A619,$C$5:$C$2004,C619)&gt;1,1,0))</x:f>
      </x:c>
    </x:row>
    <x:row r="620">
      <x:c r="A620" s="8" t="n"/>
      <x:c r="B620" s="8" t="n"/>
      <x:c r="C620" s="8" t="n"/>
      <x:c r="D620" s="8" t="n"/>
      <x:c r="E620" s="8" t="n"/>
      <x:c r="F620" s="8" t="n"/>
      <x:c r="G620" s="7">
        <x:f>IF(A620="","",IF(01_Parametres!$B$11="Oui",IF((01_Parametres!$B$4*(D620&gt;0)+01_Parametres!$B$5*(E620&gt;0)+01_Parametres!$B$6*(F620&gt;0))=0,"",(01_Parametres!$B$4*IF(D620&gt;0,D620,0)+01_Parametres!$B$5*IF(E620&gt;0,E620,0)+01_Parametres!$B$6*IF(F620&gt;0,F620,0))/(01_Parametres!$B$4*(D620&gt;0)+01_Parametres!$B$5*(E620&gt;0)+01_Parametres!$B$6*(F620&gt;0))),IF(01_Parametres!$B$8=0,"",(01_Parametres!$B$4*D620+01_Parametres!$B$5*E620+01_Parametres!$B$6*F620)/01_Parametres!$B$8)))</x:f>
      </x:c>
      <x:c r="H620">
        <x:f>IFERROR(VLOOKUP(C620,02_Referentiels!$A$20:$D$99,3,FALSE),"")</x:f>
      </x:c>
      <x:c r="I620">
        <x:f>IFERROR(VLOOKUP(B620,02_Referentiels!$A$5:$C$16,2,FALSE),"")</x:f>
      </x:c>
      <x:c r="J620">
        <x:f>IF(A620="","",IF(OR(D620="",E620="",F620=""),1,IF(OR(D620&lt;0,D620&gt;3,E620&lt;0,E620&gt;3,F620&lt;0,F620&gt;3),1,0)))</x:f>
      </x:c>
      <x:c r="K620">
        <x:f>IF(A620="","",IF(G620="",1,0))</x:f>
      </x:c>
      <x:c r="L620">
        <x:f>IF(A620="","",IF(COUNTIFS($A$5:$A$2004,A620,$C$5:$C$2004,C620)&gt;1,1,0))</x:f>
      </x:c>
    </x:row>
    <x:row r="621">
      <x:c r="A621" s="8" t="n"/>
      <x:c r="B621" s="8" t="n"/>
      <x:c r="C621" s="8" t="n"/>
      <x:c r="D621" s="8" t="n"/>
      <x:c r="E621" s="8" t="n"/>
      <x:c r="F621" s="8" t="n"/>
      <x:c r="G621" s="7">
        <x:f>IF(A621="","",IF(01_Parametres!$B$11="Oui",IF((01_Parametres!$B$4*(D621&gt;0)+01_Parametres!$B$5*(E621&gt;0)+01_Parametres!$B$6*(F621&gt;0))=0,"",(01_Parametres!$B$4*IF(D621&gt;0,D621,0)+01_Parametres!$B$5*IF(E621&gt;0,E621,0)+01_Parametres!$B$6*IF(F621&gt;0,F621,0))/(01_Parametres!$B$4*(D621&gt;0)+01_Parametres!$B$5*(E621&gt;0)+01_Parametres!$B$6*(F621&gt;0))),IF(01_Parametres!$B$8=0,"",(01_Parametres!$B$4*D621+01_Parametres!$B$5*E621+01_Parametres!$B$6*F621)/01_Parametres!$B$8)))</x:f>
      </x:c>
      <x:c r="H621">
        <x:f>IFERROR(VLOOKUP(C621,02_Referentiels!$A$20:$D$99,3,FALSE),"")</x:f>
      </x:c>
      <x:c r="I621">
        <x:f>IFERROR(VLOOKUP(B621,02_Referentiels!$A$5:$C$16,2,FALSE),"")</x:f>
      </x:c>
      <x:c r="J621">
        <x:f>IF(A621="","",IF(OR(D621="",E621="",F621=""),1,IF(OR(D621&lt;0,D621&gt;3,E621&lt;0,E621&gt;3,F621&lt;0,F621&gt;3),1,0)))</x:f>
      </x:c>
      <x:c r="K621">
        <x:f>IF(A621="","",IF(G621="",1,0))</x:f>
      </x:c>
      <x:c r="L621">
        <x:f>IF(A621="","",IF(COUNTIFS($A$5:$A$2004,A621,$C$5:$C$2004,C621)&gt;1,1,0))</x:f>
      </x:c>
    </x:row>
    <x:row r="622">
      <x:c r="A622" s="8" t="n"/>
      <x:c r="B622" s="8" t="n"/>
      <x:c r="C622" s="8" t="n"/>
      <x:c r="D622" s="8" t="n"/>
      <x:c r="E622" s="8" t="n"/>
      <x:c r="F622" s="8" t="n"/>
      <x:c r="G622" s="7">
        <x:f>IF(A622="","",IF(01_Parametres!$B$11="Oui",IF((01_Parametres!$B$4*(D622&gt;0)+01_Parametres!$B$5*(E622&gt;0)+01_Parametres!$B$6*(F622&gt;0))=0,"",(01_Parametres!$B$4*IF(D622&gt;0,D622,0)+01_Parametres!$B$5*IF(E622&gt;0,E622,0)+01_Parametres!$B$6*IF(F622&gt;0,F622,0))/(01_Parametres!$B$4*(D622&gt;0)+01_Parametres!$B$5*(E622&gt;0)+01_Parametres!$B$6*(F622&gt;0))),IF(01_Parametres!$B$8=0,"",(01_Parametres!$B$4*D622+01_Parametres!$B$5*E622+01_Parametres!$B$6*F622)/01_Parametres!$B$8)))</x:f>
      </x:c>
      <x:c r="H622">
        <x:f>IFERROR(VLOOKUP(C622,02_Referentiels!$A$20:$D$99,3,FALSE),"")</x:f>
      </x:c>
      <x:c r="I622">
        <x:f>IFERROR(VLOOKUP(B622,02_Referentiels!$A$5:$C$16,2,FALSE),"")</x:f>
      </x:c>
      <x:c r="J622">
        <x:f>IF(A622="","",IF(OR(D622="",E622="",F622=""),1,IF(OR(D622&lt;0,D622&gt;3,E622&lt;0,E622&gt;3,F622&lt;0,F622&gt;3),1,0)))</x:f>
      </x:c>
      <x:c r="K622">
        <x:f>IF(A622="","",IF(G622="",1,0))</x:f>
      </x:c>
      <x:c r="L622">
        <x:f>IF(A622="","",IF(COUNTIFS($A$5:$A$2004,A622,$C$5:$C$2004,C622)&gt;1,1,0))</x:f>
      </x:c>
    </x:row>
    <x:row r="623">
      <x:c r="A623" s="8" t="n"/>
      <x:c r="B623" s="8" t="n"/>
      <x:c r="C623" s="8" t="n"/>
      <x:c r="D623" s="8" t="n"/>
      <x:c r="E623" s="8" t="n"/>
      <x:c r="F623" s="8" t="n"/>
      <x:c r="G623" s="7">
        <x:f>IF(A623="","",IF(01_Parametres!$B$11="Oui",IF((01_Parametres!$B$4*(D623&gt;0)+01_Parametres!$B$5*(E623&gt;0)+01_Parametres!$B$6*(F623&gt;0))=0,"",(01_Parametres!$B$4*IF(D623&gt;0,D623,0)+01_Parametres!$B$5*IF(E623&gt;0,E623,0)+01_Parametres!$B$6*IF(F623&gt;0,F623,0))/(01_Parametres!$B$4*(D623&gt;0)+01_Parametres!$B$5*(E623&gt;0)+01_Parametres!$B$6*(F623&gt;0))),IF(01_Parametres!$B$8=0,"",(01_Parametres!$B$4*D623+01_Parametres!$B$5*E623+01_Parametres!$B$6*F623)/01_Parametres!$B$8)))</x:f>
      </x:c>
      <x:c r="H623">
        <x:f>IFERROR(VLOOKUP(C623,02_Referentiels!$A$20:$D$99,3,FALSE),"")</x:f>
      </x:c>
      <x:c r="I623">
        <x:f>IFERROR(VLOOKUP(B623,02_Referentiels!$A$5:$C$16,2,FALSE),"")</x:f>
      </x:c>
      <x:c r="J623">
        <x:f>IF(A623="","",IF(OR(D623="",E623="",F623=""),1,IF(OR(D623&lt;0,D623&gt;3,E623&lt;0,E623&gt;3,F623&lt;0,F623&gt;3),1,0)))</x:f>
      </x:c>
      <x:c r="K623">
        <x:f>IF(A623="","",IF(G623="",1,0))</x:f>
      </x:c>
      <x:c r="L623">
        <x:f>IF(A623="","",IF(COUNTIFS($A$5:$A$2004,A623,$C$5:$C$2004,C623)&gt;1,1,0))</x:f>
      </x:c>
    </x:row>
    <x:row r="624">
      <x:c r="A624" s="8" t="n"/>
      <x:c r="B624" s="8" t="n"/>
      <x:c r="C624" s="8" t="n"/>
      <x:c r="D624" s="8" t="n"/>
      <x:c r="E624" s="8" t="n"/>
      <x:c r="F624" s="8" t="n"/>
      <x:c r="G624" s="7">
        <x:f>IF(A624="","",IF(01_Parametres!$B$11="Oui",IF((01_Parametres!$B$4*(D624&gt;0)+01_Parametres!$B$5*(E624&gt;0)+01_Parametres!$B$6*(F624&gt;0))=0,"",(01_Parametres!$B$4*IF(D624&gt;0,D624,0)+01_Parametres!$B$5*IF(E624&gt;0,E624,0)+01_Parametres!$B$6*IF(F624&gt;0,F624,0))/(01_Parametres!$B$4*(D624&gt;0)+01_Parametres!$B$5*(E624&gt;0)+01_Parametres!$B$6*(F624&gt;0))),IF(01_Parametres!$B$8=0,"",(01_Parametres!$B$4*D624+01_Parametres!$B$5*E624+01_Parametres!$B$6*F624)/01_Parametres!$B$8)))</x:f>
      </x:c>
      <x:c r="H624">
        <x:f>IFERROR(VLOOKUP(C624,02_Referentiels!$A$20:$D$99,3,FALSE),"")</x:f>
      </x:c>
      <x:c r="I624">
        <x:f>IFERROR(VLOOKUP(B624,02_Referentiels!$A$5:$C$16,2,FALSE),"")</x:f>
      </x:c>
      <x:c r="J624">
        <x:f>IF(A624="","",IF(OR(D624="",E624="",F624=""),1,IF(OR(D624&lt;0,D624&gt;3,E624&lt;0,E624&gt;3,F624&lt;0,F624&gt;3),1,0)))</x:f>
      </x:c>
      <x:c r="K624">
        <x:f>IF(A624="","",IF(G624="",1,0))</x:f>
      </x:c>
      <x:c r="L624">
        <x:f>IF(A624="","",IF(COUNTIFS($A$5:$A$2004,A624,$C$5:$C$2004,C624)&gt;1,1,0))</x:f>
      </x:c>
    </x:row>
    <x:row r="625">
      <x:c r="A625" s="8" t="n"/>
      <x:c r="B625" s="8" t="n"/>
      <x:c r="C625" s="8" t="n"/>
      <x:c r="D625" s="8" t="n"/>
      <x:c r="E625" s="8" t="n"/>
      <x:c r="F625" s="8" t="n"/>
      <x:c r="G625" s="7">
        <x:f>IF(A625="","",IF(01_Parametres!$B$11="Oui",IF((01_Parametres!$B$4*(D625&gt;0)+01_Parametres!$B$5*(E625&gt;0)+01_Parametres!$B$6*(F625&gt;0))=0,"",(01_Parametres!$B$4*IF(D625&gt;0,D625,0)+01_Parametres!$B$5*IF(E625&gt;0,E625,0)+01_Parametres!$B$6*IF(F625&gt;0,F625,0))/(01_Parametres!$B$4*(D625&gt;0)+01_Parametres!$B$5*(E625&gt;0)+01_Parametres!$B$6*(F625&gt;0))),IF(01_Parametres!$B$8=0,"",(01_Parametres!$B$4*D625+01_Parametres!$B$5*E625+01_Parametres!$B$6*F625)/01_Parametres!$B$8)))</x:f>
      </x:c>
      <x:c r="H625">
        <x:f>IFERROR(VLOOKUP(C625,02_Referentiels!$A$20:$D$99,3,FALSE),"")</x:f>
      </x:c>
      <x:c r="I625">
        <x:f>IFERROR(VLOOKUP(B625,02_Referentiels!$A$5:$C$16,2,FALSE),"")</x:f>
      </x:c>
      <x:c r="J625">
        <x:f>IF(A625="","",IF(OR(D625="",E625="",F625=""),1,IF(OR(D625&lt;0,D625&gt;3,E625&lt;0,E625&gt;3,F625&lt;0,F625&gt;3),1,0)))</x:f>
      </x:c>
      <x:c r="K625">
        <x:f>IF(A625="","",IF(G625="",1,0))</x:f>
      </x:c>
      <x:c r="L625">
        <x:f>IF(A625="","",IF(COUNTIFS($A$5:$A$2004,A625,$C$5:$C$2004,C625)&gt;1,1,0))</x:f>
      </x:c>
    </x:row>
    <x:row r="626">
      <x:c r="A626" s="8" t="n"/>
      <x:c r="B626" s="8" t="n"/>
      <x:c r="C626" s="8" t="n"/>
      <x:c r="D626" s="8" t="n"/>
      <x:c r="E626" s="8" t="n"/>
      <x:c r="F626" s="8" t="n"/>
      <x:c r="G626" s="7">
        <x:f>IF(A626="","",IF(01_Parametres!$B$11="Oui",IF((01_Parametres!$B$4*(D626&gt;0)+01_Parametres!$B$5*(E626&gt;0)+01_Parametres!$B$6*(F626&gt;0))=0,"",(01_Parametres!$B$4*IF(D626&gt;0,D626,0)+01_Parametres!$B$5*IF(E626&gt;0,E626,0)+01_Parametres!$B$6*IF(F626&gt;0,F626,0))/(01_Parametres!$B$4*(D626&gt;0)+01_Parametres!$B$5*(E626&gt;0)+01_Parametres!$B$6*(F626&gt;0))),IF(01_Parametres!$B$8=0,"",(01_Parametres!$B$4*D626+01_Parametres!$B$5*E626+01_Parametres!$B$6*F626)/01_Parametres!$B$8)))</x:f>
      </x:c>
      <x:c r="H626">
        <x:f>IFERROR(VLOOKUP(C626,02_Referentiels!$A$20:$D$99,3,FALSE),"")</x:f>
      </x:c>
      <x:c r="I626">
        <x:f>IFERROR(VLOOKUP(B626,02_Referentiels!$A$5:$C$16,2,FALSE),"")</x:f>
      </x:c>
      <x:c r="J626">
        <x:f>IF(A626="","",IF(OR(D626="",E626="",F626=""),1,IF(OR(D626&lt;0,D626&gt;3,E626&lt;0,E626&gt;3,F626&lt;0,F626&gt;3),1,0)))</x:f>
      </x:c>
      <x:c r="K626">
        <x:f>IF(A626="","",IF(G626="",1,0))</x:f>
      </x:c>
      <x:c r="L626">
        <x:f>IF(A626="","",IF(COUNTIFS($A$5:$A$2004,A626,$C$5:$C$2004,C626)&gt;1,1,0))</x:f>
      </x:c>
    </x:row>
    <x:row r="627">
      <x:c r="A627" s="8" t="n"/>
      <x:c r="B627" s="8" t="n"/>
      <x:c r="C627" s="8" t="n"/>
      <x:c r="D627" s="8" t="n"/>
      <x:c r="E627" s="8" t="n"/>
      <x:c r="F627" s="8" t="n"/>
      <x:c r="G627" s="7">
        <x:f>IF(A627="","",IF(01_Parametres!$B$11="Oui",IF((01_Parametres!$B$4*(D627&gt;0)+01_Parametres!$B$5*(E627&gt;0)+01_Parametres!$B$6*(F627&gt;0))=0,"",(01_Parametres!$B$4*IF(D627&gt;0,D627,0)+01_Parametres!$B$5*IF(E627&gt;0,E627,0)+01_Parametres!$B$6*IF(F627&gt;0,F627,0))/(01_Parametres!$B$4*(D627&gt;0)+01_Parametres!$B$5*(E627&gt;0)+01_Parametres!$B$6*(F627&gt;0))),IF(01_Parametres!$B$8=0,"",(01_Parametres!$B$4*D627+01_Parametres!$B$5*E627+01_Parametres!$B$6*F627)/01_Parametres!$B$8)))</x:f>
      </x:c>
      <x:c r="H627">
        <x:f>IFERROR(VLOOKUP(C627,02_Referentiels!$A$20:$D$99,3,FALSE),"")</x:f>
      </x:c>
      <x:c r="I627">
        <x:f>IFERROR(VLOOKUP(B627,02_Referentiels!$A$5:$C$16,2,FALSE),"")</x:f>
      </x:c>
      <x:c r="J627">
        <x:f>IF(A627="","",IF(OR(D627="",E627="",F627=""),1,IF(OR(D627&lt;0,D627&gt;3,E627&lt;0,E627&gt;3,F627&lt;0,F627&gt;3),1,0)))</x:f>
      </x:c>
      <x:c r="K627">
        <x:f>IF(A627="","",IF(G627="",1,0))</x:f>
      </x:c>
      <x:c r="L627">
        <x:f>IF(A627="","",IF(COUNTIFS($A$5:$A$2004,A627,$C$5:$C$2004,C627)&gt;1,1,0))</x:f>
      </x:c>
    </x:row>
    <x:row r="628">
      <x:c r="A628" s="8" t="n"/>
      <x:c r="B628" s="8" t="n"/>
      <x:c r="C628" s="8" t="n"/>
      <x:c r="D628" s="8" t="n"/>
      <x:c r="E628" s="8" t="n"/>
      <x:c r="F628" s="8" t="n"/>
      <x:c r="G628" s="7">
        <x:f>IF(A628="","",IF(01_Parametres!$B$11="Oui",IF((01_Parametres!$B$4*(D628&gt;0)+01_Parametres!$B$5*(E628&gt;0)+01_Parametres!$B$6*(F628&gt;0))=0,"",(01_Parametres!$B$4*IF(D628&gt;0,D628,0)+01_Parametres!$B$5*IF(E628&gt;0,E628,0)+01_Parametres!$B$6*IF(F628&gt;0,F628,0))/(01_Parametres!$B$4*(D628&gt;0)+01_Parametres!$B$5*(E628&gt;0)+01_Parametres!$B$6*(F628&gt;0))),IF(01_Parametres!$B$8=0,"",(01_Parametres!$B$4*D628+01_Parametres!$B$5*E628+01_Parametres!$B$6*F628)/01_Parametres!$B$8)))</x:f>
      </x:c>
      <x:c r="H628">
        <x:f>IFERROR(VLOOKUP(C628,02_Referentiels!$A$20:$D$99,3,FALSE),"")</x:f>
      </x:c>
      <x:c r="I628">
        <x:f>IFERROR(VLOOKUP(B628,02_Referentiels!$A$5:$C$16,2,FALSE),"")</x:f>
      </x:c>
      <x:c r="J628">
        <x:f>IF(A628="","",IF(OR(D628="",E628="",F628=""),1,IF(OR(D628&lt;0,D628&gt;3,E628&lt;0,E628&gt;3,F628&lt;0,F628&gt;3),1,0)))</x:f>
      </x:c>
      <x:c r="K628">
        <x:f>IF(A628="","",IF(G628="",1,0))</x:f>
      </x:c>
      <x:c r="L628">
        <x:f>IF(A628="","",IF(COUNTIFS($A$5:$A$2004,A628,$C$5:$C$2004,C628)&gt;1,1,0))</x:f>
      </x:c>
    </x:row>
    <x:row r="629">
      <x:c r="A629" s="8" t="n"/>
      <x:c r="B629" s="8" t="n"/>
      <x:c r="C629" s="8" t="n"/>
      <x:c r="D629" s="8" t="n"/>
      <x:c r="E629" s="8" t="n"/>
      <x:c r="F629" s="8" t="n"/>
      <x:c r="G629" s="7">
        <x:f>IF(A629="","",IF(01_Parametres!$B$11="Oui",IF((01_Parametres!$B$4*(D629&gt;0)+01_Parametres!$B$5*(E629&gt;0)+01_Parametres!$B$6*(F629&gt;0))=0,"",(01_Parametres!$B$4*IF(D629&gt;0,D629,0)+01_Parametres!$B$5*IF(E629&gt;0,E629,0)+01_Parametres!$B$6*IF(F629&gt;0,F629,0))/(01_Parametres!$B$4*(D629&gt;0)+01_Parametres!$B$5*(E629&gt;0)+01_Parametres!$B$6*(F629&gt;0))),IF(01_Parametres!$B$8=0,"",(01_Parametres!$B$4*D629+01_Parametres!$B$5*E629+01_Parametres!$B$6*F629)/01_Parametres!$B$8)))</x:f>
      </x:c>
      <x:c r="H629">
        <x:f>IFERROR(VLOOKUP(C629,02_Referentiels!$A$20:$D$99,3,FALSE),"")</x:f>
      </x:c>
      <x:c r="I629">
        <x:f>IFERROR(VLOOKUP(B629,02_Referentiels!$A$5:$C$16,2,FALSE),"")</x:f>
      </x:c>
      <x:c r="J629">
        <x:f>IF(A629="","",IF(OR(D629="",E629="",F629=""),1,IF(OR(D629&lt;0,D629&gt;3,E629&lt;0,E629&gt;3,F629&lt;0,F629&gt;3),1,0)))</x:f>
      </x:c>
      <x:c r="K629">
        <x:f>IF(A629="","",IF(G629="",1,0))</x:f>
      </x:c>
      <x:c r="L629">
        <x:f>IF(A629="","",IF(COUNTIFS($A$5:$A$2004,A629,$C$5:$C$2004,C629)&gt;1,1,0))</x:f>
      </x:c>
    </x:row>
    <x:row r="630">
      <x:c r="A630" s="8" t="n"/>
      <x:c r="B630" s="8" t="n"/>
      <x:c r="C630" s="8" t="n"/>
      <x:c r="D630" s="8" t="n"/>
      <x:c r="E630" s="8" t="n"/>
      <x:c r="F630" s="8" t="n"/>
      <x:c r="G630" s="7">
        <x:f>IF(A630="","",IF(01_Parametres!$B$11="Oui",IF((01_Parametres!$B$4*(D630&gt;0)+01_Parametres!$B$5*(E630&gt;0)+01_Parametres!$B$6*(F630&gt;0))=0,"",(01_Parametres!$B$4*IF(D630&gt;0,D630,0)+01_Parametres!$B$5*IF(E630&gt;0,E630,0)+01_Parametres!$B$6*IF(F630&gt;0,F630,0))/(01_Parametres!$B$4*(D630&gt;0)+01_Parametres!$B$5*(E630&gt;0)+01_Parametres!$B$6*(F630&gt;0))),IF(01_Parametres!$B$8=0,"",(01_Parametres!$B$4*D630+01_Parametres!$B$5*E630+01_Parametres!$B$6*F630)/01_Parametres!$B$8)))</x:f>
      </x:c>
      <x:c r="H630">
        <x:f>IFERROR(VLOOKUP(C630,02_Referentiels!$A$20:$D$99,3,FALSE),"")</x:f>
      </x:c>
      <x:c r="I630">
        <x:f>IFERROR(VLOOKUP(B630,02_Referentiels!$A$5:$C$16,2,FALSE),"")</x:f>
      </x:c>
      <x:c r="J630">
        <x:f>IF(A630="","",IF(OR(D630="",E630="",F630=""),1,IF(OR(D630&lt;0,D630&gt;3,E630&lt;0,E630&gt;3,F630&lt;0,F630&gt;3),1,0)))</x:f>
      </x:c>
      <x:c r="K630">
        <x:f>IF(A630="","",IF(G630="",1,0))</x:f>
      </x:c>
      <x:c r="L630">
        <x:f>IF(A630="","",IF(COUNTIFS($A$5:$A$2004,A630,$C$5:$C$2004,C630)&gt;1,1,0))</x:f>
      </x:c>
    </x:row>
    <x:row r="631">
      <x:c r="A631" s="8" t="n"/>
      <x:c r="B631" s="8" t="n"/>
      <x:c r="C631" s="8" t="n"/>
      <x:c r="D631" s="8" t="n"/>
      <x:c r="E631" s="8" t="n"/>
      <x:c r="F631" s="8" t="n"/>
      <x:c r="G631" s="7">
        <x:f>IF(A631="","",IF(01_Parametres!$B$11="Oui",IF((01_Parametres!$B$4*(D631&gt;0)+01_Parametres!$B$5*(E631&gt;0)+01_Parametres!$B$6*(F631&gt;0))=0,"",(01_Parametres!$B$4*IF(D631&gt;0,D631,0)+01_Parametres!$B$5*IF(E631&gt;0,E631,0)+01_Parametres!$B$6*IF(F631&gt;0,F631,0))/(01_Parametres!$B$4*(D631&gt;0)+01_Parametres!$B$5*(E631&gt;0)+01_Parametres!$B$6*(F631&gt;0))),IF(01_Parametres!$B$8=0,"",(01_Parametres!$B$4*D631+01_Parametres!$B$5*E631+01_Parametres!$B$6*F631)/01_Parametres!$B$8)))</x:f>
      </x:c>
      <x:c r="H631">
        <x:f>IFERROR(VLOOKUP(C631,02_Referentiels!$A$20:$D$99,3,FALSE),"")</x:f>
      </x:c>
      <x:c r="I631">
        <x:f>IFERROR(VLOOKUP(B631,02_Referentiels!$A$5:$C$16,2,FALSE),"")</x:f>
      </x:c>
      <x:c r="J631">
        <x:f>IF(A631="","",IF(OR(D631="",E631="",F631=""),1,IF(OR(D631&lt;0,D631&gt;3,E631&lt;0,E631&gt;3,F631&lt;0,F631&gt;3),1,0)))</x:f>
      </x:c>
      <x:c r="K631">
        <x:f>IF(A631="","",IF(G631="",1,0))</x:f>
      </x:c>
      <x:c r="L631">
        <x:f>IF(A631="","",IF(COUNTIFS($A$5:$A$2004,A631,$C$5:$C$2004,C631)&gt;1,1,0))</x:f>
      </x:c>
    </x:row>
    <x:row r="632">
      <x:c r="A632" s="8" t="n"/>
      <x:c r="B632" s="8" t="n"/>
      <x:c r="C632" s="8" t="n"/>
      <x:c r="D632" s="8" t="n"/>
      <x:c r="E632" s="8" t="n"/>
      <x:c r="F632" s="8" t="n"/>
      <x:c r="G632" s="7">
        <x:f>IF(A632="","",IF(01_Parametres!$B$11="Oui",IF((01_Parametres!$B$4*(D632&gt;0)+01_Parametres!$B$5*(E632&gt;0)+01_Parametres!$B$6*(F632&gt;0))=0,"",(01_Parametres!$B$4*IF(D632&gt;0,D632,0)+01_Parametres!$B$5*IF(E632&gt;0,E632,0)+01_Parametres!$B$6*IF(F632&gt;0,F632,0))/(01_Parametres!$B$4*(D632&gt;0)+01_Parametres!$B$5*(E632&gt;0)+01_Parametres!$B$6*(F632&gt;0))),IF(01_Parametres!$B$8=0,"",(01_Parametres!$B$4*D632+01_Parametres!$B$5*E632+01_Parametres!$B$6*F632)/01_Parametres!$B$8)))</x:f>
      </x:c>
      <x:c r="H632">
        <x:f>IFERROR(VLOOKUP(C632,02_Referentiels!$A$20:$D$99,3,FALSE),"")</x:f>
      </x:c>
      <x:c r="I632">
        <x:f>IFERROR(VLOOKUP(B632,02_Referentiels!$A$5:$C$16,2,FALSE),"")</x:f>
      </x:c>
      <x:c r="J632">
        <x:f>IF(A632="","",IF(OR(D632="",E632="",F632=""),1,IF(OR(D632&lt;0,D632&gt;3,E632&lt;0,E632&gt;3,F632&lt;0,F632&gt;3),1,0)))</x:f>
      </x:c>
      <x:c r="K632">
        <x:f>IF(A632="","",IF(G632="",1,0))</x:f>
      </x:c>
      <x:c r="L632">
        <x:f>IF(A632="","",IF(COUNTIFS($A$5:$A$2004,A632,$C$5:$C$2004,C632)&gt;1,1,0))</x:f>
      </x:c>
    </x:row>
    <x:row r="633">
      <x:c r="A633" s="8" t="n"/>
      <x:c r="B633" s="8" t="n"/>
      <x:c r="C633" s="8" t="n"/>
      <x:c r="D633" s="8" t="n"/>
      <x:c r="E633" s="8" t="n"/>
      <x:c r="F633" s="8" t="n"/>
      <x:c r="G633" s="7">
        <x:f>IF(A633="","",IF(01_Parametres!$B$11="Oui",IF((01_Parametres!$B$4*(D633&gt;0)+01_Parametres!$B$5*(E633&gt;0)+01_Parametres!$B$6*(F633&gt;0))=0,"",(01_Parametres!$B$4*IF(D633&gt;0,D633,0)+01_Parametres!$B$5*IF(E633&gt;0,E633,0)+01_Parametres!$B$6*IF(F633&gt;0,F633,0))/(01_Parametres!$B$4*(D633&gt;0)+01_Parametres!$B$5*(E633&gt;0)+01_Parametres!$B$6*(F633&gt;0))),IF(01_Parametres!$B$8=0,"",(01_Parametres!$B$4*D633+01_Parametres!$B$5*E633+01_Parametres!$B$6*F633)/01_Parametres!$B$8)))</x:f>
      </x:c>
      <x:c r="H633">
        <x:f>IFERROR(VLOOKUP(C633,02_Referentiels!$A$20:$D$99,3,FALSE),"")</x:f>
      </x:c>
      <x:c r="I633">
        <x:f>IFERROR(VLOOKUP(B633,02_Referentiels!$A$5:$C$16,2,FALSE),"")</x:f>
      </x:c>
      <x:c r="J633">
        <x:f>IF(A633="","",IF(OR(D633="",E633="",F633=""),1,IF(OR(D633&lt;0,D633&gt;3,E633&lt;0,E633&gt;3,F633&lt;0,F633&gt;3),1,0)))</x:f>
      </x:c>
      <x:c r="K633">
        <x:f>IF(A633="","",IF(G633="",1,0))</x:f>
      </x:c>
      <x:c r="L633">
        <x:f>IF(A633="","",IF(COUNTIFS($A$5:$A$2004,A633,$C$5:$C$2004,C633)&gt;1,1,0))</x:f>
      </x:c>
    </x:row>
    <x:row r="634">
      <x:c r="A634" s="8" t="n"/>
      <x:c r="B634" s="8" t="n"/>
      <x:c r="C634" s="8" t="n"/>
      <x:c r="D634" s="8" t="n"/>
      <x:c r="E634" s="8" t="n"/>
      <x:c r="F634" s="8" t="n"/>
      <x:c r="G634" s="7">
        <x:f>IF(A634="","",IF(01_Parametres!$B$11="Oui",IF((01_Parametres!$B$4*(D634&gt;0)+01_Parametres!$B$5*(E634&gt;0)+01_Parametres!$B$6*(F634&gt;0))=0,"",(01_Parametres!$B$4*IF(D634&gt;0,D634,0)+01_Parametres!$B$5*IF(E634&gt;0,E634,0)+01_Parametres!$B$6*IF(F634&gt;0,F634,0))/(01_Parametres!$B$4*(D634&gt;0)+01_Parametres!$B$5*(E634&gt;0)+01_Parametres!$B$6*(F634&gt;0))),IF(01_Parametres!$B$8=0,"",(01_Parametres!$B$4*D634+01_Parametres!$B$5*E634+01_Parametres!$B$6*F634)/01_Parametres!$B$8)))</x:f>
      </x:c>
      <x:c r="H634">
        <x:f>IFERROR(VLOOKUP(C634,02_Referentiels!$A$20:$D$99,3,FALSE),"")</x:f>
      </x:c>
      <x:c r="I634">
        <x:f>IFERROR(VLOOKUP(B634,02_Referentiels!$A$5:$C$16,2,FALSE),"")</x:f>
      </x:c>
      <x:c r="J634">
        <x:f>IF(A634="","",IF(OR(D634="",E634="",F634=""),1,IF(OR(D634&lt;0,D634&gt;3,E634&lt;0,E634&gt;3,F634&lt;0,F634&gt;3),1,0)))</x:f>
      </x:c>
      <x:c r="K634">
        <x:f>IF(A634="","",IF(G634="",1,0))</x:f>
      </x:c>
      <x:c r="L634">
        <x:f>IF(A634="","",IF(COUNTIFS($A$5:$A$2004,A634,$C$5:$C$2004,C634)&gt;1,1,0))</x:f>
      </x:c>
    </x:row>
    <x:row r="635">
      <x:c r="A635" s="8" t="n"/>
      <x:c r="B635" s="8" t="n"/>
      <x:c r="C635" s="8" t="n"/>
      <x:c r="D635" s="8" t="n"/>
      <x:c r="E635" s="8" t="n"/>
      <x:c r="F635" s="8" t="n"/>
      <x:c r="G635" s="7">
        <x:f>IF(A635="","",IF(01_Parametres!$B$11="Oui",IF((01_Parametres!$B$4*(D635&gt;0)+01_Parametres!$B$5*(E635&gt;0)+01_Parametres!$B$6*(F635&gt;0))=0,"",(01_Parametres!$B$4*IF(D635&gt;0,D635,0)+01_Parametres!$B$5*IF(E635&gt;0,E635,0)+01_Parametres!$B$6*IF(F635&gt;0,F635,0))/(01_Parametres!$B$4*(D635&gt;0)+01_Parametres!$B$5*(E635&gt;0)+01_Parametres!$B$6*(F635&gt;0))),IF(01_Parametres!$B$8=0,"",(01_Parametres!$B$4*D635+01_Parametres!$B$5*E635+01_Parametres!$B$6*F635)/01_Parametres!$B$8)))</x:f>
      </x:c>
      <x:c r="H635">
        <x:f>IFERROR(VLOOKUP(C635,02_Referentiels!$A$20:$D$99,3,FALSE),"")</x:f>
      </x:c>
      <x:c r="I635">
        <x:f>IFERROR(VLOOKUP(B635,02_Referentiels!$A$5:$C$16,2,FALSE),"")</x:f>
      </x:c>
      <x:c r="J635">
        <x:f>IF(A635="","",IF(OR(D635="",E635="",F635=""),1,IF(OR(D635&lt;0,D635&gt;3,E635&lt;0,E635&gt;3,F635&lt;0,F635&gt;3),1,0)))</x:f>
      </x:c>
      <x:c r="K635">
        <x:f>IF(A635="","",IF(G635="",1,0))</x:f>
      </x:c>
      <x:c r="L635">
        <x:f>IF(A635="","",IF(COUNTIFS($A$5:$A$2004,A635,$C$5:$C$2004,C635)&gt;1,1,0))</x:f>
      </x:c>
    </x:row>
    <x:row r="636">
      <x:c r="A636" s="8" t="n"/>
      <x:c r="B636" s="8" t="n"/>
      <x:c r="C636" s="8" t="n"/>
      <x:c r="D636" s="8" t="n"/>
      <x:c r="E636" s="8" t="n"/>
      <x:c r="F636" s="8" t="n"/>
      <x:c r="G636" s="7">
        <x:f>IF(A636="","",IF(01_Parametres!$B$11="Oui",IF((01_Parametres!$B$4*(D636&gt;0)+01_Parametres!$B$5*(E636&gt;0)+01_Parametres!$B$6*(F636&gt;0))=0,"",(01_Parametres!$B$4*IF(D636&gt;0,D636,0)+01_Parametres!$B$5*IF(E636&gt;0,E636,0)+01_Parametres!$B$6*IF(F636&gt;0,F636,0))/(01_Parametres!$B$4*(D636&gt;0)+01_Parametres!$B$5*(E636&gt;0)+01_Parametres!$B$6*(F636&gt;0))),IF(01_Parametres!$B$8=0,"",(01_Parametres!$B$4*D636+01_Parametres!$B$5*E636+01_Parametres!$B$6*F636)/01_Parametres!$B$8)))</x:f>
      </x:c>
      <x:c r="H636">
        <x:f>IFERROR(VLOOKUP(C636,02_Referentiels!$A$20:$D$99,3,FALSE),"")</x:f>
      </x:c>
      <x:c r="I636">
        <x:f>IFERROR(VLOOKUP(B636,02_Referentiels!$A$5:$C$16,2,FALSE),"")</x:f>
      </x:c>
      <x:c r="J636">
        <x:f>IF(A636="","",IF(OR(D636="",E636="",F636=""),1,IF(OR(D636&lt;0,D636&gt;3,E636&lt;0,E636&gt;3,F636&lt;0,F636&gt;3),1,0)))</x:f>
      </x:c>
      <x:c r="K636">
        <x:f>IF(A636="","",IF(G636="",1,0))</x:f>
      </x:c>
      <x:c r="L636">
        <x:f>IF(A636="","",IF(COUNTIFS($A$5:$A$2004,A636,$C$5:$C$2004,C636)&gt;1,1,0))</x:f>
      </x:c>
    </x:row>
    <x:row r="637">
      <x:c r="A637" s="8" t="n"/>
      <x:c r="B637" s="8" t="n"/>
      <x:c r="C637" s="8" t="n"/>
      <x:c r="D637" s="8" t="n"/>
      <x:c r="E637" s="8" t="n"/>
      <x:c r="F637" s="8" t="n"/>
      <x:c r="G637" s="7">
        <x:f>IF(A637="","",IF(01_Parametres!$B$11="Oui",IF((01_Parametres!$B$4*(D637&gt;0)+01_Parametres!$B$5*(E637&gt;0)+01_Parametres!$B$6*(F637&gt;0))=0,"",(01_Parametres!$B$4*IF(D637&gt;0,D637,0)+01_Parametres!$B$5*IF(E637&gt;0,E637,0)+01_Parametres!$B$6*IF(F637&gt;0,F637,0))/(01_Parametres!$B$4*(D637&gt;0)+01_Parametres!$B$5*(E637&gt;0)+01_Parametres!$B$6*(F637&gt;0))),IF(01_Parametres!$B$8=0,"",(01_Parametres!$B$4*D637+01_Parametres!$B$5*E637+01_Parametres!$B$6*F637)/01_Parametres!$B$8)))</x:f>
      </x:c>
      <x:c r="H637">
        <x:f>IFERROR(VLOOKUP(C637,02_Referentiels!$A$20:$D$99,3,FALSE),"")</x:f>
      </x:c>
      <x:c r="I637">
        <x:f>IFERROR(VLOOKUP(B637,02_Referentiels!$A$5:$C$16,2,FALSE),"")</x:f>
      </x:c>
      <x:c r="J637">
        <x:f>IF(A637="","",IF(OR(D637="",E637="",F637=""),1,IF(OR(D637&lt;0,D637&gt;3,E637&lt;0,E637&gt;3,F637&lt;0,F637&gt;3),1,0)))</x:f>
      </x:c>
      <x:c r="K637">
        <x:f>IF(A637="","",IF(G637="",1,0))</x:f>
      </x:c>
      <x:c r="L637">
        <x:f>IF(A637="","",IF(COUNTIFS($A$5:$A$2004,A637,$C$5:$C$2004,C637)&gt;1,1,0))</x:f>
      </x:c>
    </x:row>
    <x:row r="638">
      <x:c r="A638" s="8" t="n"/>
      <x:c r="B638" s="8" t="n"/>
      <x:c r="C638" s="8" t="n"/>
      <x:c r="D638" s="8" t="n"/>
      <x:c r="E638" s="8" t="n"/>
      <x:c r="F638" s="8" t="n"/>
      <x:c r="G638" s="7">
        <x:f>IF(A638="","",IF(01_Parametres!$B$11="Oui",IF((01_Parametres!$B$4*(D638&gt;0)+01_Parametres!$B$5*(E638&gt;0)+01_Parametres!$B$6*(F638&gt;0))=0,"",(01_Parametres!$B$4*IF(D638&gt;0,D638,0)+01_Parametres!$B$5*IF(E638&gt;0,E638,0)+01_Parametres!$B$6*IF(F638&gt;0,F638,0))/(01_Parametres!$B$4*(D638&gt;0)+01_Parametres!$B$5*(E638&gt;0)+01_Parametres!$B$6*(F638&gt;0))),IF(01_Parametres!$B$8=0,"",(01_Parametres!$B$4*D638+01_Parametres!$B$5*E638+01_Parametres!$B$6*F638)/01_Parametres!$B$8)))</x:f>
      </x:c>
      <x:c r="H638">
        <x:f>IFERROR(VLOOKUP(C638,02_Referentiels!$A$20:$D$99,3,FALSE),"")</x:f>
      </x:c>
      <x:c r="I638">
        <x:f>IFERROR(VLOOKUP(B638,02_Referentiels!$A$5:$C$16,2,FALSE),"")</x:f>
      </x:c>
      <x:c r="J638">
        <x:f>IF(A638="","",IF(OR(D638="",E638="",F638=""),1,IF(OR(D638&lt;0,D638&gt;3,E638&lt;0,E638&gt;3,F638&lt;0,F638&gt;3),1,0)))</x:f>
      </x:c>
      <x:c r="K638">
        <x:f>IF(A638="","",IF(G638="",1,0))</x:f>
      </x:c>
      <x:c r="L638">
        <x:f>IF(A638="","",IF(COUNTIFS($A$5:$A$2004,A638,$C$5:$C$2004,C638)&gt;1,1,0))</x:f>
      </x:c>
    </x:row>
    <x:row r="639">
      <x:c r="A639" s="8" t="n"/>
      <x:c r="B639" s="8" t="n"/>
      <x:c r="C639" s="8" t="n"/>
      <x:c r="D639" s="8" t="n"/>
      <x:c r="E639" s="8" t="n"/>
      <x:c r="F639" s="8" t="n"/>
      <x:c r="G639" s="7">
        <x:f>IF(A639="","",IF(01_Parametres!$B$11="Oui",IF((01_Parametres!$B$4*(D639&gt;0)+01_Parametres!$B$5*(E639&gt;0)+01_Parametres!$B$6*(F639&gt;0))=0,"",(01_Parametres!$B$4*IF(D639&gt;0,D639,0)+01_Parametres!$B$5*IF(E639&gt;0,E639,0)+01_Parametres!$B$6*IF(F639&gt;0,F639,0))/(01_Parametres!$B$4*(D639&gt;0)+01_Parametres!$B$5*(E639&gt;0)+01_Parametres!$B$6*(F639&gt;0))),IF(01_Parametres!$B$8=0,"",(01_Parametres!$B$4*D639+01_Parametres!$B$5*E639+01_Parametres!$B$6*F639)/01_Parametres!$B$8)))</x:f>
      </x:c>
      <x:c r="H639">
        <x:f>IFERROR(VLOOKUP(C639,02_Referentiels!$A$20:$D$99,3,FALSE),"")</x:f>
      </x:c>
      <x:c r="I639">
        <x:f>IFERROR(VLOOKUP(B639,02_Referentiels!$A$5:$C$16,2,FALSE),"")</x:f>
      </x:c>
      <x:c r="J639">
        <x:f>IF(A639="","",IF(OR(D639="",E639="",F639=""),1,IF(OR(D639&lt;0,D639&gt;3,E639&lt;0,E639&gt;3,F639&lt;0,F639&gt;3),1,0)))</x:f>
      </x:c>
      <x:c r="K639">
        <x:f>IF(A639="","",IF(G639="",1,0))</x:f>
      </x:c>
      <x:c r="L639">
        <x:f>IF(A639="","",IF(COUNTIFS($A$5:$A$2004,A639,$C$5:$C$2004,C639)&gt;1,1,0))</x:f>
      </x:c>
    </x:row>
    <x:row r="640">
      <x:c r="A640" s="8" t="n"/>
      <x:c r="B640" s="8" t="n"/>
      <x:c r="C640" s="8" t="n"/>
      <x:c r="D640" s="8" t="n"/>
      <x:c r="E640" s="8" t="n"/>
      <x:c r="F640" s="8" t="n"/>
      <x:c r="G640" s="7">
        <x:f>IF(A640="","",IF(01_Parametres!$B$11="Oui",IF((01_Parametres!$B$4*(D640&gt;0)+01_Parametres!$B$5*(E640&gt;0)+01_Parametres!$B$6*(F640&gt;0))=0,"",(01_Parametres!$B$4*IF(D640&gt;0,D640,0)+01_Parametres!$B$5*IF(E640&gt;0,E640,0)+01_Parametres!$B$6*IF(F640&gt;0,F640,0))/(01_Parametres!$B$4*(D640&gt;0)+01_Parametres!$B$5*(E640&gt;0)+01_Parametres!$B$6*(F640&gt;0))),IF(01_Parametres!$B$8=0,"",(01_Parametres!$B$4*D640+01_Parametres!$B$5*E640+01_Parametres!$B$6*F640)/01_Parametres!$B$8)))</x:f>
      </x:c>
      <x:c r="H640">
        <x:f>IFERROR(VLOOKUP(C640,02_Referentiels!$A$20:$D$99,3,FALSE),"")</x:f>
      </x:c>
      <x:c r="I640">
        <x:f>IFERROR(VLOOKUP(B640,02_Referentiels!$A$5:$C$16,2,FALSE),"")</x:f>
      </x:c>
      <x:c r="J640">
        <x:f>IF(A640="","",IF(OR(D640="",E640="",F640=""),1,IF(OR(D640&lt;0,D640&gt;3,E640&lt;0,E640&gt;3,F640&lt;0,F640&gt;3),1,0)))</x:f>
      </x:c>
      <x:c r="K640">
        <x:f>IF(A640="","",IF(G640="",1,0))</x:f>
      </x:c>
      <x:c r="L640">
        <x:f>IF(A640="","",IF(COUNTIFS($A$5:$A$2004,A640,$C$5:$C$2004,C640)&gt;1,1,0))</x:f>
      </x:c>
    </x:row>
    <x:row r="641">
      <x:c r="A641" s="8" t="n"/>
      <x:c r="B641" s="8" t="n"/>
      <x:c r="C641" s="8" t="n"/>
      <x:c r="D641" s="8" t="n"/>
      <x:c r="E641" s="8" t="n"/>
      <x:c r="F641" s="8" t="n"/>
      <x:c r="G641" s="7">
        <x:f>IF(A641="","",IF(01_Parametres!$B$11="Oui",IF((01_Parametres!$B$4*(D641&gt;0)+01_Parametres!$B$5*(E641&gt;0)+01_Parametres!$B$6*(F641&gt;0))=0,"",(01_Parametres!$B$4*IF(D641&gt;0,D641,0)+01_Parametres!$B$5*IF(E641&gt;0,E641,0)+01_Parametres!$B$6*IF(F641&gt;0,F641,0))/(01_Parametres!$B$4*(D641&gt;0)+01_Parametres!$B$5*(E641&gt;0)+01_Parametres!$B$6*(F641&gt;0))),IF(01_Parametres!$B$8=0,"",(01_Parametres!$B$4*D641+01_Parametres!$B$5*E641+01_Parametres!$B$6*F641)/01_Parametres!$B$8)))</x:f>
      </x:c>
      <x:c r="H641">
        <x:f>IFERROR(VLOOKUP(C641,02_Referentiels!$A$20:$D$99,3,FALSE),"")</x:f>
      </x:c>
      <x:c r="I641">
        <x:f>IFERROR(VLOOKUP(B641,02_Referentiels!$A$5:$C$16,2,FALSE),"")</x:f>
      </x:c>
      <x:c r="J641">
        <x:f>IF(A641="","",IF(OR(D641="",E641="",F641=""),1,IF(OR(D641&lt;0,D641&gt;3,E641&lt;0,E641&gt;3,F641&lt;0,F641&gt;3),1,0)))</x:f>
      </x:c>
      <x:c r="K641">
        <x:f>IF(A641="","",IF(G641="",1,0))</x:f>
      </x:c>
      <x:c r="L641">
        <x:f>IF(A641="","",IF(COUNTIFS($A$5:$A$2004,A641,$C$5:$C$2004,C641)&gt;1,1,0))</x:f>
      </x:c>
    </x:row>
    <x:row r="642">
      <x:c r="A642" s="8" t="n"/>
      <x:c r="B642" s="8" t="n"/>
      <x:c r="C642" s="8" t="n"/>
      <x:c r="D642" s="8" t="n"/>
      <x:c r="E642" s="8" t="n"/>
      <x:c r="F642" s="8" t="n"/>
      <x:c r="G642" s="7">
        <x:f>IF(A642="","",IF(01_Parametres!$B$11="Oui",IF((01_Parametres!$B$4*(D642&gt;0)+01_Parametres!$B$5*(E642&gt;0)+01_Parametres!$B$6*(F642&gt;0))=0,"",(01_Parametres!$B$4*IF(D642&gt;0,D642,0)+01_Parametres!$B$5*IF(E642&gt;0,E642,0)+01_Parametres!$B$6*IF(F642&gt;0,F642,0))/(01_Parametres!$B$4*(D642&gt;0)+01_Parametres!$B$5*(E642&gt;0)+01_Parametres!$B$6*(F642&gt;0))),IF(01_Parametres!$B$8=0,"",(01_Parametres!$B$4*D642+01_Parametres!$B$5*E642+01_Parametres!$B$6*F642)/01_Parametres!$B$8)))</x:f>
      </x:c>
      <x:c r="H642">
        <x:f>IFERROR(VLOOKUP(C642,02_Referentiels!$A$20:$D$99,3,FALSE),"")</x:f>
      </x:c>
      <x:c r="I642">
        <x:f>IFERROR(VLOOKUP(B642,02_Referentiels!$A$5:$C$16,2,FALSE),"")</x:f>
      </x:c>
      <x:c r="J642">
        <x:f>IF(A642="","",IF(OR(D642="",E642="",F642=""),1,IF(OR(D642&lt;0,D642&gt;3,E642&lt;0,E642&gt;3,F642&lt;0,F642&gt;3),1,0)))</x:f>
      </x:c>
      <x:c r="K642">
        <x:f>IF(A642="","",IF(G642="",1,0))</x:f>
      </x:c>
      <x:c r="L642">
        <x:f>IF(A642="","",IF(COUNTIFS($A$5:$A$2004,A642,$C$5:$C$2004,C642)&gt;1,1,0))</x:f>
      </x:c>
    </x:row>
    <x:row r="643">
      <x:c r="A643" s="8" t="n"/>
      <x:c r="B643" s="8" t="n"/>
      <x:c r="C643" s="8" t="n"/>
      <x:c r="D643" s="8" t="n"/>
      <x:c r="E643" s="8" t="n"/>
      <x:c r="F643" s="8" t="n"/>
      <x:c r="G643" s="7">
        <x:f>IF(A643="","",IF(01_Parametres!$B$11="Oui",IF((01_Parametres!$B$4*(D643&gt;0)+01_Parametres!$B$5*(E643&gt;0)+01_Parametres!$B$6*(F643&gt;0))=0,"",(01_Parametres!$B$4*IF(D643&gt;0,D643,0)+01_Parametres!$B$5*IF(E643&gt;0,E643,0)+01_Parametres!$B$6*IF(F643&gt;0,F643,0))/(01_Parametres!$B$4*(D643&gt;0)+01_Parametres!$B$5*(E643&gt;0)+01_Parametres!$B$6*(F643&gt;0))),IF(01_Parametres!$B$8=0,"",(01_Parametres!$B$4*D643+01_Parametres!$B$5*E643+01_Parametres!$B$6*F643)/01_Parametres!$B$8)))</x:f>
      </x:c>
      <x:c r="H643">
        <x:f>IFERROR(VLOOKUP(C643,02_Referentiels!$A$20:$D$99,3,FALSE),"")</x:f>
      </x:c>
      <x:c r="I643">
        <x:f>IFERROR(VLOOKUP(B643,02_Referentiels!$A$5:$C$16,2,FALSE),"")</x:f>
      </x:c>
      <x:c r="J643">
        <x:f>IF(A643="","",IF(OR(D643="",E643="",F643=""),1,IF(OR(D643&lt;0,D643&gt;3,E643&lt;0,E643&gt;3,F643&lt;0,F643&gt;3),1,0)))</x:f>
      </x:c>
      <x:c r="K643">
        <x:f>IF(A643="","",IF(G643="",1,0))</x:f>
      </x:c>
      <x:c r="L643">
        <x:f>IF(A643="","",IF(COUNTIFS($A$5:$A$2004,A643,$C$5:$C$2004,C643)&gt;1,1,0))</x:f>
      </x:c>
    </x:row>
    <x:row r="644">
      <x:c r="A644" s="8" t="n"/>
      <x:c r="B644" s="8" t="n"/>
      <x:c r="C644" s="8" t="n"/>
      <x:c r="D644" s="8" t="n"/>
      <x:c r="E644" s="8" t="n"/>
      <x:c r="F644" s="8" t="n"/>
      <x:c r="G644" s="7">
        <x:f>IF(A644="","",IF(01_Parametres!$B$11="Oui",IF((01_Parametres!$B$4*(D644&gt;0)+01_Parametres!$B$5*(E644&gt;0)+01_Parametres!$B$6*(F644&gt;0))=0,"",(01_Parametres!$B$4*IF(D644&gt;0,D644,0)+01_Parametres!$B$5*IF(E644&gt;0,E644,0)+01_Parametres!$B$6*IF(F644&gt;0,F644,0))/(01_Parametres!$B$4*(D644&gt;0)+01_Parametres!$B$5*(E644&gt;0)+01_Parametres!$B$6*(F644&gt;0))),IF(01_Parametres!$B$8=0,"",(01_Parametres!$B$4*D644+01_Parametres!$B$5*E644+01_Parametres!$B$6*F644)/01_Parametres!$B$8)))</x:f>
      </x:c>
      <x:c r="H644">
        <x:f>IFERROR(VLOOKUP(C644,02_Referentiels!$A$20:$D$99,3,FALSE),"")</x:f>
      </x:c>
      <x:c r="I644">
        <x:f>IFERROR(VLOOKUP(B644,02_Referentiels!$A$5:$C$16,2,FALSE),"")</x:f>
      </x:c>
      <x:c r="J644">
        <x:f>IF(A644="","",IF(OR(D644="",E644="",F644=""),1,IF(OR(D644&lt;0,D644&gt;3,E644&lt;0,E644&gt;3,F644&lt;0,F644&gt;3),1,0)))</x:f>
      </x:c>
      <x:c r="K644">
        <x:f>IF(A644="","",IF(G644="",1,0))</x:f>
      </x:c>
      <x:c r="L644">
        <x:f>IF(A644="","",IF(COUNTIFS($A$5:$A$2004,A644,$C$5:$C$2004,C644)&gt;1,1,0))</x:f>
      </x:c>
    </x:row>
    <x:row r="645">
      <x:c r="A645" s="8" t="n"/>
      <x:c r="B645" s="8" t="n"/>
      <x:c r="C645" s="8" t="n"/>
      <x:c r="D645" s="8" t="n"/>
      <x:c r="E645" s="8" t="n"/>
      <x:c r="F645" s="8" t="n"/>
      <x:c r="G645" s="7">
        <x:f>IF(A645="","",IF(01_Parametres!$B$11="Oui",IF((01_Parametres!$B$4*(D645&gt;0)+01_Parametres!$B$5*(E645&gt;0)+01_Parametres!$B$6*(F645&gt;0))=0,"",(01_Parametres!$B$4*IF(D645&gt;0,D645,0)+01_Parametres!$B$5*IF(E645&gt;0,E645,0)+01_Parametres!$B$6*IF(F645&gt;0,F645,0))/(01_Parametres!$B$4*(D645&gt;0)+01_Parametres!$B$5*(E645&gt;0)+01_Parametres!$B$6*(F645&gt;0))),IF(01_Parametres!$B$8=0,"",(01_Parametres!$B$4*D645+01_Parametres!$B$5*E645+01_Parametres!$B$6*F645)/01_Parametres!$B$8)))</x:f>
      </x:c>
      <x:c r="H645">
        <x:f>IFERROR(VLOOKUP(C645,02_Referentiels!$A$20:$D$99,3,FALSE),"")</x:f>
      </x:c>
      <x:c r="I645">
        <x:f>IFERROR(VLOOKUP(B645,02_Referentiels!$A$5:$C$16,2,FALSE),"")</x:f>
      </x:c>
      <x:c r="J645">
        <x:f>IF(A645="","",IF(OR(D645="",E645="",F645=""),1,IF(OR(D645&lt;0,D645&gt;3,E645&lt;0,E645&gt;3,F645&lt;0,F645&gt;3),1,0)))</x:f>
      </x:c>
      <x:c r="K645">
        <x:f>IF(A645="","",IF(G645="",1,0))</x:f>
      </x:c>
      <x:c r="L645">
        <x:f>IF(A645="","",IF(COUNTIFS($A$5:$A$2004,A645,$C$5:$C$2004,C645)&gt;1,1,0))</x:f>
      </x:c>
    </x:row>
    <x:row r="646">
      <x:c r="A646" s="8" t="n"/>
      <x:c r="B646" s="8" t="n"/>
      <x:c r="C646" s="8" t="n"/>
      <x:c r="D646" s="8" t="n"/>
      <x:c r="E646" s="8" t="n"/>
      <x:c r="F646" s="8" t="n"/>
      <x:c r="G646" s="7">
        <x:f>IF(A646="","",IF(01_Parametres!$B$11="Oui",IF((01_Parametres!$B$4*(D646&gt;0)+01_Parametres!$B$5*(E646&gt;0)+01_Parametres!$B$6*(F646&gt;0))=0,"",(01_Parametres!$B$4*IF(D646&gt;0,D646,0)+01_Parametres!$B$5*IF(E646&gt;0,E646,0)+01_Parametres!$B$6*IF(F646&gt;0,F646,0))/(01_Parametres!$B$4*(D646&gt;0)+01_Parametres!$B$5*(E646&gt;0)+01_Parametres!$B$6*(F646&gt;0))),IF(01_Parametres!$B$8=0,"",(01_Parametres!$B$4*D646+01_Parametres!$B$5*E646+01_Parametres!$B$6*F646)/01_Parametres!$B$8)))</x:f>
      </x:c>
      <x:c r="H646">
        <x:f>IFERROR(VLOOKUP(C646,02_Referentiels!$A$20:$D$99,3,FALSE),"")</x:f>
      </x:c>
      <x:c r="I646">
        <x:f>IFERROR(VLOOKUP(B646,02_Referentiels!$A$5:$C$16,2,FALSE),"")</x:f>
      </x:c>
      <x:c r="J646">
        <x:f>IF(A646="","",IF(OR(D646="",E646="",F646=""),1,IF(OR(D646&lt;0,D646&gt;3,E646&lt;0,E646&gt;3,F646&lt;0,F646&gt;3),1,0)))</x:f>
      </x:c>
      <x:c r="K646">
        <x:f>IF(A646="","",IF(G646="",1,0))</x:f>
      </x:c>
      <x:c r="L646">
        <x:f>IF(A646="","",IF(COUNTIFS($A$5:$A$2004,A646,$C$5:$C$2004,C646)&gt;1,1,0))</x:f>
      </x:c>
    </x:row>
    <x:row r="647">
      <x:c r="A647" s="8" t="n"/>
      <x:c r="B647" s="8" t="n"/>
      <x:c r="C647" s="8" t="n"/>
      <x:c r="D647" s="8" t="n"/>
      <x:c r="E647" s="8" t="n"/>
      <x:c r="F647" s="8" t="n"/>
      <x:c r="G647" s="7">
        <x:f>IF(A647="","",IF(01_Parametres!$B$11="Oui",IF((01_Parametres!$B$4*(D647&gt;0)+01_Parametres!$B$5*(E647&gt;0)+01_Parametres!$B$6*(F647&gt;0))=0,"",(01_Parametres!$B$4*IF(D647&gt;0,D647,0)+01_Parametres!$B$5*IF(E647&gt;0,E647,0)+01_Parametres!$B$6*IF(F647&gt;0,F647,0))/(01_Parametres!$B$4*(D647&gt;0)+01_Parametres!$B$5*(E647&gt;0)+01_Parametres!$B$6*(F647&gt;0))),IF(01_Parametres!$B$8=0,"",(01_Parametres!$B$4*D647+01_Parametres!$B$5*E647+01_Parametres!$B$6*F647)/01_Parametres!$B$8)))</x:f>
      </x:c>
      <x:c r="H647">
        <x:f>IFERROR(VLOOKUP(C647,02_Referentiels!$A$20:$D$99,3,FALSE),"")</x:f>
      </x:c>
      <x:c r="I647">
        <x:f>IFERROR(VLOOKUP(B647,02_Referentiels!$A$5:$C$16,2,FALSE),"")</x:f>
      </x:c>
      <x:c r="J647">
        <x:f>IF(A647="","",IF(OR(D647="",E647="",F647=""),1,IF(OR(D647&lt;0,D647&gt;3,E647&lt;0,E647&gt;3,F647&lt;0,F647&gt;3),1,0)))</x:f>
      </x:c>
      <x:c r="K647">
        <x:f>IF(A647="","",IF(G647="",1,0))</x:f>
      </x:c>
      <x:c r="L647">
        <x:f>IF(A647="","",IF(COUNTIFS($A$5:$A$2004,A647,$C$5:$C$2004,C647)&gt;1,1,0))</x:f>
      </x:c>
    </x:row>
    <x:row r="648">
      <x:c r="A648" s="8" t="n"/>
      <x:c r="B648" s="8" t="n"/>
      <x:c r="C648" s="8" t="n"/>
      <x:c r="D648" s="8" t="n"/>
      <x:c r="E648" s="8" t="n"/>
      <x:c r="F648" s="8" t="n"/>
      <x:c r="G648" s="7">
        <x:f>IF(A648="","",IF(01_Parametres!$B$11="Oui",IF((01_Parametres!$B$4*(D648&gt;0)+01_Parametres!$B$5*(E648&gt;0)+01_Parametres!$B$6*(F648&gt;0))=0,"",(01_Parametres!$B$4*IF(D648&gt;0,D648,0)+01_Parametres!$B$5*IF(E648&gt;0,E648,0)+01_Parametres!$B$6*IF(F648&gt;0,F648,0))/(01_Parametres!$B$4*(D648&gt;0)+01_Parametres!$B$5*(E648&gt;0)+01_Parametres!$B$6*(F648&gt;0))),IF(01_Parametres!$B$8=0,"",(01_Parametres!$B$4*D648+01_Parametres!$B$5*E648+01_Parametres!$B$6*F648)/01_Parametres!$B$8)))</x:f>
      </x:c>
      <x:c r="H648">
        <x:f>IFERROR(VLOOKUP(C648,02_Referentiels!$A$20:$D$99,3,FALSE),"")</x:f>
      </x:c>
      <x:c r="I648">
        <x:f>IFERROR(VLOOKUP(B648,02_Referentiels!$A$5:$C$16,2,FALSE),"")</x:f>
      </x:c>
      <x:c r="J648">
        <x:f>IF(A648="","",IF(OR(D648="",E648="",F648=""),1,IF(OR(D648&lt;0,D648&gt;3,E648&lt;0,E648&gt;3,F648&lt;0,F648&gt;3),1,0)))</x:f>
      </x:c>
      <x:c r="K648">
        <x:f>IF(A648="","",IF(G648="",1,0))</x:f>
      </x:c>
      <x:c r="L648">
        <x:f>IF(A648="","",IF(COUNTIFS($A$5:$A$2004,A648,$C$5:$C$2004,C648)&gt;1,1,0))</x:f>
      </x:c>
    </x:row>
    <x:row r="649">
      <x:c r="A649" s="8" t="n"/>
      <x:c r="B649" s="8" t="n"/>
      <x:c r="C649" s="8" t="n"/>
      <x:c r="D649" s="8" t="n"/>
      <x:c r="E649" s="8" t="n"/>
      <x:c r="F649" s="8" t="n"/>
      <x:c r="G649" s="7">
        <x:f>IF(A649="","",IF(01_Parametres!$B$11="Oui",IF((01_Parametres!$B$4*(D649&gt;0)+01_Parametres!$B$5*(E649&gt;0)+01_Parametres!$B$6*(F649&gt;0))=0,"",(01_Parametres!$B$4*IF(D649&gt;0,D649,0)+01_Parametres!$B$5*IF(E649&gt;0,E649,0)+01_Parametres!$B$6*IF(F649&gt;0,F649,0))/(01_Parametres!$B$4*(D649&gt;0)+01_Parametres!$B$5*(E649&gt;0)+01_Parametres!$B$6*(F649&gt;0))),IF(01_Parametres!$B$8=0,"",(01_Parametres!$B$4*D649+01_Parametres!$B$5*E649+01_Parametres!$B$6*F649)/01_Parametres!$B$8)))</x:f>
      </x:c>
      <x:c r="H649">
        <x:f>IFERROR(VLOOKUP(C649,02_Referentiels!$A$20:$D$99,3,FALSE),"")</x:f>
      </x:c>
      <x:c r="I649">
        <x:f>IFERROR(VLOOKUP(B649,02_Referentiels!$A$5:$C$16,2,FALSE),"")</x:f>
      </x:c>
      <x:c r="J649">
        <x:f>IF(A649="","",IF(OR(D649="",E649="",F649=""),1,IF(OR(D649&lt;0,D649&gt;3,E649&lt;0,E649&gt;3,F649&lt;0,F649&gt;3),1,0)))</x:f>
      </x:c>
      <x:c r="K649">
        <x:f>IF(A649="","",IF(G649="",1,0))</x:f>
      </x:c>
      <x:c r="L649">
        <x:f>IF(A649="","",IF(COUNTIFS($A$5:$A$2004,A649,$C$5:$C$2004,C649)&gt;1,1,0))</x:f>
      </x:c>
    </x:row>
    <x:row r="650">
      <x:c r="A650" s="8" t="n"/>
      <x:c r="B650" s="8" t="n"/>
      <x:c r="C650" s="8" t="n"/>
      <x:c r="D650" s="8" t="n"/>
      <x:c r="E650" s="8" t="n"/>
      <x:c r="F650" s="8" t="n"/>
      <x:c r="G650" s="7">
        <x:f>IF(A650="","",IF(01_Parametres!$B$11="Oui",IF((01_Parametres!$B$4*(D650&gt;0)+01_Parametres!$B$5*(E650&gt;0)+01_Parametres!$B$6*(F650&gt;0))=0,"",(01_Parametres!$B$4*IF(D650&gt;0,D650,0)+01_Parametres!$B$5*IF(E650&gt;0,E650,0)+01_Parametres!$B$6*IF(F650&gt;0,F650,0))/(01_Parametres!$B$4*(D650&gt;0)+01_Parametres!$B$5*(E650&gt;0)+01_Parametres!$B$6*(F650&gt;0))),IF(01_Parametres!$B$8=0,"",(01_Parametres!$B$4*D650+01_Parametres!$B$5*E650+01_Parametres!$B$6*F650)/01_Parametres!$B$8)))</x:f>
      </x:c>
      <x:c r="H650">
        <x:f>IFERROR(VLOOKUP(C650,02_Referentiels!$A$20:$D$99,3,FALSE),"")</x:f>
      </x:c>
      <x:c r="I650">
        <x:f>IFERROR(VLOOKUP(B650,02_Referentiels!$A$5:$C$16,2,FALSE),"")</x:f>
      </x:c>
      <x:c r="J650">
        <x:f>IF(A650="","",IF(OR(D650="",E650="",F650=""),1,IF(OR(D650&lt;0,D650&gt;3,E650&lt;0,E650&gt;3,F650&lt;0,F650&gt;3),1,0)))</x:f>
      </x:c>
      <x:c r="K650">
        <x:f>IF(A650="","",IF(G650="",1,0))</x:f>
      </x:c>
      <x:c r="L650">
        <x:f>IF(A650="","",IF(COUNTIFS($A$5:$A$2004,A650,$C$5:$C$2004,C650)&gt;1,1,0))</x:f>
      </x:c>
    </x:row>
    <x:row r="651">
      <x:c r="A651" s="8" t="n"/>
      <x:c r="B651" s="8" t="n"/>
      <x:c r="C651" s="8" t="n"/>
      <x:c r="D651" s="8" t="n"/>
      <x:c r="E651" s="8" t="n"/>
      <x:c r="F651" s="8" t="n"/>
      <x:c r="G651" s="7">
        <x:f>IF(A651="","",IF(01_Parametres!$B$11="Oui",IF((01_Parametres!$B$4*(D651&gt;0)+01_Parametres!$B$5*(E651&gt;0)+01_Parametres!$B$6*(F651&gt;0))=0,"",(01_Parametres!$B$4*IF(D651&gt;0,D651,0)+01_Parametres!$B$5*IF(E651&gt;0,E651,0)+01_Parametres!$B$6*IF(F651&gt;0,F651,0))/(01_Parametres!$B$4*(D651&gt;0)+01_Parametres!$B$5*(E651&gt;0)+01_Parametres!$B$6*(F651&gt;0))),IF(01_Parametres!$B$8=0,"",(01_Parametres!$B$4*D651+01_Parametres!$B$5*E651+01_Parametres!$B$6*F651)/01_Parametres!$B$8)))</x:f>
      </x:c>
      <x:c r="H651">
        <x:f>IFERROR(VLOOKUP(C651,02_Referentiels!$A$20:$D$99,3,FALSE),"")</x:f>
      </x:c>
      <x:c r="I651">
        <x:f>IFERROR(VLOOKUP(B651,02_Referentiels!$A$5:$C$16,2,FALSE),"")</x:f>
      </x:c>
      <x:c r="J651">
        <x:f>IF(A651="","",IF(OR(D651="",E651="",F651=""),1,IF(OR(D651&lt;0,D651&gt;3,E651&lt;0,E651&gt;3,F651&lt;0,F651&gt;3),1,0)))</x:f>
      </x:c>
      <x:c r="K651">
        <x:f>IF(A651="","",IF(G651="",1,0))</x:f>
      </x:c>
      <x:c r="L651">
        <x:f>IF(A651="","",IF(COUNTIFS($A$5:$A$2004,A651,$C$5:$C$2004,C651)&gt;1,1,0))</x:f>
      </x:c>
    </x:row>
    <x:row r="652">
      <x:c r="A652" s="8" t="n"/>
      <x:c r="B652" s="8" t="n"/>
      <x:c r="C652" s="8" t="n"/>
      <x:c r="D652" s="8" t="n"/>
      <x:c r="E652" s="8" t="n"/>
      <x:c r="F652" s="8" t="n"/>
      <x:c r="G652" s="7">
        <x:f>IF(A652="","",IF(01_Parametres!$B$11="Oui",IF((01_Parametres!$B$4*(D652&gt;0)+01_Parametres!$B$5*(E652&gt;0)+01_Parametres!$B$6*(F652&gt;0))=0,"",(01_Parametres!$B$4*IF(D652&gt;0,D652,0)+01_Parametres!$B$5*IF(E652&gt;0,E652,0)+01_Parametres!$B$6*IF(F652&gt;0,F652,0))/(01_Parametres!$B$4*(D652&gt;0)+01_Parametres!$B$5*(E652&gt;0)+01_Parametres!$B$6*(F652&gt;0))),IF(01_Parametres!$B$8=0,"",(01_Parametres!$B$4*D652+01_Parametres!$B$5*E652+01_Parametres!$B$6*F652)/01_Parametres!$B$8)))</x:f>
      </x:c>
      <x:c r="H652">
        <x:f>IFERROR(VLOOKUP(C652,02_Referentiels!$A$20:$D$99,3,FALSE),"")</x:f>
      </x:c>
      <x:c r="I652">
        <x:f>IFERROR(VLOOKUP(B652,02_Referentiels!$A$5:$C$16,2,FALSE),"")</x:f>
      </x:c>
      <x:c r="J652">
        <x:f>IF(A652="","",IF(OR(D652="",E652="",F652=""),1,IF(OR(D652&lt;0,D652&gt;3,E652&lt;0,E652&gt;3,F652&lt;0,F652&gt;3),1,0)))</x:f>
      </x:c>
      <x:c r="K652">
        <x:f>IF(A652="","",IF(G652="",1,0))</x:f>
      </x:c>
      <x:c r="L652">
        <x:f>IF(A652="","",IF(COUNTIFS($A$5:$A$2004,A652,$C$5:$C$2004,C652)&gt;1,1,0))</x:f>
      </x:c>
    </x:row>
    <x:row r="653">
      <x:c r="A653" s="8" t="n"/>
      <x:c r="B653" s="8" t="n"/>
      <x:c r="C653" s="8" t="n"/>
      <x:c r="D653" s="8" t="n"/>
      <x:c r="E653" s="8" t="n"/>
      <x:c r="F653" s="8" t="n"/>
      <x:c r="G653" s="7">
        <x:f>IF(A653="","",IF(01_Parametres!$B$11="Oui",IF((01_Parametres!$B$4*(D653&gt;0)+01_Parametres!$B$5*(E653&gt;0)+01_Parametres!$B$6*(F653&gt;0))=0,"",(01_Parametres!$B$4*IF(D653&gt;0,D653,0)+01_Parametres!$B$5*IF(E653&gt;0,E653,0)+01_Parametres!$B$6*IF(F653&gt;0,F653,0))/(01_Parametres!$B$4*(D653&gt;0)+01_Parametres!$B$5*(E653&gt;0)+01_Parametres!$B$6*(F653&gt;0))),IF(01_Parametres!$B$8=0,"",(01_Parametres!$B$4*D653+01_Parametres!$B$5*E653+01_Parametres!$B$6*F653)/01_Parametres!$B$8)))</x:f>
      </x:c>
      <x:c r="H653">
        <x:f>IFERROR(VLOOKUP(C653,02_Referentiels!$A$20:$D$99,3,FALSE),"")</x:f>
      </x:c>
      <x:c r="I653">
        <x:f>IFERROR(VLOOKUP(B653,02_Referentiels!$A$5:$C$16,2,FALSE),"")</x:f>
      </x:c>
      <x:c r="J653">
        <x:f>IF(A653="","",IF(OR(D653="",E653="",F653=""),1,IF(OR(D653&lt;0,D653&gt;3,E653&lt;0,E653&gt;3,F653&lt;0,F653&gt;3),1,0)))</x:f>
      </x:c>
      <x:c r="K653">
        <x:f>IF(A653="","",IF(G653="",1,0))</x:f>
      </x:c>
      <x:c r="L653">
        <x:f>IF(A653="","",IF(COUNTIFS($A$5:$A$2004,A653,$C$5:$C$2004,C653)&gt;1,1,0))</x:f>
      </x:c>
    </x:row>
    <x:row r="654">
      <x:c r="A654" s="8" t="n"/>
      <x:c r="B654" s="8" t="n"/>
      <x:c r="C654" s="8" t="n"/>
      <x:c r="D654" s="8" t="n"/>
      <x:c r="E654" s="8" t="n"/>
      <x:c r="F654" s="8" t="n"/>
      <x:c r="G654" s="7">
        <x:f>IF(A654="","",IF(01_Parametres!$B$11="Oui",IF((01_Parametres!$B$4*(D654&gt;0)+01_Parametres!$B$5*(E654&gt;0)+01_Parametres!$B$6*(F654&gt;0))=0,"",(01_Parametres!$B$4*IF(D654&gt;0,D654,0)+01_Parametres!$B$5*IF(E654&gt;0,E654,0)+01_Parametres!$B$6*IF(F654&gt;0,F654,0))/(01_Parametres!$B$4*(D654&gt;0)+01_Parametres!$B$5*(E654&gt;0)+01_Parametres!$B$6*(F654&gt;0))),IF(01_Parametres!$B$8=0,"",(01_Parametres!$B$4*D654+01_Parametres!$B$5*E654+01_Parametres!$B$6*F654)/01_Parametres!$B$8)))</x:f>
      </x:c>
      <x:c r="H654">
        <x:f>IFERROR(VLOOKUP(C654,02_Referentiels!$A$20:$D$99,3,FALSE),"")</x:f>
      </x:c>
      <x:c r="I654">
        <x:f>IFERROR(VLOOKUP(B654,02_Referentiels!$A$5:$C$16,2,FALSE),"")</x:f>
      </x:c>
      <x:c r="J654">
        <x:f>IF(A654="","",IF(OR(D654="",E654="",F654=""),1,IF(OR(D654&lt;0,D654&gt;3,E654&lt;0,E654&gt;3,F654&lt;0,F654&gt;3),1,0)))</x:f>
      </x:c>
      <x:c r="K654">
        <x:f>IF(A654="","",IF(G654="",1,0))</x:f>
      </x:c>
      <x:c r="L654">
        <x:f>IF(A654="","",IF(COUNTIFS($A$5:$A$2004,A654,$C$5:$C$2004,C654)&gt;1,1,0))</x:f>
      </x:c>
    </x:row>
    <x:row r="655">
      <x:c r="A655" s="8" t="n"/>
      <x:c r="B655" s="8" t="n"/>
      <x:c r="C655" s="8" t="n"/>
      <x:c r="D655" s="8" t="n"/>
      <x:c r="E655" s="8" t="n"/>
      <x:c r="F655" s="8" t="n"/>
      <x:c r="G655" s="7">
        <x:f>IF(A655="","",IF(01_Parametres!$B$11="Oui",IF((01_Parametres!$B$4*(D655&gt;0)+01_Parametres!$B$5*(E655&gt;0)+01_Parametres!$B$6*(F655&gt;0))=0,"",(01_Parametres!$B$4*IF(D655&gt;0,D655,0)+01_Parametres!$B$5*IF(E655&gt;0,E655,0)+01_Parametres!$B$6*IF(F655&gt;0,F655,0))/(01_Parametres!$B$4*(D655&gt;0)+01_Parametres!$B$5*(E655&gt;0)+01_Parametres!$B$6*(F655&gt;0))),IF(01_Parametres!$B$8=0,"",(01_Parametres!$B$4*D655+01_Parametres!$B$5*E655+01_Parametres!$B$6*F655)/01_Parametres!$B$8)))</x:f>
      </x:c>
      <x:c r="H655">
        <x:f>IFERROR(VLOOKUP(C655,02_Referentiels!$A$20:$D$99,3,FALSE),"")</x:f>
      </x:c>
      <x:c r="I655">
        <x:f>IFERROR(VLOOKUP(B655,02_Referentiels!$A$5:$C$16,2,FALSE),"")</x:f>
      </x:c>
      <x:c r="J655">
        <x:f>IF(A655="","",IF(OR(D655="",E655="",F655=""),1,IF(OR(D655&lt;0,D655&gt;3,E655&lt;0,E655&gt;3,F655&lt;0,F655&gt;3),1,0)))</x:f>
      </x:c>
      <x:c r="K655">
        <x:f>IF(A655="","",IF(G655="",1,0))</x:f>
      </x:c>
      <x:c r="L655">
        <x:f>IF(A655="","",IF(COUNTIFS($A$5:$A$2004,A655,$C$5:$C$2004,C655)&gt;1,1,0))</x:f>
      </x:c>
    </x:row>
    <x:row r="656">
      <x:c r="A656" s="8" t="n"/>
      <x:c r="B656" s="8" t="n"/>
      <x:c r="C656" s="8" t="n"/>
      <x:c r="D656" s="8" t="n"/>
      <x:c r="E656" s="8" t="n"/>
      <x:c r="F656" s="8" t="n"/>
      <x:c r="G656" s="7">
        <x:f>IF(A656="","",IF(01_Parametres!$B$11="Oui",IF((01_Parametres!$B$4*(D656&gt;0)+01_Parametres!$B$5*(E656&gt;0)+01_Parametres!$B$6*(F656&gt;0))=0,"",(01_Parametres!$B$4*IF(D656&gt;0,D656,0)+01_Parametres!$B$5*IF(E656&gt;0,E656,0)+01_Parametres!$B$6*IF(F656&gt;0,F656,0))/(01_Parametres!$B$4*(D656&gt;0)+01_Parametres!$B$5*(E656&gt;0)+01_Parametres!$B$6*(F656&gt;0))),IF(01_Parametres!$B$8=0,"",(01_Parametres!$B$4*D656+01_Parametres!$B$5*E656+01_Parametres!$B$6*F656)/01_Parametres!$B$8)))</x:f>
      </x:c>
      <x:c r="H656">
        <x:f>IFERROR(VLOOKUP(C656,02_Referentiels!$A$20:$D$99,3,FALSE),"")</x:f>
      </x:c>
      <x:c r="I656">
        <x:f>IFERROR(VLOOKUP(B656,02_Referentiels!$A$5:$C$16,2,FALSE),"")</x:f>
      </x:c>
      <x:c r="J656">
        <x:f>IF(A656="","",IF(OR(D656="",E656="",F656=""),1,IF(OR(D656&lt;0,D656&gt;3,E656&lt;0,E656&gt;3,F656&lt;0,F656&gt;3),1,0)))</x:f>
      </x:c>
      <x:c r="K656">
        <x:f>IF(A656="","",IF(G656="",1,0))</x:f>
      </x:c>
      <x:c r="L656">
        <x:f>IF(A656="","",IF(COUNTIFS($A$5:$A$2004,A656,$C$5:$C$2004,C656)&gt;1,1,0))</x:f>
      </x:c>
    </x:row>
    <x:row r="657">
      <x:c r="A657" s="8" t="n"/>
      <x:c r="B657" s="8" t="n"/>
      <x:c r="C657" s="8" t="n"/>
      <x:c r="D657" s="8" t="n"/>
      <x:c r="E657" s="8" t="n"/>
      <x:c r="F657" s="8" t="n"/>
      <x:c r="G657" s="7">
        <x:f>IF(A657="","",IF(01_Parametres!$B$11="Oui",IF((01_Parametres!$B$4*(D657&gt;0)+01_Parametres!$B$5*(E657&gt;0)+01_Parametres!$B$6*(F657&gt;0))=0,"",(01_Parametres!$B$4*IF(D657&gt;0,D657,0)+01_Parametres!$B$5*IF(E657&gt;0,E657,0)+01_Parametres!$B$6*IF(F657&gt;0,F657,0))/(01_Parametres!$B$4*(D657&gt;0)+01_Parametres!$B$5*(E657&gt;0)+01_Parametres!$B$6*(F657&gt;0))),IF(01_Parametres!$B$8=0,"",(01_Parametres!$B$4*D657+01_Parametres!$B$5*E657+01_Parametres!$B$6*F657)/01_Parametres!$B$8)))</x:f>
      </x:c>
      <x:c r="H657">
        <x:f>IFERROR(VLOOKUP(C657,02_Referentiels!$A$20:$D$99,3,FALSE),"")</x:f>
      </x:c>
      <x:c r="I657">
        <x:f>IFERROR(VLOOKUP(B657,02_Referentiels!$A$5:$C$16,2,FALSE),"")</x:f>
      </x:c>
      <x:c r="J657">
        <x:f>IF(A657="","",IF(OR(D657="",E657="",F657=""),1,IF(OR(D657&lt;0,D657&gt;3,E657&lt;0,E657&gt;3,F657&lt;0,F657&gt;3),1,0)))</x:f>
      </x:c>
      <x:c r="K657">
        <x:f>IF(A657="","",IF(G657="",1,0))</x:f>
      </x:c>
      <x:c r="L657">
        <x:f>IF(A657="","",IF(COUNTIFS($A$5:$A$2004,A657,$C$5:$C$2004,C657)&gt;1,1,0))</x:f>
      </x:c>
    </x:row>
    <x:row r="658">
      <x:c r="A658" s="8" t="n"/>
      <x:c r="B658" s="8" t="n"/>
      <x:c r="C658" s="8" t="n"/>
      <x:c r="D658" s="8" t="n"/>
      <x:c r="E658" s="8" t="n"/>
      <x:c r="F658" s="8" t="n"/>
      <x:c r="G658" s="7">
        <x:f>IF(A658="","",IF(01_Parametres!$B$11="Oui",IF((01_Parametres!$B$4*(D658&gt;0)+01_Parametres!$B$5*(E658&gt;0)+01_Parametres!$B$6*(F658&gt;0))=0,"",(01_Parametres!$B$4*IF(D658&gt;0,D658,0)+01_Parametres!$B$5*IF(E658&gt;0,E658,0)+01_Parametres!$B$6*IF(F658&gt;0,F658,0))/(01_Parametres!$B$4*(D658&gt;0)+01_Parametres!$B$5*(E658&gt;0)+01_Parametres!$B$6*(F658&gt;0))),IF(01_Parametres!$B$8=0,"",(01_Parametres!$B$4*D658+01_Parametres!$B$5*E658+01_Parametres!$B$6*F658)/01_Parametres!$B$8)))</x:f>
      </x:c>
      <x:c r="H658">
        <x:f>IFERROR(VLOOKUP(C658,02_Referentiels!$A$20:$D$99,3,FALSE),"")</x:f>
      </x:c>
      <x:c r="I658">
        <x:f>IFERROR(VLOOKUP(B658,02_Referentiels!$A$5:$C$16,2,FALSE),"")</x:f>
      </x:c>
      <x:c r="J658">
        <x:f>IF(A658="","",IF(OR(D658="",E658="",F658=""),1,IF(OR(D658&lt;0,D658&gt;3,E658&lt;0,E658&gt;3,F658&lt;0,F658&gt;3),1,0)))</x:f>
      </x:c>
      <x:c r="K658">
        <x:f>IF(A658="","",IF(G658="",1,0))</x:f>
      </x:c>
      <x:c r="L658">
        <x:f>IF(A658="","",IF(COUNTIFS($A$5:$A$2004,A658,$C$5:$C$2004,C658)&gt;1,1,0))</x:f>
      </x:c>
    </x:row>
    <x:row r="659">
      <x:c r="A659" s="8" t="n"/>
      <x:c r="B659" s="8" t="n"/>
      <x:c r="C659" s="8" t="n"/>
      <x:c r="D659" s="8" t="n"/>
      <x:c r="E659" s="8" t="n"/>
      <x:c r="F659" s="8" t="n"/>
      <x:c r="G659" s="7">
        <x:f>IF(A659="","",IF(01_Parametres!$B$11="Oui",IF((01_Parametres!$B$4*(D659&gt;0)+01_Parametres!$B$5*(E659&gt;0)+01_Parametres!$B$6*(F659&gt;0))=0,"",(01_Parametres!$B$4*IF(D659&gt;0,D659,0)+01_Parametres!$B$5*IF(E659&gt;0,E659,0)+01_Parametres!$B$6*IF(F659&gt;0,F659,0))/(01_Parametres!$B$4*(D659&gt;0)+01_Parametres!$B$5*(E659&gt;0)+01_Parametres!$B$6*(F659&gt;0))),IF(01_Parametres!$B$8=0,"",(01_Parametres!$B$4*D659+01_Parametres!$B$5*E659+01_Parametres!$B$6*F659)/01_Parametres!$B$8)))</x:f>
      </x:c>
      <x:c r="H659">
        <x:f>IFERROR(VLOOKUP(C659,02_Referentiels!$A$20:$D$99,3,FALSE),"")</x:f>
      </x:c>
      <x:c r="I659">
        <x:f>IFERROR(VLOOKUP(B659,02_Referentiels!$A$5:$C$16,2,FALSE),"")</x:f>
      </x:c>
      <x:c r="J659">
        <x:f>IF(A659="","",IF(OR(D659="",E659="",F659=""),1,IF(OR(D659&lt;0,D659&gt;3,E659&lt;0,E659&gt;3,F659&lt;0,F659&gt;3),1,0)))</x:f>
      </x:c>
      <x:c r="K659">
        <x:f>IF(A659="","",IF(G659="",1,0))</x:f>
      </x:c>
      <x:c r="L659">
        <x:f>IF(A659="","",IF(COUNTIFS($A$5:$A$2004,A659,$C$5:$C$2004,C659)&gt;1,1,0))</x:f>
      </x:c>
    </x:row>
    <x:row r="660">
      <x:c r="A660" s="8" t="n"/>
      <x:c r="B660" s="8" t="n"/>
      <x:c r="C660" s="8" t="n"/>
      <x:c r="D660" s="8" t="n"/>
      <x:c r="E660" s="8" t="n"/>
      <x:c r="F660" s="8" t="n"/>
      <x:c r="G660" s="7">
        <x:f>IF(A660="","",IF(01_Parametres!$B$11="Oui",IF((01_Parametres!$B$4*(D660&gt;0)+01_Parametres!$B$5*(E660&gt;0)+01_Parametres!$B$6*(F660&gt;0))=0,"",(01_Parametres!$B$4*IF(D660&gt;0,D660,0)+01_Parametres!$B$5*IF(E660&gt;0,E660,0)+01_Parametres!$B$6*IF(F660&gt;0,F660,0))/(01_Parametres!$B$4*(D660&gt;0)+01_Parametres!$B$5*(E660&gt;0)+01_Parametres!$B$6*(F660&gt;0))),IF(01_Parametres!$B$8=0,"",(01_Parametres!$B$4*D660+01_Parametres!$B$5*E660+01_Parametres!$B$6*F660)/01_Parametres!$B$8)))</x:f>
      </x:c>
      <x:c r="H660">
        <x:f>IFERROR(VLOOKUP(C660,02_Referentiels!$A$20:$D$99,3,FALSE),"")</x:f>
      </x:c>
      <x:c r="I660">
        <x:f>IFERROR(VLOOKUP(B660,02_Referentiels!$A$5:$C$16,2,FALSE),"")</x:f>
      </x:c>
      <x:c r="J660">
        <x:f>IF(A660="","",IF(OR(D660="",E660="",F660=""),1,IF(OR(D660&lt;0,D660&gt;3,E660&lt;0,E660&gt;3,F660&lt;0,F660&gt;3),1,0)))</x:f>
      </x:c>
      <x:c r="K660">
        <x:f>IF(A660="","",IF(G660="",1,0))</x:f>
      </x:c>
      <x:c r="L660">
        <x:f>IF(A660="","",IF(COUNTIFS($A$5:$A$2004,A660,$C$5:$C$2004,C660)&gt;1,1,0))</x:f>
      </x:c>
    </x:row>
    <x:row r="661">
      <x:c r="A661" s="8" t="n"/>
      <x:c r="B661" s="8" t="n"/>
      <x:c r="C661" s="8" t="n"/>
      <x:c r="D661" s="8" t="n"/>
      <x:c r="E661" s="8" t="n"/>
      <x:c r="F661" s="8" t="n"/>
      <x:c r="G661" s="7">
        <x:f>IF(A661="","",IF(01_Parametres!$B$11="Oui",IF((01_Parametres!$B$4*(D661&gt;0)+01_Parametres!$B$5*(E661&gt;0)+01_Parametres!$B$6*(F661&gt;0))=0,"",(01_Parametres!$B$4*IF(D661&gt;0,D661,0)+01_Parametres!$B$5*IF(E661&gt;0,E661,0)+01_Parametres!$B$6*IF(F661&gt;0,F661,0))/(01_Parametres!$B$4*(D661&gt;0)+01_Parametres!$B$5*(E661&gt;0)+01_Parametres!$B$6*(F661&gt;0))),IF(01_Parametres!$B$8=0,"",(01_Parametres!$B$4*D661+01_Parametres!$B$5*E661+01_Parametres!$B$6*F661)/01_Parametres!$B$8)))</x:f>
      </x:c>
      <x:c r="H661">
        <x:f>IFERROR(VLOOKUP(C661,02_Referentiels!$A$20:$D$99,3,FALSE),"")</x:f>
      </x:c>
      <x:c r="I661">
        <x:f>IFERROR(VLOOKUP(B661,02_Referentiels!$A$5:$C$16,2,FALSE),"")</x:f>
      </x:c>
      <x:c r="J661">
        <x:f>IF(A661="","",IF(OR(D661="",E661="",F661=""),1,IF(OR(D661&lt;0,D661&gt;3,E661&lt;0,E661&gt;3,F661&lt;0,F661&gt;3),1,0)))</x:f>
      </x:c>
      <x:c r="K661">
        <x:f>IF(A661="","",IF(G661="",1,0))</x:f>
      </x:c>
      <x:c r="L661">
        <x:f>IF(A661="","",IF(COUNTIFS($A$5:$A$2004,A661,$C$5:$C$2004,C661)&gt;1,1,0))</x:f>
      </x:c>
    </x:row>
    <x:row r="662">
      <x:c r="A662" s="8" t="n"/>
      <x:c r="B662" s="8" t="n"/>
      <x:c r="C662" s="8" t="n"/>
      <x:c r="D662" s="8" t="n"/>
      <x:c r="E662" s="8" t="n"/>
      <x:c r="F662" s="8" t="n"/>
      <x:c r="G662" s="7">
        <x:f>IF(A662="","",IF(01_Parametres!$B$11="Oui",IF((01_Parametres!$B$4*(D662&gt;0)+01_Parametres!$B$5*(E662&gt;0)+01_Parametres!$B$6*(F662&gt;0))=0,"",(01_Parametres!$B$4*IF(D662&gt;0,D662,0)+01_Parametres!$B$5*IF(E662&gt;0,E662,0)+01_Parametres!$B$6*IF(F662&gt;0,F662,0))/(01_Parametres!$B$4*(D662&gt;0)+01_Parametres!$B$5*(E662&gt;0)+01_Parametres!$B$6*(F662&gt;0))),IF(01_Parametres!$B$8=0,"",(01_Parametres!$B$4*D662+01_Parametres!$B$5*E662+01_Parametres!$B$6*F662)/01_Parametres!$B$8)))</x:f>
      </x:c>
      <x:c r="H662">
        <x:f>IFERROR(VLOOKUP(C662,02_Referentiels!$A$20:$D$99,3,FALSE),"")</x:f>
      </x:c>
      <x:c r="I662">
        <x:f>IFERROR(VLOOKUP(B662,02_Referentiels!$A$5:$C$16,2,FALSE),"")</x:f>
      </x:c>
      <x:c r="J662">
        <x:f>IF(A662="","",IF(OR(D662="",E662="",F662=""),1,IF(OR(D662&lt;0,D662&gt;3,E662&lt;0,E662&gt;3,F662&lt;0,F662&gt;3),1,0)))</x:f>
      </x:c>
      <x:c r="K662">
        <x:f>IF(A662="","",IF(G662="",1,0))</x:f>
      </x:c>
      <x:c r="L662">
        <x:f>IF(A662="","",IF(COUNTIFS($A$5:$A$2004,A662,$C$5:$C$2004,C662)&gt;1,1,0))</x:f>
      </x:c>
    </x:row>
    <x:row r="663">
      <x:c r="A663" s="8" t="n"/>
      <x:c r="B663" s="8" t="n"/>
      <x:c r="C663" s="8" t="n"/>
      <x:c r="D663" s="8" t="n"/>
      <x:c r="E663" s="8" t="n"/>
      <x:c r="F663" s="8" t="n"/>
      <x:c r="G663" s="7">
        <x:f>IF(A663="","",IF(01_Parametres!$B$11="Oui",IF((01_Parametres!$B$4*(D663&gt;0)+01_Parametres!$B$5*(E663&gt;0)+01_Parametres!$B$6*(F663&gt;0))=0,"",(01_Parametres!$B$4*IF(D663&gt;0,D663,0)+01_Parametres!$B$5*IF(E663&gt;0,E663,0)+01_Parametres!$B$6*IF(F663&gt;0,F663,0))/(01_Parametres!$B$4*(D663&gt;0)+01_Parametres!$B$5*(E663&gt;0)+01_Parametres!$B$6*(F663&gt;0))),IF(01_Parametres!$B$8=0,"",(01_Parametres!$B$4*D663+01_Parametres!$B$5*E663+01_Parametres!$B$6*F663)/01_Parametres!$B$8)))</x:f>
      </x:c>
      <x:c r="H663">
        <x:f>IFERROR(VLOOKUP(C663,02_Referentiels!$A$20:$D$99,3,FALSE),"")</x:f>
      </x:c>
      <x:c r="I663">
        <x:f>IFERROR(VLOOKUP(B663,02_Referentiels!$A$5:$C$16,2,FALSE),"")</x:f>
      </x:c>
      <x:c r="J663">
        <x:f>IF(A663="","",IF(OR(D663="",E663="",F663=""),1,IF(OR(D663&lt;0,D663&gt;3,E663&lt;0,E663&gt;3,F663&lt;0,F663&gt;3),1,0)))</x:f>
      </x:c>
      <x:c r="K663">
        <x:f>IF(A663="","",IF(G663="",1,0))</x:f>
      </x:c>
      <x:c r="L663">
        <x:f>IF(A663="","",IF(COUNTIFS($A$5:$A$2004,A663,$C$5:$C$2004,C663)&gt;1,1,0))</x:f>
      </x:c>
    </x:row>
    <x:row r="664">
      <x:c r="A664" s="8" t="n"/>
      <x:c r="B664" s="8" t="n"/>
      <x:c r="C664" s="8" t="n"/>
      <x:c r="D664" s="8" t="n"/>
      <x:c r="E664" s="8" t="n"/>
      <x:c r="F664" s="8" t="n"/>
      <x:c r="G664" s="7">
        <x:f>IF(A664="","",IF(01_Parametres!$B$11="Oui",IF((01_Parametres!$B$4*(D664&gt;0)+01_Parametres!$B$5*(E664&gt;0)+01_Parametres!$B$6*(F664&gt;0))=0,"",(01_Parametres!$B$4*IF(D664&gt;0,D664,0)+01_Parametres!$B$5*IF(E664&gt;0,E664,0)+01_Parametres!$B$6*IF(F664&gt;0,F664,0))/(01_Parametres!$B$4*(D664&gt;0)+01_Parametres!$B$5*(E664&gt;0)+01_Parametres!$B$6*(F664&gt;0))),IF(01_Parametres!$B$8=0,"",(01_Parametres!$B$4*D664+01_Parametres!$B$5*E664+01_Parametres!$B$6*F664)/01_Parametres!$B$8)))</x:f>
      </x:c>
      <x:c r="H664">
        <x:f>IFERROR(VLOOKUP(C664,02_Referentiels!$A$20:$D$99,3,FALSE),"")</x:f>
      </x:c>
      <x:c r="I664">
        <x:f>IFERROR(VLOOKUP(B664,02_Referentiels!$A$5:$C$16,2,FALSE),"")</x:f>
      </x:c>
      <x:c r="J664">
        <x:f>IF(A664="","",IF(OR(D664="",E664="",F664=""),1,IF(OR(D664&lt;0,D664&gt;3,E664&lt;0,E664&gt;3,F664&lt;0,F664&gt;3),1,0)))</x:f>
      </x:c>
      <x:c r="K664">
        <x:f>IF(A664="","",IF(G664="",1,0))</x:f>
      </x:c>
      <x:c r="L664">
        <x:f>IF(A664="","",IF(COUNTIFS($A$5:$A$2004,A664,$C$5:$C$2004,C664)&gt;1,1,0))</x:f>
      </x:c>
    </x:row>
    <x:row r="665">
      <x:c r="A665" s="8" t="n"/>
      <x:c r="B665" s="8" t="n"/>
      <x:c r="C665" s="8" t="n"/>
      <x:c r="D665" s="8" t="n"/>
      <x:c r="E665" s="8" t="n"/>
      <x:c r="F665" s="8" t="n"/>
      <x:c r="G665" s="7">
        <x:f>IF(A665="","",IF(01_Parametres!$B$11="Oui",IF((01_Parametres!$B$4*(D665&gt;0)+01_Parametres!$B$5*(E665&gt;0)+01_Parametres!$B$6*(F665&gt;0))=0,"",(01_Parametres!$B$4*IF(D665&gt;0,D665,0)+01_Parametres!$B$5*IF(E665&gt;0,E665,0)+01_Parametres!$B$6*IF(F665&gt;0,F665,0))/(01_Parametres!$B$4*(D665&gt;0)+01_Parametres!$B$5*(E665&gt;0)+01_Parametres!$B$6*(F665&gt;0))),IF(01_Parametres!$B$8=0,"",(01_Parametres!$B$4*D665+01_Parametres!$B$5*E665+01_Parametres!$B$6*F665)/01_Parametres!$B$8)))</x:f>
      </x:c>
      <x:c r="H665">
        <x:f>IFERROR(VLOOKUP(C665,02_Referentiels!$A$20:$D$99,3,FALSE),"")</x:f>
      </x:c>
      <x:c r="I665">
        <x:f>IFERROR(VLOOKUP(B665,02_Referentiels!$A$5:$C$16,2,FALSE),"")</x:f>
      </x:c>
      <x:c r="J665">
        <x:f>IF(A665="","",IF(OR(D665="",E665="",F665=""),1,IF(OR(D665&lt;0,D665&gt;3,E665&lt;0,E665&gt;3,F665&lt;0,F665&gt;3),1,0)))</x:f>
      </x:c>
      <x:c r="K665">
        <x:f>IF(A665="","",IF(G665="",1,0))</x:f>
      </x:c>
      <x:c r="L665">
        <x:f>IF(A665="","",IF(COUNTIFS($A$5:$A$2004,A665,$C$5:$C$2004,C665)&gt;1,1,0))</x:f>
      </x:c>
    </x:row>
    <x:row r="666">
      <x:c r="A666" s="8" t="n"/>
      <x:c r="B666" s="8" t="n"/>
      <x:c r="C666" s="8" t="n"/>
      <x:c r="D666" s="8" t="n"/>
      <x:c r="E666" s="8" t="n"/>
      <x:c r="F666" s="8" t="n"/>
      <x:c r="G666" s="7">
        <x:f>IF(A666="","",IF(01_Parametres!$B$11="Oui",IF((01_Parametres!$B$4*(D666&gt;0)+01_Parametres!$B$5*(E666&gt;0)+01_Parametres!$B$6*(F666&gt;0))=0,"",(01_Parametres!$B$4*IF(D666&gt;0,D666,0)+01_Parametres!$B$5*IF(E666&gt;0,E666,0)+01_Parametres!$B$6*IF(F666&gt;0,F666,0))/(01_Parametres!$B$4*(D666&gt;0)+01_Parametres!$B$5*(E666&gt;0)+01_Parametres!$B$6*(F666&gt;0))),IF(01_Parametres!$B$8=0,"",(01_Parametres!$B$4*D666+01_Parametres!$B$5*E666+01_Parametres!$B$6*F666)/01_Parametres!$B$8)))</x:f>
      </x:c>
      <x:c r="H666">
        <x:f>IFERROR(VLOOKUP(C666,02_Referentiels!$A$20:$D$99,3,FALSE),"")</x:f>
      </x:c>
      <x:c r="I666">
        <x:f>IFERROR(VLOOKUP(B666,02_Referentiels!$A$5:$C$16,2,FALSE),"")</x:f>
      </x:c>
      <x:c r="J666">
        <x:f>IF(A666="","",IF(OR(D666="",E666="",F666=""),1,IF(OR(D666&lt;0,D666&gt;3,E666&lt;0,E666&gt;3,F666&lt;0,F666&gt;3),1,0)))</x:f>
      </x:c>
      <x:c r="K666">
        <x:f>IF(A666="","",IF(G666="",1,0))</x:f>
      </x:c>
      <x:c r="L666">
        <x:f>IF(A666="","",IF(COUNTIFS($A$5:$A$2004,A666,$C$5:$C$2004,C666)&gt;1,1,0))</x:f>
      </x:c>
    </x:row>
    <x:row r="667">
      <x:c r="A667" s="8" t="n"/>
      <x:c r="B667" s="8" t="n"/>
      <x:c r="C667" s="8" t="n"/>
      <x:c r="D667" s="8" t="n"/>
      <x:c r="E667" s="8" t="n"/>
      <x:c r="F667" s="8" t="n"/>
      <x:c r="G667" s="7">
        <x:f>IF(A667="","",IF(01_Parametres!$B$11="Oui",IF((01_Parametres!$B$4*(D667&gt;0)+01_Parametres!$B$5*(E667&gt;0)+01_Parametres!$B$6*(F667&gt;0))=0,"",(01_Parametres!$B$4*IF(D667&gt;0,D667,0)+01_Parametres!$B$5*IF(E667&gt;0,E667,0)+01_Parametres!$B$6*IF(F667&gt;0,F667,0))/(01_Parametres!$B$4*(D667&gt;0)+01_Parametres!$B$5*(E667&gt;0)+01_Parametres!$B$6*(F667&gt;0))),IF(01_Parametres!$B$8=0,"",(01_Parametres!$B$4*D667+01_Parametres!$B$5*E667+01_Parametres!$B$6*F667)/01_Parametres!$B$8)))</x:f>
      </x:c>
      <x:c r="H667">
        <x:f>IFERROR(VLOOKUP(C667,02_Referentiels!$A$20:$D$99,3,FALSE),"")</x:f>
      </x:c>
      <x:c r="I667">
        <x:f>IFERROR(VLOOKUP(B667,02_Referentiels!$A$5:$C$16,2,FALSE),"")</x:f>
      </x:c>
      <x:c r="J667">
        <x:f>IF(A667="","",IF(OR(D667="",E667="",F667=""),1,IF(OR(D667&lt;0,D667&gt;3,E667&lt;0,E667&gt;3,F667&lt;0,F667&gt;3),1,0)))</x:f>
      </x:c>
      <x:c r="K667">
        <x:f>IF(A667="","",IF(G667="",1,0))</x:f>
      </x:c>
      <x:c r="L667">
        <x:f>IF(A667="","",IF(COUNTIFS($A$5:$A$2004,A667,$C$5:$C$2004,C667)&gt;1,1,0))</x:f>
      </x:c>
    </x:row>
    <x:row r="668">
      <x:c r="A668" s="8" t="n"/>
      <x:c r="B668" s="8" t="n"/>
      <x:c r="C668" s="8" t="n"/>
      <x:c r="D668" s="8" t="n"/>
      <x:c r="E668" s="8" t="n"/>
      <x:c r="F668" s="8" t="n"/>
      <x:c r="G668" s="7">
        <x:f>IF(A668="","",IF(01_Parametres!$B$11="Oui",IF((01_Parametres!$B$4*(D668&gt;0)+01_Parametres!$B$5*(E668&gt;0)+01_Parametres!$B$6*(F668&gt;0))=0,"",(01_Parametres!$B$4*IF(D668&gt;0,D668,0)+01_Parametres!$B$5*IF(E668&gt;0,E668,0)+01_Parametres!$B$6*IF(F668&gt;0,F668,0))/(01_Parametres!$B$4*(D668&gt;0)+01_Parametres!$B$5*(E668&gt;0)+01_Parametres!$B$6*(F668&gt;0))),IF(01_Parametres!$B$8=0,"",(01_Parametres!$B$4*D668+01_Parametres!$B$5*E668+01_Parametres!$B$6*F668)/01_Parametres!$B$8)))</x:f>
      </x:c>
      <x:c r="H668">
        <x:f>IFERROR(VLOOKUP(C668,02_Referentiels!$A$20:$D$99,3,FALSE),"")</x:f>
      </x:c>
      <x:c r="I668">
        <x:f>IFERROR(VLOOKUP(B668,02_Referentiels!$A$5:$C$16,2,FALSE),"")</x:f>
      </x:c>
      <x:c r="J668">
        <x:f>IF(A668="","",IF(OR(D668="",E668="",F668=""),1,IF(OR(D668&lt;0,D668&gt;3,E668&lt;0,E668&gt;3,F668&lt;0,F668&gt;3),1,0)))</x:f>
      </x:c>
      <x:c r="K668">
        <x:f>IF(A668="","",IF(G668="",1,0))</x:f>
      </x:c>
      <x:c r="L668">
        <x:f>IF(A668="","",IF(COUNTIFS($A$5:$A$2004,A668,$C$5:$C$2004,C668)&gt;1,1,0))</x:f>
      </x:c>
    </x:row>
    <x:row r="669">
      <x:c r="A669" s="8" t="n"/>
      <x:c r="B669" s="8" t="n"/>
      <x:c r="C669" s="8" t="n"/>
      <x:c r="D669" s="8" t="n"/>
      <x:c r="E669" s="8" t="n"/>
      <x:c r="F669" s="8" t="n"/>
      <x:c r="G669" s="7">
        <x:f>IF(A669="","",IF(01_Parametres!$B$11="Oui",IF((01_Parametres!$B$4*(D669&gt;0)+01_Parametres!$B$5*(E669&gt;0)+01_Parametres!$B$6*(F669&gt;0))=0,"",(01_Parametres!$B$4*IF(D669&gt;0,D669,0)+01_Parametres!$B$5*IF(E669&gt;0,E669,0)+01_Parametres!$B$6*IF(F669&gt;0,F669,0))/(01_Parametres!$B$4*(D669&gt;0)+01_Parametres!$B$5*(E669&gt;0)+01_Parametres!$B$6*(F669&gt;0))),IF(01_Parametres!$B$8=0,"",(01_Parametres!$B$4*D669+01_Parametres!$B$5*E669+01_Parametres!$B$6*F669)/01_Parametres!$B$8)))</x:f>
      </x:c>
      <x:c r="H669">
        <x:f>IFERROR(VLOOKUP(C669,02_Referentiels!$A$20:$D$99,3,FALSE),"")</x:f>
      </x:c>
      <x:c r="I669">
        <x:f>IFERROR(VLOOKUP(B669,02_Referentiels!$A$5:$C$16,2,FALSE),"")</x:f>
      </x:c>
      <x:c r="J669">
        <x:f>IF(A669="","",IF(OR(D669="",E669="",F669=""),1,IF(OR(D669&lt;0,D669&gt;3,E669&lt;0,E669&gt;3,F669&lt;0,F669&gt;3),1,0)))</x:f>
      </x:c>
      <x:c r="K669">
        <x:f>IF(A669="","",IF(G669="",1,0))</x:f>
      </x:c>
      <x:c r="L669">
        <x:f>IF(A669="","",IF(COUNTIFS($A$5:$A$2004,A669,$C$5:$C$2004,C669)&gt;1,1,0))</x:f>
      </x:c>
    </x:row>
    <x:row r="670">
      <x:c r="A670" s="8" t="n"/>
      <x:c r="B670" s="8" t="n"/>
      <x:c r="C670" s="8" t="n"/>
      <x:c r="D670" s="8" t="n"/>
      <x:c r="E670" s="8" t="n"/>
      <x:c r="F670" s="8" t="n"/>
      <x:c r="G670" s="7">
        <x:f>IF(A670="","",IF(01_Parametres!$B$11="Oui",IF((01_Parametres!$B$4*(D670&gt;0)+01_Parametres!$B$5*(E670&gt;0)+01_Parametres!$B$6*(F670&gt;0))=0,"",(01_Parametres!$B$4*IF(D670&gt;0,D670,0)+01_Parametres!$B$5*IF(E670&gt;0,E670,0)+01_Parametres!$B$6*IF(F670&gt;0,F670,0))/(01_Parametres!$B$4*(D670&gt;0)+01_Parametres!$B$5*(E670&gt;0)+01_Parametres!$B$6*(F670&gt;0))),IF(01_Parametres!$B$8=0,"",(01_Parametres!$B$4*D670+01_Parametres!$B$5*E670+01_Parametres!$B$6*F670)/01_Parametres!$B$8)))</x:f>
      </x:c>
      <x:c r="H670">
        <x:f>IFERROR(VLOOKUP(C670,02_Referentiels!$A$20:$D$99,3,FALSE),"")</x:f>
      </x:c>
      <x:c r="I670">
        <x:f>IFERROR(VLOOKUP(B670,02_Referentiels!$A$5:$C$16,2,FALSE),"")</x:f>
      </x:c>
      <x:c r="J670">
        <x:f>IF(A670="","",IF(OR(D670="",E670="",F670=""),1,IF(OR(D670&lt;0,D670&gt;3,E670&lt;0,E670&gt;3,F670&lt;0,F670&gt;3),1,0)))</x:f>
      </x:c>
      <x:c r="K670">
        <x:f>IF(A670="","",IF(G670="",1,0))</x:f>
      </x:c>
      <x:c r="L670">
        <x:f>IF(A670="","",IF(COUNTIFS($A$5:$A$2004,A670,$C$5:$C$2004,C670)&gt;1,1,0))</x:f>
      </x:c>
    </x:row>
    <x:row r="671">
      <x:c r="A671" s="8" t="n"/>
      <x:c r="B671" s="8" t="n"/>
      <x:c r="C671" s="8" t="n"/>
      <x:c r="D671" s="8" t="n"/>
      <x:c r="E671" s="8" t="n"/>
      <x:c r="F671" s="8" t="n"/>
      <x:c r="G671" s="7">
        <x:f>IF(A671="","",IF(01_Parametres!$B$11="Oui",IF((01_Parametres!$B$4*(D671&gt;0)+01_Parametres!$B$5*(E671&gt;0)+01_Parametres!$B$6*(F671&gt;0))=0,"",(01_Parametres!$B$4*IF(D671&gt;0,D671,0)+01_Parametres!$B$5*IF(E671&gt;0,E671,0)+01_Parametres!$B$6*IF(F671&gt;0,F671,0))/(01_Parametres!$B$4*(D671&gt;0)+01_Parametres!$B$5*(E671&gt;0)+01_Parametres!$B$6*(F671&gt;0))),IF(01_Parametres!$B$8=0,"",(01_Parametres!$B$4*D671+01_Parametres!$B$5*E671+01_Parametres!$B$6*F671)/01_Parametres!$B$8)))</x:f>
      </x:c>
      <x:c r="H671">
        <x:f>IFERROR(VLOOKUP(C671,02_Referentiels!$A$20:$D$99,3,FALSE),"")</x:f>
      </x:c>
      <x:c r="I671">
        <x:f>IFERROR(VLOOKUP(B671,02_Referentiels!$A$5:$C$16,2,FALSE),"")</x:f>
      </x:c>
      <x:c r="J671">
        <x:f>IF(A671="","",IF(OR(D671="",E671="",F671=""),1,IF(OR(D671&lt;0,D671&gt;3,E671&lt;0,E671&gt;3,F671&lt;0,F671&gt;3),1,0)))</x:f>
      </x:c>
      <x:c r="K671">
        <x:f>IF(A671="","",IF(G671="",1,0))</x:f>
      </x:c>
      <x:c r="L671">
        <x:f>IF(A671="","",IF(COUNTIFS($A$5:$A$2004,A671,$C$5:$C$2004,C671)&gt;1,1,0))</x:f>
      </x:c>
    </x:row>
    <x:row r="672">
      <x:c r="A672" s="8" t="n"/>
      <x:c r="B672" s="8" t="n"/>
      <x:c r="C672" s="8" t="n"/>
      <x:c r="D672" s="8" t="n"/>
      <x:c r="E672" s="8" t="n"/>
      <x:c r="F672" s="8" t="n"/>
      <x:c r="G672" s="7">
        <x:f>IF(A672="","",IF(01_Parametres!$B$11="Oui",IF((01_Parametres!$B$4*(D672&gt;0)+01_Parametres!$B$5*(E672&gt;0)+01_Parametres!$B$6*(F672&gt;0))=0,"",(01_Parametres!$B$4*IF(D672&gt;0,D672,0)+01_Parametres!$B$5*IF(E672&gt;0,E672,0)+01_Parametres!$B$6*IF(F672&gt;0,F672,0))/(01_Parametres!$B$4*(D672&gt;0)+01_Parametres!$B$5*(E672&gt;0)+01_Parametres!$B$6*(F672&gt;0))),IF(01_Parametres!$B$8=0,"",(01_Parametres!$B$4*D672+01_Parametres!$B$5*E672+01_Parametres!$B$6*F672)/01_Parametres!$B$8)))</x:f>
      </x:c>
      <x:c r="H672">
        <x:f>IFERROR(VLOOKUP(C672,02_Referentiels!$A$20:$D$99,3,FALSE),"")</x:f>
      </x:c>
      <x:c r="I672">
        <x:f>IFERROR(VLOOKUP(B672,02_Referentiels!$A$5:$C$16,2,FALSE),"")</x:f>
      </x:c>
      <x:c r="J672">
        <x:f>IF(A672="","",IF(OR(D672="",E672="",F672=""),1,IF(OR(D672&lt;0,D672&gt;3,E672&lt;0,E672&gt;3,F672&lt;0,F672&gt;3),1,0)))</x:f>
      </x:c>
      <x:c r="K672">
        <x:f>IF(A672="","",IF(G672="",1,0))</x:f>
      </x:c>
      <x:c r="L672">
        <x:f>IF(A672="","",IF(COUNTIFS($A$5:$A$2004,A672,$C$5:$C$2004,C672)&gt;1,1,0))</x:f>
      </x:c>
    </x:row>
    <x:row r="673">
      <x:c r="A673" s="8" t="n"/>
      <x:c r="B673" s="8" t="n"/>
      <x:c r="C673" s="8" t="n"/>
      <x:c r="D673" s="8" t="n"/>
      <x:c r="E673" s="8" t="n"/>
      <x:c r="F673" s="8" t="n"/>
      <x:c r="G673" s="7">
        <x:f>IF(A673="","",IF(01_Parametres!$B$11="Oui",IF((01_Parametres!$B$4*(D673&gt;0)+01_Parametres!$B$5*(E673&gt;0)+01_Parametres!$B$6*(F673&gt;0))=0,"",(01_Parametres!$B$4*IF(D673&gt;0,D673,0)+01_Parametres!$B$5*IF(E673&gt;0,E673,0)+01_Parametres!$B$6*IF(F673&gt;0,F673,0))/(01_Parametres!$B$4*(D673&gt;0)+01_Parametres!$B$5*(E673&gt;0)+01_Parametres!$B$6*(F673&gt;0))),IF(01_Parametres!$B$8=0,"",(01_Parametres!$B$4*D673+01_Parametres!$B$5*E673+01_Parametres!$B$6*F673)/01_Parametres!$B$8)))</x:f>
      </x:c>
      <x:c r="H673">
        <x:f>IFERROR(VLOOKUP(C673,02_Referentiels!$A$20:$D$99,3,FALSE),"")</x:f>
      </x:c>
      <x:c r="I673">
        <x:f>IFERROR(VLOOKUP(B673,02_Referentiels!$A$5:$C$16,2,FALSE),"")</x:f>
      </x:c>
      <x:c r="J673">
        <x:f>IF(A673="","",IF(OR(D673="",E673="",F673=""),1,IF(OR(D673&lt;0,D673&gt;3,E673&lt;0,E673&gt;3,F673&lt;0,F673&gt;3),1,0)))</x:f>
      </x:c>
      <x:c r="K673">
        <x:f>IF(A673="","",IF(G673="",1,0))</x:f>
      </x:c>
      <x:c r="L673">
        <x:f>IF(A673="","",IF(COUNTIFS($A$5:$A$2004,A673,$C$5:$C$2004,C673)&gt;1,1,0))</x:f>
      </x:c>
    </x:row>
    <x:row r="674">
      <x:c r="A674" s="8" t="n"/>
      <x:c r="B674" s="8" t="n"/>
      <x:c r="C674" s="8" t="n"/>
      <x:c r="D674" s="8" t="n"/>
      <x:c r="E674" s="8" t="n"/>
      <x:c r="F674" s="8" t="n"/>
      <x:c r="G674" s="7">
        <x:f>IF(A674="","",IF(01_Parametres!$B$11="Oui",IF((01_Parametres!$B$4*(D674&gt;0)+01_Parametres!$B$5*(E674&gt;0)+01_Parametres!$B$6*(F674&gt;0))=0,"",(01_Parametres!$B$4*IF(D674&gt;0,D674,0)+01_Parametres!$B$5*IF(E674&gt;0,E674,0)+01_Parametres!$B$6*IF(F674&gt;0,F674,0))/(01_Parametres!$B$4*(D674&gt;0)+01_Parametres!$B$5*(E674&gt;0)+01_Parametres!$B$6*(F674&gt;0))),IF(01_Parametres!$B$8=0,"",(01_Parametres!$B$4*D674+01_Parametres!$B$5*E674+01_Parametres!$B$6*F674)/01_Parametres!$B$8)))</x:f>
      </x:c>
      <x:c r="H674">
        <x:f>IFERROR(VLOOKUP(C674,02_Referentiels!$A$20:$D$99,3,FALSE),"")</x:f>
      </x:c>
      <x:c r="I674">
        <x:f>IFERROR(VLOOKUP(B674,02_Referentiels!$A$5:$C$16,2,FALSE),"")</x:f>
      </x:c>
      <x:c r="J674">
        <x:f>IF(A674="","",IF(OR(D674="",E674="",F674=""),1,IF(OR(D674&lt;0,D674&gt;3,E674&lt;0,E674&gt;3,F674&lt;0,F674&gt;3),1,0)))</x:f>
      </x:c>
      <x:c r="K674">
        <x:f>IF(A674="","",IF(G674="",1,0))</x:f>
      </x:c>
      <x:c r="L674">
        <x:f>IF(A674="","",IF(COUNTIFS($A$5:$A$2004,A674,$C$5:$C$2004,C674)&gt;1,1,0))</x:f>
      </x:c>
    </x:row>
    <x:row r="675">
      <x:c r="A675" s="8" t="n"/>
      <x:c r="B675" s="8" t="n"/>
      <x:c r="C675" s="8" t="n"/>
      <x:c r="D675" s="8" t="n"/>
      <x:c r="E675" s="8" t="n"/>
      <x:c r="F675" s="8" t="n"/>
      <x:c r="G675" s="7">
        <x:f>IF(A675="","",IF(01_Parametres!$B$11="Oui",IF((01_Parametres!$B$4*(D675&gt;0)+01_Parametres!$B$5*(E675&gt;0)+01_Parametres!$B$6*(F675&gt;0))=0,"",(01_Parametres!$B$4*IF(D675&gt;0,D675,0)+01_Parametres!$B$5*IF(E675&gt;0,E675,0)+01_Parametres!$B$6*IF(F675&gt;0,F675,0))/(01_Parametres!$B$4*(D675&gt;0)+01_Parametres!$B$5*(E675&gt;0)+01_Parametres!$B$6*(F675&gt;0))),IF(01_Parametres!$B$8=0,"",(01_Parametres!$B$4*D675+01_Parametres!$B$5*E675+01_Parametres!$B$6*F675)/01_Parametres!$B$8)))</x:f>
      </x:c>
      <x:c r="H675">
        <x:f>IFERROR(VLOOKUP(C675,02_Referentiels!$A$20:$D$99,3,FALSE),"")</x:f>
      </x:c>
      <x:c r="I675">
        <x:f>IFERROR(VLOOKUP(B675,02_Referentiels!$A$5:$C$16,2,FALSE),"")</x:f>
      </x:c>
      <x:c r="J675">
        <x:f>IF(A675="","",IF(OR(D675="",E675="",F675=""),1,IF(OR(D675&lt;0,D675&gt;3,E675&lt;0,E675&gt;3,F675&lt;0,F675&gt;3),1,0)))</x:f>
      </x:c>
      <x:c r="K675">
        <x:f>IF(A675="","",IF(G675="",1,0))</x:f>
      </x:c>
      <x:c r="L675">
        <x:f>IF(A675="","",IF(COUNTIFS($A$5:$A$2004,A675,$C$5:$C$2004,C675)&gt;1,1,0))</x:f>
      </x:c>
    </x:row>
    <x:row r="676">
      <x:c r="A676" s="8" t="n"/>
      <x:c r="B676" s="8" t="n"/>
      <x:c r="C676" s="8" t="n"/>
      <x:c r="D676" s="8" t="n"/>
      <x:c r="E676" s="8" t="n"/>
      <x:c r="F676" s="8" t="n"/>
      <x:c r="G676" s="7">
        <x:f>IF(A676="","",IF(01_Parametres!$B$11="Oui",IF((01_Parametres!$B$4*(D676&gt;0)+01_Parametres!$B$5*(E676&gt;0)+01_Parametres!$B$6*(F676&gt;0))=0,"",(01_Parametres!$B$4*IF(D676&gt;0,D676,0)+01_Parametres!$B$5*IF(E676&gt;0,E676,0)+01_Parametres!$B$6*IF(F676&gt;0,F676,0))/(01_Parametres!$B$4*(D676&gt;0)+01_Parametres!$B$5*(E676&gt;0)+01_Parametres!$B$6*(F676&gt;0))),IF(01_Parametres!$B$8=0,"",(01_Parametres!$B$4*D676+01_Parametres!$B$5*E676+01_Parametres!$B$6*F676)/01_Parametres!$B$8)))</x:f>
      </x:c>
      <x:c r="H676">
        <x:f>IFERROR(VLOOKUP(C676,02_Referentiels!$A$20:$D$99,3,FALSE),"")</x:f>
      </x:c>
      <x:c r="I676">
        <x:f>IFERROR(VLOOKUP(B676,02_Referentiels!$A$5:$C$16,2,FALSE),"")</x:f>
      </x:c>
      <x:c r="J676">
        <x:f>IF(A676="","",IF(OR(D676="",E676="",F676=""),1,IF(OR(D676&lt;0,D676&gt;3,E676&lt;0,E676&gt;3,F676&lt;0,F676&gt;3),1,0)))</x:f>
      </x:c>
      <x:c r="K676">
        <x:f>IF(A676="","",IF(G676="",1,0))</x:f>
      </x:c>
      <x:c r="L676">
        <x:f>IF(A676="","",IF(COUNTIFS($A$5:$A$2004,A676,$C$5:$C$2004,C676)&gt;1,1,0))</x:f>
      </x:c>
    </x:row>
    <x:row r="677">
      <x:c r="A677" s="8" t="n"/>
      <x:c r="B677" s="8" t="n"/>
      <x:c r="C677" s="8" t="n"/>
      <x:c r="D677" s="8" t="n"/>
      <x:c r="E677" s="8" t="n"/>
      <x:c r="F677" s="8" t="n"/>
      <x:c r="G677" s="7">
        <x:f>IF(A677="","",IF(01_Parametres!$B$11="Oui",IF((01_Parametres!$B$4*(D677&gt;0)+01_Parametres!$B$5*(E677&gt;0)+01_Parametres!$B$6*(F677&gt;0))=0,"",(01_Parametres!$B$4*IF(D677&gt;0,D677,0)+01_Parametres!$B$5*IF(E677&gt;0,E677,0)+01_Parametres!$B$6*IF(F677&gt;0,F677,0))/(01_Parametres!$B$4*(D677&gt;0)+01_Parametres!$B$5*(E677&gt;0)+01_Parametres!$B$6*(F677&gt;0))),IF(01_Parametres!$B$8=0,"",(01_Parametres!$B$4*D677+01_Parametres!$B$5*E677+01_Parametres!$B$6*F677)/01_Parametres!$B$8)))</x:f>
      </x:c>
      <x:c r="H677">
        <x:f>IFERROR(VLOOKUP(C677,02_Referentiels!$A$20:$D$99,3,FALSE),"")</x:f>
      </x:c>
      <x:c r="I677">
        <x:f>IFERROR(VLOOKUP(B677,02_Referentiels!$A$5:$C$16,2,FALSE),"")</x:f>
      </x:c>
      <x:c r="J677">
        <x:f>IF(A677="","",IF(OR(D677="",E677="",F677=""),1,IF(OR(D677&lt;0,D677&gt;3,E677&lt;0,E677&gt;3,F677&lt;0,F677&gt;3),1,0)))</x:f>
      </x:c>
      <x:c r="K677">
        <x:f>IF(A677="","",IF(G677="",1,0))</x:f>
      </x:c>
      <x:c r="L677">
        <x:f>IF(A677="","",IF(COUNTIFS($A$5:$A$2004,A677,$C$5:$C$2004,C677)&gt;1,1,0))</x:f>
      </x:c>
    </x:row>
    <x:row r="678">
      <x:c r="A678" s="8" t="n"/>
      <x:c r="B678" s="8" t="n"/>
      <x:c r="C678" s="8" t="n"/>
      <x:c r="D678" s="8" t="n"/>
      <x:c r="E678" s="8" t="n"/>
      <x:c r="F678" s="8" t="n"/>
      <x:c r="G678" s="7">
        <x:f>IF(A678="","",IF(01_Parametres!$B$11="Oui",IF((01_Parametres!$B$4*(D678&gt;0)+01_Parametres!$B$5*(E678&gt;0)+01_Parametres!$B$6*(F678&gt;0))=0,"",(01_Parametres!$B$4*IF(D678&gt;0,D678,0)+01_Parametres!$B$5*IF(E678&gt;0,E678,0)+01_Parametres!$B$6*IF(F678&gt;0,F678,0))/(01_Parametres!$B$4*(D678&gt;0)+01_Parametres!$B$5*(E678&gt;0)+01_Parametres!$B$6*(F678&gt;0))),IF(01_Parametres!$B$8=0,"",(01_Parametres!$B$4*D678+01_Parametres!$B$5*E678+01_Parametres!$B$6*F678)/01_Parametres!$B$8)))</x:f>
      </x:c>
      <x:c r="H678">
        <x:f>IFERROR(VLOOKUP(C678,02_Referentiels!$A$20:$D$99,3,FALSE),"")</x:f>
      </x:c>
      <x:c r="I678">
        <x:f>IFERROR(VLOOKUP(B678,02_Referentiels!$A$5:$C$16,2,FALSE),"")</x:f>
      </x:c>
      <x:c r="J678">
        <x:f>IF(A678="","",IF(OR(D678="",E678="",F678=""),1,IF(OR(D678&lt;0,D678&gt;3,E678&lt;0,E678&gt;3,F678&lt;0,F678&gt;3),1,0)))</x:f>
      </x:c>
      <x:c r="K678">
        <x:f>IF(A678="","",IF(G678="",1,0))</x:f>
      </x:c>
      <x:c r="L678">
        <x:f>IF(A678="","",IF(COUNTIFS($A$5:$A$2004,A678,$C$5:$C$2004,C678)&gt;1,1,0))</x:f>
      </x:c>
    </x:row>
    <x:row r="679">
      <x:c r="A679" s="8" t="n"/>
      <x:c r="B679" s="8" t="n"/>
      <x:c r="C679" s="8" t="n"/>
      <x:c r="D679" s="8" t="n"/>
      <x:c r="E679" s="8" t="n"/>
      <x:c r="F679" s="8" t="n"/>
      <x:c r="G679" s="7">
        <x:f>IF(A679="","",IF(01_Parametres!$B$11="Oui",IF((01_Parametres!$B$4*(D679&gt;0)+01_Parametres!$B$5*(E679&gt;0)+01_Parametres!$B$6*(F679&gt;0))=0,"",(01_Parametres!$B$4*IF(D679&gt;0,D679,0)+01_Parametres!$B$5*IF(E679&gt;0,E679,0)+01_Parametres!$B$6*IF(F679&gt;0,F679,0))/(01_Parametres!$B$4*(D679&gt;0)+01_Parametres!$B$5*(E679&gt;0)+01_Parametres!$B$6*(F679&gt;0))),IF(01_Parametres!$B$8=0,"",(01_Parametres!$B$4*D679+01_Parametres!$B$5*E679+01_Parametres!$B$6*F679)/01_Parametres!$B$8)))</x:f>
      </x:c>
      <x:c r="H679">
        <x:f>IFERROR(VLOOKUP(C679,02_Referentiels!$A$20:$D$99,3,FALSE),"")</x:f>
      </x:c>
      <x:c r="I679">
        <x:f>IFERROR(VLOOKUP(B679,02_Referentiels!$A$5:$C$16,2,FALSE),"")</x:f>
      </x:c>
      <x:c r="J679">
        <x:f>IF(A679="","",IF(OR(D679="",E679="",F679=""),1,IF(OR(D679&lt;0,D679&gt;3,E679&lt;0,E679&gt;3,F679&lt;0,F679&gt;3),1,0)))</x:f>
      </x:c>
      <x:c r="K679">
        <x:f>IF(A679="","",IF(G679="",1,0))</x:f>
      </x:c>
      <x:c r="L679">
        <x:f>IF(A679="","",IF(COUNTIFS($A$5:$A$2004,A679,$C$5:$C$2004,C679)&gt;1,1,0))</x:f>
      </x:c>
    </x:row>
    <x:row r="680">
      <x:c r="A680" s="8" t="n"/>
      <x:c r="B680" s="8" t="n"/>
      <x:c r="C680" s="8" t="n"/>
      <x:c r="D680" s="8" t="n"/>
      <x:c r="E680" s="8" t="n"/>
      <x:c r="F680" s="8" t="n"/>
      <x:c r="G680" s="7">
        <x:f>IF(A680="","",IF(01_Parametres!$B$11="Oui",IF((01_Parametres!$B$4*(D680&gt;0)+01_Parametres!$B$5*(E680&gt;0)+01_Parametres!$B$6*(F680&gt;0))=0,"",(01_Parametres!$B$4*IF(D680&gt;0,D680,0)+01_Parametres!$B$5*IF(E680&gt;0,E680,0)+01_Parametres!$B$6*IF(F680&gt;0,F680,0))/(01_Parametres!$B$4*(D680&gt;0)+01_Parametres!$B$5*(E680&gt;0)+01_Parametres!$B$6*(F680&gt;0))),IF(01_Parametres!$B$8=0,"",(01_Parametres!$B$4*D680+01_Parametres!$B$5*E680+01_Parametres!$B$6*F680)/01_Parametres!$B$8)))</x:f>
      </x:c>
      <x:c r="H680">
        <x:f>IFERROR(VLOOKUP(C680,02_Referentiels!$A$20:$D$99,3,FALSE),"")</x:f>
      </x:c>
      <x:c r="I680">
        <x:f>IFERROR(VLOOKUP(B680,02_Referentiels!$A$5:$C$16,2,FALSE),"")</x:f>
      </x:c>
      <x:c r="J680">
        <x:f>IF(A680="","",IF(OR(D680="",E680="",F680=""),1,IF(OR(D680&lt;0,D680&gt;3,E680&lt;0,E680&gt;3,F680&lt;0,F680&gt;3),1,0)))</x:f>
      </x:c>
      <x:c r="K680">
        <x:f>IF(A680="","",IF(G680="",1,0))</x:f>
      </x:c>
      <x:c r="L680">
        <x:f>IF(A680="","",IF(COUNTIFS($A$5:$A$2004,A680,$C$5:$C$2004,C680)&gt;1,1,0))</x:f>
      </x:c>
    </x:row>
    <x:row r="681">
      <x:c r="A681" s="8" t="n"/>
      <x:c r="B681" s="8" t="n"/>
      <x:c r="C681" s="8" t="n"/>
      <x:c r="D681" s="8" t="n"/>
      <x:c r="E681" s="8" t="n"/>
      <x:c r="F681" s="8" t="n"/>
      <x:c r="G681" s="7">
        <x:f>IF(A681="","",IF(01_Parametres!$B$11="Oui",IF((01_Parametres!$B$4*(D681&gt;0)+01_Parametres!$B$5*(E681&gt;0)+01_Parametres!$B$6*(F681&gt;0))=0,"",(01_Parametres!$B$4*IF(D681&gt;0,D681,0)+01_Parametres!$B$5*IF(E681&gt;0,E681,0)+01_Parametres!$B$6*IF(F681&gt;0,F681,0))/(01_Parametres!$B$4*(D681&gt;0)+01_Parametres!$B$5*(E681&gt;0)+01_Parametres!$B$6*(F681&gt;0))),IF(01_Parametres!$B$8=0,"",(01_Parametres!$B$4*D681+01_Parametres!$B$5*E681+01_Parametres!$B$6*F681)/01_Parametres!$B$8)))</x:f>
      </x:c>
      <x:c r="H681">
        <x:f>IFERROR(VLOOKUP(C681,02_Referentiels!$A$20:$D$99,3,FALSE),"")</x:f>
      </x:c>
      <x:c r="I681">
        <x:f>IFERROR(VLOOKUP(B681,02_Referentiels!$A$5:$C$16,2,FALSE),"")</x:f>
      </x:c>
      <x:c r="J681">
        <x:f>IF(A681="","",IF(OR(D681="",E681="",F681=""),1,IF(OR(D681&lt;0,D681&gt;3,E681&lt;0,E681&gt;3,F681&lt;0,F681&gt;3),1,0)))</x:f>
      </x:c>
      <x:c r="K681">
        <x:f>IF(A681="","",IF(G681="",1,0))</x:f>
      </x:c>
      <x:c r="L681">
        <x:f>IF(A681="","",IF(COUNTIFS($A$5:$A$2004,A681,$C$5:$C$2004,C681)&gt;1,1,0))</x:f>
      </x:c>
    </x:row>
    <x:row r="682">
      <x:c r="A682" s="8" t="n"/>
      <x:c r="B682" s="8" t="n"/>
      <x:c r="C682" s="8" t="n"/>
      <x:c r="D682" s="8" t="n"/>
      <x:c r="E682" s="8" t="n"/>
      <x:c r="F682" s="8" t="n"/>
      <x:c r="G682" s="7">
        <x:f>IF(A682="","",IF(01_Parametres!$B$11="Oui",IF((01_Parametres!$B$4*(D682&gt;0)+01_Parametres!$B$5*(E682&gt;0)+01_Parametres!$B$6*(F682&gt;0))=0,"",(01_Parametres!$B$4*IF(D682&gt;0,D682,0)+01_Parametres!$B$5*IF(E682&gt;0,E682,0)+01_Parametres!$B$6*IF(F682&gt;0,F682,0))/(01_Parametres!$B$4*(D682&gt;0)+01_Parametres!$B$5*(E682&gt;0)+01_Parametres!$B$6*(F682&gt;0))),IF(01_Parametres!$B$8=0,"",(01_Parametres!$B$4*D682+01_Parametres!$B$5*E682+01_Parametres!$B$6*F682)/01_Parametres!$B$8)))</x:f>
      </x:c>
      <x:c r="H682">
        <x:f>IFERROR(VLOOKUP(C682,02_Referentiels!$A$20:$D$99,3,FALSE),"")</x:f>
      </x:c>
      <x:c r="I682">
        <x:f>IFERROR(VLOOKUP(B682,02_Referentiels!$A$5:$C$16,2,FALSE),"")</x:f>
      </x:c>
      <x:c r="J682">
        <x:f>IF(A682="","",IF(OR(D682="",E682="",F682=""),1,IF(OR(D682&lt;0,D682&gt;3,E682&lt;0,E682&gt;3,F682&lt;0,F682&gt;3),1,0)))</x:f>
      </x:c>
      <x:c r="K682">
        <x:f>IF(A682="","",IF(G682="",1,0))</x:f>
      </x:c>
      <x:c r="L682">
        <x:f>IF(A682="","",IF(COUNTIFS($A$5:$A$2004,A682,$C$5:$C$2004,C682)&gt;1,1,0))</x:f>
      </x:c>
    </x:row>
    <x:row r="683">
      <x:c r="A683" s="8" t="n"/>
      <x:c r="B683" s="8" t="n"/>
      <x:c r="C683" s="8" t="n"/>
      <x:c r="D683" s="8" t="n"/>
      <x:c r="E683" s="8" t="n"/>
      <x:c r="F683" s="8" t="n"/>
      <x:c r="G683" s="7">
        <x:f>IF(A683="","",IF(01_Parametres!$B$11="Oui",IF((01_Parametres!$B$4*(D683&gt;0)+01_Parametres!$B$5*(E683&gt;0)+01_Parametres!$B$6*(F683&gt;0))=0,"",(01_Parametres!$B$4*IF(D683&gt;0,D683,0)+01_Parametres!$B$5*IF(E683&gt;0,E683,0)+01_Parametres!$B$6*IF(F683&gt;0,F683,0))/(01_Parametres!$B$4*(D683&gt;0)+01_Parametres!$B$5*(E683&gt;0)+01_Parametres!$B$6*(F683&gt;0))),IF(01_Parametres!$B$8=0,"",(01_Parametres!$B$4*D683+01_Parametres!$B$5*E683+01_Parametres!$B$6*F683)/01_Parametres!$B$8)))</x:f>
      </x:c>
      <x:c r="H683">
        <x:f>IFERROR(VLOOKUP(C683,02_Referentiels!$A$20:$D$99,3,FALSE),"")</x:f>
      </x:c>
      <x:c r="I683">
        <x:f>IFERROR(VLOOKUP(B683,02_Referentiels!$A$5:$C$16,2,FALSE),"")</x:f>
      </x:c>
      <x:c r="J683">
        <x:f>IF(A683="","",IF(OR(D683="",E683="",F683=""),1,IF(OR(D683&lt;0,D683&gt;3,E683&lt;0,E683&gt;3,F683&lt;0,F683&gt;3),1,0)))</x:f>
      </x:c>
      <x:c r="K683">
        <x:f>IF(A683="","",IF(G683="",1,0))</x:f>
      </x:c>
      <x:c r="L683">
        <x:f>IF(A683="","",IF(COUNTIFS($A$5:$A$2004,A683,$C$5:$C$2004,C683)&gt;1,1,0))</x:f>
      </x:c>
    </x:row>
    <x:row r="684">
      <x:c r="A684" s="8" t="n"/>
      <x:c r="B684" s="8" t="n"/>
      <x:c r="C684" s="8" t="n"/>
      <x:c r="D684" s="8" t="n"/>
      <x:c r="E684" s="8" t="n"/>
      <x:c r="F684" s="8" t="n"/>
      <x:c r="G684" s="7">
        <x:f>IF(A684="","",IF(01_Parametres!$B$11="Oui",IF((01_Parametres!$B$4*(D684&gt;0)+01_Parametres!$B$5*(E684&gt;0)+01_Parametres!$B$6*(F684&gt;0))=0,"",(01_Parametres!$B$4*IF(D684&gt;0,D684,0)+01_Parametres!$B$5*IF(E684&gt;0,E684,0)+01_Parametres!$B$6*IF(F684&gt;0,F684,0))/(01_Parametres!$B$4*(D684&gt;0)+01_Parametres!$B$5*(E684&gt;0)+01_Parametres!$B$6*(F684&gt;0))),IF(01_Parametres!$B$8=0,"",(01_Parametres!$B$4*D684+01_Parametres!$B$5*E684+01_Parametres!$B$6*F684)/01_Parametres!$B$8)))</x:f>
      </x:c>
      <x:c r="H684">
        <x:f>IFERROR(VLOOKUP(C684,02_Referentiels!$A$20:$D$99,3,FALSE),"")</x:f>
      </x:c>
      <x:c r="I684">
        <x:f>IFERROR(VLOOKUP(B684,02_Referentiels!$A$5:$C$16,2,FALSE),"")</x:f>
      </x:c>
      <x:c r="J684">
        <x:f>IF(A684="","",IF(OR(D684="",E684="",F684=""),1,IF(OR(D684&lt;0,D684&gt;3,E684&lt;0,E684&gt;3,F684&lt;0,F684&gt;3),1,0)))</x:f>
      </x:c>
      <x:c r="K684">
        <x:f>IF(A684="","",IF(G684="",1,0))</x:f>
      </x:c>
      <x:c r="L684">
        <x:f>IF(A684="","",IF(COUNTIFS($A$5:$A$2004,A684,$C$5:$C$2004,C684)&gt;1,1,0))</x:f>
      </x:c>
    </x:row>
    <x:row r="685">
      <x:c r="A685" s="8" t="n"/>
      <x:c r="B685" s="8" t="n"/>
      <x:c r="C685" s="8" t="n"/>
      <x:c r="D685" s="8" t="n"/>
      <x:c r="E685" s="8" t="n"/>
      <x:c r="F685" s="8" t="n"/>
      <x:c r="G685" s="7">
        <x:f>IF(A685="","",IF(01_Parametres!$B$11="Oui",IF((01_Parametres!$B$4*(D685&gt;0)+01_Parametres!$B$5*(E685&gt;0)+01_Parametres!$B$6*(F685&gt;0))=0,"",(01_Parametres!$B$4*IF(D685&gt;0,D685,0)+01_Parametres!$B$5*IF(E685&gt;0,E685,0)+01_Parametres!$B$6*IF(F685&gt;0,F685,0))/(01_Parametres!$B$4*(D685&gt;0)+01_Parametres!$B$5*(E685&gt;0)+01_Parametres!$B$6*(F685&gt;0))),IF(01_Parametres!$B$8=0,"",(01_Parametres!$B$4*D685+01_Parametres!$B$5*E685+01_Parametres!$B$6*F685)/01_Parametres!$B$8)))</x:f>
      </x:c>
      <x:c r="H685">
        <x:f>IFERROR(VLOOKUP(C685,02_Referentiels!$A$20:$D$99,3,FALSE),"")</x:f>
      </x:c>
      <x:c r="I685">
        <x:f>IFERROR(VLOOKUP(B685,02_Referentiels!$A$5:$C$16,2,FALSE),"")</x:f>
      </x:c>
      <x:c r="J685">
        <x:f>IF(A685="","",IF(OR(D685="",E685="",F685=""),1,IF(OR(D685&lt;0,D685&gt;3,E685&lt;0,E685&gt;3,F685&lt;0,F685&gt;3),1,0)))</x:f>
      </x:c>
      <x:c r="K685">
        <x:f>IF(A685="","",IF(G685="",1,0))</x:f>
      </x:c>
      <x:c r="L685">
        <x:f>IF(A685="","",IF(COUNTIFS($A$5:$A$2004,A685,$C$5:$C$2004,C685)&gt;1,1,0))</x:f>
      </x:c>
    </x:row>
    <x:row r="686">
      <x:c r="A686" s="8" t="n"/>
      <x:c r="B686" s="8" t="n"/>
      <x:c r="C686" s="8" t="n"/>
      <x:c r="D686" s="8" t="n"/>
      <x:c r="E686" s="8" t="n"/>
      <x:c r="F686" s="8" t="n"/>
      <x:c r="G686" s="7">
        <x:f>IF(A686="","",IF(01_Parametres!$B$11="Oui",IF((01_Parametres!$B$4*(D686&gt;0)+01_Parametres!$B$5*(E686&gt;0)+01_Parametres!$B$6*(F686&gt;0))=0,"",(01_Parametres!$B$4*IF(D686&gt;0,D686,0)+01_Parametres!$B$5*IF(E686&gt;0,E686,0)+01_Parametres!$B$6*IF(F686&gt;0,F686,0))/(01_Parametres!$B$4*(D686&gt;0)+01_Parametres!$B$5*(E686&gt;0)+01_Parametres!$B$6*(F686&gt;0))),IF(01_Parametres!$B$8=0,"",(01_Parametres!$B$4*D686+01_Parametres!$B$5*E686+01_Parametres!$B$6*F686)/01_Parametres!$B$8)))</x:f>
      </x:c>
      <x:c r="H686">
        <x:f>IFERROR(VLOOKUP(C686,02_Referentiels!$A$20:$D$99,3,FALSE),"")</x:f>
      </x:c>
      <x:c r="I686">
        <x:f>IFERROR(VLOOKUP(B686,02_Referentiels!$A$5:$C$16,2,FALSE),"")</x:f>
      </x:c>
      <x:c r="J686">
        <x:f>IF(A686="","",IF(OR(D686="",E686="",F686=""),1,IF(OR(D686&lt;0,D686&gt;3,E686&lt;0,E686&gt;3,F686&lt;0,F686&gt;3),1,0)))</x:f>
      </x:c>
      <x:c r="K686">
        <x:f>IF(A686="","",IF(G686="",1,0))</x:f>
      </x:c>
      <x:c r="L686">
        <x:f>IF(A686="","",IF(COUNTIFS($A$5:$A$2004,A686,$C$5:$C$2004,C686)&gt;1,1,0))</x:f>
      </x:c>
    </x:row>
    <x:row r="687">
      <x:c r="A687" s="8" t="n"/>
      <x:c r="B687" s="8" t="n"/>
      <x:c r="C687" s="8" t="n"/>
      <x:c r="D687" s="8" t="n"/>
      <x:c r="E687" s="8" t="n"/>
      <x:c r="F687" s="8" t="n"/>
      <x:c r="G687" s="7">
        <x:f>IF(A687="","",IF(01_Parametres!$B$11="Oui",IF((01_Parametres!$B$4*(D687&gt;0)+01_Parametres!$B$5*(E687&gt;0)+01_Parametres!$B$6*(F687&gt;0))=0,"",(01_Parametres!$B$4*IF(D687&gt;0,D687,0)+01_Parametres!$B$5*IF(E687&gt;0,E687,0)+01_Parametres!$B$6*IF(F687&gt;0,F687,0))/(01_Parametres!$B$4*(D687&gt;0)+01_Parametres!$B$5*(E687&gt;0)+01_Parametres!$B$6*(F687&gt;0))),IF(01_Parametres!$B$8=0,"",(01_Parametres!$B$4*D687+01_Parametres!$B$5*E687+01_Parametres!$B$6*F687)/01_Parametres!$B$8)))</x:f>
      </x:c>
      <x:c r="H687">
        <x:f>IFERROR(VLOOKUP(C687,02_Referentiels!$A$20:$D$99,3,FALSE),"")</x:f>
      </x:c>
      <x:c r="I687">
        <x:f>IFERROR(VLOOKUP(B687,02_Referentiels!$A$5:$C$16,2,FALSE),"")</x:f>
      </x:c>
      <x:c r="J687">
        <x:f>IF(A687="","",IF(OR(D687="",E687="",F687=""),1,IF(OR(D687&lt;0,D687&gt;3,E687&lt;0,E687&gt;3,F687&lt;0,F687&gt;3),1,0)))</x:f>
      </x:c>
      <x:c r="K687">
        <x:f>IF(A687="","",IF(G687="",1,0))</x:f>
      </x:c>
      <x:c r="L687">
        <x:f>IF(A687="","",IF(COUNTIFS($A$5:$A$2004,A687,$C$5:$C$2004,C687)&gt;1,1,0))</x:f>
      </x:c>
    </x:row>
    <x:row r="688">
      <x:c r="A688" s="8" t="n"/>
      <x:c r="B688" s="8" t="n"/>
      <x:c r="C688" s="8" t="n"/>
      <x:c r="D688" s="8" t="n"/>
      <x:c r="E688" s="8" t="n"/>
      <x:c r="F688" s="8" t="n"/>
      <x:c r="G688" s="7">
        <x:f>IF(A688="","",IF(01_Parametres!$B$11="Oui",IF((01_Parametres!$B$4*(D688&gt;0)+01_Parametres!$B$5*(E688&gt;0)+01_Parametres!$B$6*(F688&gt;0))=0,"",(01_Parametres!$B$4*IF(D688&gt;0,D688,0)+01_Parametres!$B$5*IF(E688&gt;0,E688,0)+01_Parametres!$B$6*IF(F688&gt;0,F688,0))/(01_Parametres!$B$4*(D688&gt;0)+01_Parametres!$B$5*(E688&gt;0)+01_Parametres!$B$6*(F688&gt;0))),IF(01_Parametres!$B$8=0,"",(01_Parametres!$B$4*D688+01_Parametres!$B$5*E688+01_Parametres!$B$6*F688)/01_Parametres!$B$8)))</x:f>
      </x:c>
      <x:c r="H688">
        <x:f>IFERROR(VLOOKUP(C688,02_Referentiels!$A$20:$D$99,3,FALSE),"")</x:f>
      </x:c>
      <x:c r="I688">
        <x:f>IFERROR(VLOOKUP(B688,02_Referentiels!$A$5:$C$16,2,FALSE),"")</x:f>
      </x:c>
      <x:c r="J688">
        <x:f>IF(A688="","",IF(OR(D688="",E688="",F688=""),1,IF(OR(D688&lt;0,D688&gt;3,E688&lt;0,E688&gt;3,F688&lt;0,F688&gt;3),1,0)))</x:f>
      </x:c>
      <x:c r="K688">
        <x:f>IF(A688="","",IF(G688="",1,0))</x:f>
      </x:c>
      <x:c r="L688">
        <x:f>IF(A688="","",IF(COUNTIFS($A$5:$A$2004,A688,$C$5:$C$2004,C688)&gt;1,1,0))</x:f>
      </x:c>
    </x:row>
    <x:row r="689">
      <x:c r="A689" s="8" t="n"/>
      <x:c r="B689" s="8" t="n"/>
      <x:c r="C689" s="8" t="n"/>
      <x:c r="D689" s="8" t="n"/>
      <x:c r="E689" s="8" t="n"/>
      <x:c r="F689" s="8" t="n"/>
      <x:c r="G689" s="7">
        <x:f>IF(A689="","",IF(01_Parametres!$B$11="Oui",IF((01_Parametres!$B$4*(D689&gt;0)+01_Parametres!$B$5*(E689&gt;0)+01_Parametres!$B$6*(F689&gt;0))=0,"",(01_Parametres!$B$4*IF(D689&gt;0,D689,0)+01_Parametres!$B$5*IF(E689&gt;0,E689,0)+01_Parametres!$B$6*IF(F689&gt;0,F689,0))/(01_Parametres!$B$4*(D689&gt;0)+01_Parametres!$B$5*(E689&gt;0)+01_Parametres!$B$6*(F689&gt;0))),IF(01_Parametres!$B$8=0,"",(01_Parametres!$B$4*D689+01_Parametres!$B$5*E689+01_Parametres!$B$6*F689)/01_Parametres!$B$8)))</x:f>
      </x:c>
      <x:c r="H689">
        <x:f>IFERROR(VLOOKUP(C689,02_Referentiels!$A$20:$D$99,3,FALSE),"")</x:f>
      </x:c>
      <x:c r="I689">
        <x:f>IFERROR(VLOOKUP(B689,02_Referentiels!$A$5:$C$16,2,FALSE),"")</x:f>
      </x:c>
      <x:c r="J689">
        <x:f>IF(A689="","",IF(OR(D689="",E689="",F689=""),1,IF(OR(D689&lt;0,D689&gt;3,E689&lt;0,E689&gt;3,F689&lt;0,F689&gt;3),1,0)))</x:f>
      </x:c>
      <x:c r="K689">
        <x:f>IF(A689="","",IF(G689="",1,0))</x:f>
      </x:c>
      <x:c r="L689">
        <x:f>IF(A689="","",IF(COUNTIFS($A$5:$A$2004,A689,$C$5:$C$2004,C689)&gt;1,1,0))</x:f>
      </x:c>
    </x:row>
    <x:row r="690">
      <x:c r="A690" s="8" t="n"/>
      <x:c r="B690" s="8" t="n"/>
      <x:c r="C690" s="8" t="n"/>
      <x:c r="D690" s="8" t="n"/>
      <x:c r="E690" s="8" t="n"/>
      <x:c r="F690" s="8" t="n"/>
      <x:c r="G690" s="7">
        <x:f>IF(A690="","",IF(01_Parametres!$B$11="Oui",IF((01_Parametres!$B$4*(D690&gt;0)+01_Parametres!$B$5*(E690&gt;0)+01_Parametres!$B$6*(F690&gt;0))=0,"",(01_Parametres!$B$4*IF(D690&gt;0,D690,0)+01_Parametres!$B$5*IF(E690&gt;0,E690,0)+01_Parametres!$B$6*IF(F690&gt;0,F690,0))/(01_Parametres!$B$4*(D690&gt;0)+01_Parametres!$B$5*(E690&gt;0)+01_Parametres!$B$6*(F690&gt;0))),IF(01_Parametres!$B$8=0,"",(01_Parametres!$B$4*D690+01_Parametres!$B$5*E690+01_Parametres!$B$6*F690)/01_Parametres!$B$8)))</x:f>
      </x:c>
      <x:c r="H690">
        <x:f>IFERROR(VLOOKUP(C690,02_Referentiels!$A$20:$D$99,3,FALSE),"")</x:f>
      </x:c>
      <x:c r="I690">
        <x:f>IFERROR(VLOOKUP(B690,02_Referentiels!$A$5:$C$16,2,FALSE),"")</x:f>
      </x:c>
      <x:c r="J690">
        <x:f>IF(A690="","",IF(OR(D690="",E690="",F690=""),1,IF(OR(D690&lt;0,D690&gt;3,E690&lt;0,E690&gt;3,F690&lt;0,F690&gt;3),1,0)))</x:f>
      </x:c>
      <x:c r="K690">
        <x:f>IF(A690="","",IF(G690="",1,0))</x:f>
      </x:c>
      <x:c r="L690">
        <x:f>IF(A690="","",IF(COUNTIFS($A$5:$A$2004,A690,$C$5:$C$2004,C690)&gt;1,1,0))</x:f>
      </x:c>
    </x:row>
    <x:row r="691">
      <x:c r="A691" s="8" t="n"/>
      <x:c r="B691" s="8" t="n"/>
      <x:c r="C691" s="8" t="n"/>
      <x:c r="D691" s="8" t="n"/>
      <x:c r="E691" s="8" t="n"/>
      <x:c r="F691" s="8" t="n"/>
      <x:c r="G691" s="7">
        <x:f>IF(A691="","",IF(01_Parametres!$B$11="Oui",IF((01_Parametres!$B$4*(D691&gt;0)+01_Parametres!$B$5*(E691&gt;0)+01_Parametres!$B$6*(F691&gt;0))=0,"",(01_Parametres!$B$4*IF(D691&gt;0,D691,0)+01_Parametres!$B$5*IF(E691&gt;0,E691,0)+01_Parametres!$B$6*IF(F691&gt;0,F691,0))/(01_Parametres!$B$4*(D691&gt;0)+01_Parametres!$B$5*(E691&gt;0)+01_Parametres!$B$6*(F691&gt;0))),IF(01_Parametres!$B$8=0,"",(01_Parametres!$B$4*D691+01_Parametres!$B$5*E691+01_Parametres!$B$6*F691)/01_Parametres!$B$8)))</x:f>
      </x:c>
      <x:c r="H691">
        <x:f>IFERROR(VLOOKUP(C691,02_Referentiels!$A$20:$D$99,3,FALSE),"")</x:f>
      </x:c>
      <x:c r="I691">
        <x:f>IFERROR(VLOOKUP(B691,02_Referentiels!$A$5:$C$16,2,FALSE),"")</x:f>
      </x:c>
      <x:c r="J691">
        <x:f>IF(A691="","",IF(OR(D691="",E691="",F691=""),1,IF(OR(D691&lt;0,D691&gt;3,E691&lt;0,E691&gt;3,F691&lt;0,F691&gt;3),1,0)))</x:f>
      </x:c>
      <x:c r="K691">
        <x:f>IF(A691="","",IF(G691="",1,0))</x:f>
      </x:c>
      <x:c r="L691">
        <x:f>IF(A691="","",IF(COUNTIFS($A$5:$A$2004,A691,$C$5:$C$2004,C691)&gt;1,1,0))</x:f>
      </x:c>
    </x:row>
    <x:row r="692">
      <x:c r="A692" s="8" t="n"/>
      <x:c r="B692" s="8" t="n"/>
      <x:c r="C692" s="8" t="n"/>
      <x:c r="D692" s="8" t="n"/>
      <x:c r="E692" s="8" t="n"/>
      <x:c r="F692" s="8" t="n"/>
      <x:c r="G692" s="7">
        <x:f>IF(A692="","",IF(01_Parametres!$B$11="Oui",IF((01_Parametres!$B$4*(D692&gt;0)+01_Parametres!$B$5*(E692&gt;0)+01_Parametres!$B$6*(F692&gt;0))=0,"",(01_Parametres!$B$4*IF(D692&gt;0,D692,0)+01_Parametres!$B$5*IF(E692&gt;0,E692,0)+01_Parametres!$B$6*IF(F692&gt;0,F692,0))/(01_Parametres!$B$4*(D692&gt;0)+01_Parametres!$B$5*(E692&gt;0)+01_Parametres!$B$6*(F692&gt;0))),IF(01_Parametres!$B$8=0,"",(01_Parametres!$B$4*D692+01_Parametres!$B$5*E692+01_Parametres!$B$6*F692)/01_Parametres!$B$8)))</x:f>
      </x:c>
      <x:c r="H692">
        <x:f>IFERROR(VLOOKUP(C692,02_Referentiels!$A$20:$D$99,3,FALSE),"")</x:f>
      </x:c>
      <x:c r="I692">
        <x:f>IFERROR(VLOOKUP(B692,02_Referentiels!$A$5:$C$16,2,FALSE),"")</x:f>
      </x:c>
      <x:c r="J692">
        <x:f>IF(A692="","",IF(OR(D692="",E692="",F692=""),1,IF(OR(D692&lt;0,D692&gt;3,E692&lt;0,E692&gt;3,F692&lt;0,F692&gt;3),1,0)))</x:f>
      </x:c>
      <x:c r="K692">
        <x:f>IF(A692="","",IF(G692="",1,0))</x:f>
      </x:c>
      <x:c r="L692">
        <x:f>IF(A692="","",IF(COUNTIFS($A$5:$A$2004,A692,$C$5:$C$2004,C692)&gt;1,1,0))</x:f>
      </x:c>
    </x:row>
    <x:row r="693">
      <x:c r="A693" s="8" t="n"/>
      <x:c r="B693" s="8" t="n"/>
      <x:c r="C693" s="8" t="n"/>
      <x:c r="D693" s="8" t="n"/>
      <x:c r="E693" s="8" t="n"/>
      <x:c r="F693" s="8" t="n"/>
      <x:c r="G693" s="7">
        <x:f>IF(A693="","",IF(01_Parametres!$B$11="Oui",IF((01_Parametres!$B$4*(D693&gt;0)+01_Parametres!$B$5*(E693&gt;0)+01_Parametres!$B$6*(F693&gt;0))=0,"",(01_Parametres!$B$4*IF(D693&gt;0,D693,0)+01_Parametres!$B$5*IF(E693&gt;0,E693,0)+01_Parametres!$B$6*IF(F693&gt;0,F693,0))/(01_Parametres!$B$4*(D693&gt;0)+01_Parametres!$B$5*(E693&gt;0)+01_Parametres!$B$6*(F693&gt;0))),IF(01_Parametres!$B$8=0,"",(01_Parametres!$B$4*D693+01_Parametres!$B$5*E693+01_Parametres!$B$6*F693)/01_Parametres!$B$8)))</x:f>
      </x:c>
      <x:c r="H693">
        <x:f>IFERROR(VLOOKUP(C693,02_Referentiels!$A$20:$D$99,3,FALSE),"")</x:f>
      </x:c>
      <x:c r="I693">
        <x:f>IFERROR(VLOOKUP(B693,02_Referentiels!$A$5:$C$16,2,FALSE),"")</x:f>
      </x:c>
      <x:c r="J693">
        <x:f>IF(A693="","",IF(OR(D693="",E693="",F693=""),1,IF(OR(D693&lt;0,D693&gt;3,E693&lt;0,E693&gt;3,F693&lt;0,F693&gt;3),1,0)))</x:f>
      </x:c>
      <x:c r="K693">
        <x:f>IF(A693="","",IF(G693="",1,0))</x:f>
      </x:c>
      <x:c r="L693">
        <x:f>IF(A693="","",IF(COUNTIFS($A$5:$A$2004,A693,$C$5:$C$2004,C693)&gt;1,1,0))</x:f>
      </x:c>
    </x:row>
    <x:row r="694">
      <x:c r="A694" s="8" t="n"/>
      <x:c r="B694" s="8" t="n"/>
      <x:c r="C694" s="8" t="n"/>
      <x:c r="D694" s="8" t="n"/>
      <x:c r="E694" s="8" t="n"/>
      <x:c r="F694" s="8" t="n"/>
      <x:c r="G694" s="7">
        <x:f>IF(A694="","",IF(01_Parametres!$B$11="Oui",IF((01_Parametres!$B$4*(D694&gt;0)+01_Parametres!$B$5*(E694&gt;0)+01_Parametres!$B$6*(F694&gt;0))=0,"",(01_Parametres!$B$4*IF(D694&gt;0,D694,0)+01_Parametres!$B$5*IF(E694&gt;0,E694,0)+01_Parametres!$B$6*IF(F694&gt;0,F694,0))/(01_Parametres!$B$4*(D694&gt;0)+01_Parametres!$B$5*(E694&gt;0)+01_Parametres!$B$6*(F694&gt;0))),IF(01_Parametres!$B$8=0,"",(01_Parametres!$B$4*D694+01_Parametres!$B$5*E694+01_Parametres!$B$6*F694)/01_Parametres!$B$8)))</x:f>
      </x:c>
      <x:c r="H694">
        <x:f>IFERROR(VLOOKUP(C694,02_Referentiels!$A$20:$D$99,3,FALSE),"")</x:f>
      </x:c>
      <x:c r="I694">
        <x:f>IFERROR(VLOOKUP(B694,02_Referentiels!$A$5:$C$16,2,FALSE),"")</x:f>
      </x:c>
      <x:c r="J694">
        <x:f>IF(A694="","",IF(OR(D694="",E694="",F694=""),1,IF(OR(D694&lt;0,D694&gt;3,E694&lt;0,E694&gt;3,F694&lt;0,F694&gt;3),1,0)))</x:f>
      </x:c>
      <x:c r="K694">
        <x:f>IF(A694="","",IF(G694="",1,0))</x:f>
      </x:c>
      <x:c r="L694">
        <x:f>IF(A694="","",IF(COUNTIFS($A$5:$A$2004,A694,$C$5:$C$2004,C694)&gt;1,1,0))</x:f>
      </x:c>
    </x:row>
    <x:row r="695">
      <x:c r="A695" s="8" t="n"/>
      <x:c r="B695" s="8" t="n"/>
      <x:c r="C695" s="8" t="n"/>
      <x:c r="D695" s="8" t="n"/>
      <x:c r="E695" s="8" t="n"/>
      <x:c r="F695" s="8" t="n"/>
      <x:c r="G695" s="7">
        <x:f>IF(A695="","",IF(01_Parametres!$B$11="Oui",IF((01_Parametres!$B$4*(D695&gt;0)+01_Parametres!$B$5*(E695&gt;0)+01_Parametres!$B$6*(F695&gt;0))=0,"",(01_Parametres!$B$4*IF(D695&gt;0,D695,0)+01_Parametres!$B$5*IF(E695&gt;0,E695,0)+01_Parametres!$B$6*IF(F695&gt;0,F695,0))/(01_Parametres!$B$4*(D695&gt;0)+01_Parametres!$B$5*(E695&gt;0)+01_Parametres!$B$6*(F695&gt;0))),IF(01_Parametres!$B$8=0,"",(01_Parametres!$B$4*D695+01_Parametres!$B$5*E695+01_Parametres!$B$6*F695)/01_Parametres!$B$8)))</x:f>
      </x:c>
      <x:c r="H695">
        <x:f>IFERROR(VLOOKUP(C695,02_Referentiels!$A$20:$D$99,3,FALSE),"")</x:f>
      </x:c>
      <x:c r="I695">
        <x:f>IFERROR(VLOOKUP(B695,02_Referentiels!$A$5:$C$16,2,FALSE),"")</x:f>
      </x:c>
      <x:c r="J695">
        <x:f>IF(A695="","",IF(OR(D695="",E695="",F695=""),1,IF(OR(D695&lt;0,D695&gt;3,E695&lt;0,E695&gt;3,F695&lt;0,F695&gt;3),1,0)))</x:f>
      </x:c>
      <x:c r="K695">
        <x:f>IF(A695="","",IF(G695="",1,0))</x:f>
      </x:c>
      <x:c r="L695">
        <x:f>IF(A695="","",IF(COUNTIFS($A$5:$A$2004,A695,$C$5:$C$2004,C695)&gt;1,1,0))</x:f>
      </x:c>
    </x:row>
    <x:row r="696">
      <x:c r="A696" s="8" t="n"/>
      <x:c r="B696" s="8" t="n"/>
      <x:c r="C696" s="8" t="n"/>
      <x:c r="D696" s="8" t="n"/>
      <x:c r="E696" s="8" t="n"/>
      <x:c r="F696" s="8" t="n"/>
      <x:c r="G696" s="7">
        <x:f>IF(A696="","",IF(01_Parametres!$B$11="Oui",IF((01_Parametres!$B$4*(D696&gt;0)+01_Parametres!$B$5*(E696&gt;0)+01_Parametres!$B$6*(F696&gt;0))=0,"",(01_Parametres!$B$4*IF(D696&gt;0,D696,0)+01_Parametres!$B$5*IF(E696&gt;0,E696,0)+01_Parametres!$B$6*IF(F696&gt;0,F696,0))/(01_Parametres!$B$4*(D696&gt;0)+01_Parametres!$B$5*(E696&gt;0)+01_Parametres!$B$6*(F696&gt;0))),IF(01_Parametres!$B$8=0,"",(01_Parametres!$B$4*D696+01_Parametres!$B$5*E696+01_Parametres!$B$6*F696)/01_Parametres!$B$8)))</x:f>
      </x:c>
      <x:c r="H696">
        <x:f>IFERROR(VLOOKUP(C696,02_Referentiels!$A$20:$D$99,3,FALSE),"")</x:f>
      </x:c>
      <x:c r="I696">
        <x:f>IFERROR(VLOOKUP(B696,02_Referentiels!$A$5:$C$16,2,FALSE),"")</x:f>
      </x:c>
      <x:c r="J696">
        <x:f>IF(A696="","",IF(OR(D696="",E696="",F696=""),1,IF(OR(D696&lt;0,D696&gt;3,E696&lt;0,E696&gt;3,F696&lt;0,F696&gt;3),1,0)))</x:f>
      </x:c>
      <x:c r="K696">
        <x:f>IF(A696="","",IF(G696="",1,0))</x:f>
      </x:c>
      <x:c r="L696">
        <x:f>IF(A696="","",IF(COUNTIFS($A$5:$A$2004,A696,$C$5:$C$2004,C696)&gt;1,1,0))</x:f>
      </x:c>
    </x:row>
    <x:row r="697">
      <x:c r="A697" s="8" t="n"/>
      <x:c r="B697" s="8" t="n"/>
      <x:c r="C697" s="8" t="n"/>
      <x:c r="D697" s="8" t="n"/>
      <x:c r="E697" s="8" t="n"/>
      <x:c r="F697" s="8" t="n"/>
      <x:c r="G697" s="7">
        <x:f>IF(A697="","",IF(01_Parametres!$B$11="Oui",IF((01_Parametres!$B$4*(D697&gt;0)+01_Parametres!$B$5*(E697&gt;0)+01_Parametres!$B$6*(F697&gt;0))=0,"",(01_Parametres!$B$4*IF(D697&gt;0,D697,0)+01_Parametres!$B$5*IF(E697&gt;0,E697,0)+01_Parametres!$B$6*IF(F697&gt;0,F697,0))/(01_Parametres!$B$4*(D697&gt;0)+01_Parametres!$B$5*(E697&gt;0)+01_Parametres!$B$6*(F697&gt;0))),IF(01_Parametres!$B$8=0,"",(01_Parametres!$B$4*D697+01_Parametres!$B$5*E697+01_Parametres!$B$6*F697)/01_Parametres!$B$8)))</x:f>
      </x:c>
      <x:c r="H697">
        <x:f>IFERROR(VLOOKUP(C697,02_Referentiels!$A$20:$D$99,3,FALSE),"")</x:f>
      </x:c>
      <x:c r="I697">
        <x:f>IFERROR(VLOOKUP(B697,02_Referentiels!$A$5:$C$16,2,FALSE),"")</x:f>
      </x:c>
      <x:c r="J697">
        <x:f>IF(A697="","",IF(OR(D697="",E697="",F697=""),1,IF(OR(D697&lt;0,D697&gt;3,E697&lt;0,E697&gt;3,F697&lt;0,F697&gt;3),1,0)))</x:f>
      </x:c>
      <x:c r="K697">
        <x:f>IF(A697="","",IF(G697="",1,0))</x:f>
      </x:c>
      <x:c r="L697">
        <x:f>IF(A697="","",IF(COUNTIFS($A$5:$A$2004,A697,$C$5:$C$2004,C697)&gt;1,1,0))</x:f>
      </x:c>
    </x:row>
    <x:row r="698">
      <x:c r="A698" s="8" t="n"/>
      <x:c r="B698" s="8" t="n"/>
      <x:c r="C698" s="8" t="n"/>
      <x:c r="D698" s="8" t="n"/>
      <x:c r="E698" s="8" t="n"/>
      <x:c r="F698" s="8" t="n"/>
      <x:c r="G698" s="7">
        <x:f>IF(A698="","",IF(01_Parametres!$B$11="Oui",IF((01_Parametres!$B$4*(D698&gt;0)+01_Parametres!$B$5*(E698&gt;0)+01_Parametres!$B$6*(F698&gt;0))=0,"",(01_Parametres!$B$4*IF(D698&gt;0,D698,0)+01_Parametres!$B$5*IF(E698&gt;0,E698,0)+01_Parametres!$B$6*IF(F698&gt;0,F698,0))/(01_Parametres!$B$4*(D698&gt;0)+01_Parametres!$B$5*(E698&gt;0)+01_Parametres!$B$6*(F698&gt;0))),IF(01_Parametres!$B$8=0,"",(01_Parametres!$B$4*D698+01_Parametres!$B$5*E698+01_Parametres!$B$6*F698)/01_Parametres!$B$8)))</x:f>
      </x:c>
      <x:c r="H698">
        <x:f>IFERROR(VLOOKUP(C698,02_Referentiels!$A$20:$D$99,3,FALSE),"")</x:f>
      </x:c>
      <x:c r="I698">
        <x:f>IFERROR(VLOOKUP(B698,02_Referentiels!$A$5:$C$16,2,FALSE),"")</x:f>
      </x:c>
      <x:c r="J698">
        <x:f>IF(A698="","",IF(OR(D698="",E698="",F698=""),1,IF(OR(D698&lt;0,D698&gt;3,E698&lt;0,E698&gt;3,F698&lt;0,F698&gt;3),1,0)))</x:f>
      </x:c>
      <x:c r="K698">
        <x:f>IF(A698="","",IF(G698="",1,0))</x:f>
      </x:c>
      <x:c r="L698">
        <x:f>IF(A698="","",IF(COUNTIFS($A$5:$A$2004,A698,$C$5:$C$2004,C698)&gt;1,1,0))</x:f>
      </x:c>
    </x:row>
    <x:row r="699">
      <x:c r="A699" s="8" t="n"/>
      <x:c r="B699" s="8" t="n"/>
      <x:c r="C699" s="8" t="n"/>
      <x:c r="D699" s="8" t="n"/>
      <x:c r="E699" s="8" t="n"/>
      <x:c r="F699" s="8" t="n"/>
      <x:c r="G699" s="7">
        <x:f>IF(A699="","",IF(01_Parametres!$B$11="Oui",IF((01_Parametres!$B$4*(D699&gt;0)+01_Parametres!$B$5*(E699&gt;0)+01_Parametres!$B$6*(F699&gt;0))=0,"",(01_Parametres!$B$4*IF(D699&gt;0,D699,0)+01_Parametres!$B$5*IF(E699&gt;0,E699,0)+01_Parametres!$B$6*IF(F699&gt;0,F699,0))/(01_Parametres!$B$4*(D699&gt;0)+01_Parametres!$B$5*(E699&gt;0)+01_Parametres!$B$6*(F699&gt;0))),IF(01_Parametres!$B$8=0,"",(01_Parametres!$B$4*D699+01_Parametres!$B$5*E699+01_Parametres!$B$6*F699)/01_Parametres!$B$8)))</x:f>
      </x:c>
      <x:c r="H699">
        <x:f>IFERROR(VLOOKUP(C699,02_Referentiels!$A$20:$D$99,3,FALSE),"")</x:f>
      </x:c>
      <x:c r="I699">
        <x:f>IFERROR(VLOOKUP(B699,02_Referentiels!$A$5:$C$16,2,FALSE),"")</x:f>
      </x:c>
      <x:c r="J699">
        <x:f>IF(A699="","",IF(OR(D699="",E699="",F699=""),1,IF(OR(D699&lt;0,D699&gt;3,E699&lt;0,E699&gt;3,F699&lt;0,F699&gt;3),1,0)))</x:f>
      </x:c>
      <x:c r="K699">
        <x:f>IF(A699="","",IF(G699="",1,0))</x:f>
      </x:c>
      <x:c r="L699">
        <x:f>IF(A699="","",IF(COUNTIFS($A$5:$A$2004,A699,$C$5:$C$2004,C699)&gt;1,1,0))</x:f>
      </x:c>
    </x:row>
    <x:row r="700">
      <x:c r="A700" s="8" t="n"/>
      <x:c r="B700" s="8" t="n"/>
      <x:c r="C700" s="8" t="n"/>
      <x:c r="D700" s="8" t="n"/>
      <x:c r="E700" s="8" t="n"/>
      <x:c r="F700" s="8" t="n"/>
      <x:c r="G700" s="7">
        <x:f>IF(A700="","",IF(01_Parametres!$B$11="Oui",IF((01_Parametres!$B$4*(D700&gt;0)+01_Parametres!$B$5*(E700&gt;0)+01_Parametres!$B$6*(F700&gt;0))=0,"",(01_Parametres!$B$4*IF(D700&gt;0,D700,0)+01_Parametres!$B$5*IF(E700&gt;0,E700,0)+01_Parametres!$B$6*IF(F700&gt;0,F700,0))/(01_Parametres!$B$4*(D700&gt;0)+01_Parametres!$B$5*(E700&gt;0)+01_Parametres!$B$6*(F700&gt;0))),IF(01_Parametres!$B$8=0,"",(01_Parametres!$B$4*D700+01_Parametres!$B$5*E700+01_Parametres!$B$6*F700)/01_Parametres!$B$8)))</x:f>
      </x:c>
      <x:c r="H700">
        <x:f>IFERROR(VLOOKUP(C700,02_Referentiels!$A$20:$D$99,3,FALSE),"")</x:f>
      </x:c>
      <x:c r="I700">
        <x:f>IFERROR(VLOOKUP(B700,02_Referentiels!$A$5:$C$16,2,FALSE),"")</x:f>
      </x:c>
      <x:c r="J700">
        <x:f>IF(A700="","",IF(OR(D700="",E700="",F700=""),1,IF(OR(D700&lt;0,D700&gt;3,E700&lt;0,E700&gt;3,F700&lt;0,F700&gt;3),1,0)))</x:f>
      </x:c>
      <x:c r="K700">
        <x:f>IF(A700="","",IF(G700="",1,0))</x:f>
      </x:c>
      <x:c r="L700">
        <x:f>IF(A700="","",IF(COUNTIFS($A$5:$A$2004,A700,$C$5:$C$2004,C700)&gt;1,1,0))</x:f>
      </x:c>
    </x:row>
    <x:row r="701">
      <x:c r="A701" s="8" t="n"/>
      <x:c r="B701" s="8" t="n"/>
      <x:c r="C701" s="8" t="n"/>
      <x:c r="D701" s="8" t="n"/>
      <x:c r="E701" s="8" t="n"/>
      <x:c r="F701" s="8" t="n"/>
      <x:c r="G701" s="7">
        <x:f>IF(A701="","",IF(01_Parametres!$B$11="Oui",IF((01_Parametres!$B$4*(D701&gt;0)+01_Parametres!$B$5*(E701&gt;0)+01_Parametres!$B$6*(F701&gt;0))=0,"",(01_Parametres!$B$4*IF(D701&gt;0,D701,0)+01_Parametres!$B$5*IF(E701&gt;0,E701,0)+01_Parametres!$B$6*IF(F701&gt;0,F701,0))/(01_Parametres!$B$4*(D701&gt;0)+01_Parametres!$B$5*(E701&gt;0)+01_Parametres!$B$6*(F701&gt;0))),IF(01_Parametres!$B$8=0,"",(01_Parametres!$B$4*D701+01_Parametres!$B$5*E701+01_Parametres!$B$6*F701)/01_Parametres!$B$8)))</x:f>
      </x:c>
      <x:c r="H701">
        <x:f>IFERROR(VLOOKUP(C701,02_Referentiels!$A$20:$D$99,3,FALSE),"")</x:f>
      </x:c>
      <x:c r="I701">
        <x:f>IFERROR(VLOOKUP(B701,02_Referentiels!$A$5:$C$16,2,FALSE),"")</x:f>
      </x:c>
      <x:c r="J701">
        <x:f>IF(A701="","",IF(OR(D701="",E701="",F701=""),1,IF(OR(D701&lt;0,D701&gt;3,E701&lt;0,E701&gt;3,F701&lt;0,F701&gt;3),1,0)))</x:f>
      </x:c>
      <x:c r="K701">
        <x:f>IF(A701="","",IF(G701="",1,0))</x:f>
      </x:c>
      <x:c r="L701">
        <x:f>IF(A701="","",IF(COUNTIFS($A$5:$A$2004,A701,$C$5:$C$2004,C701)&gt;1,1,0))</x:f>
      </x:c>
    </x:row>
    <x:row r="702">
      <x:c r="A702" s="8" t="n"/>
      <x:c r="B702" s="8" t="n"/>
      <x:c r="C702" s="8" t="n"/>
      <x:c r="D702" s="8" t="n"/>
      <x:c r="E702" s="8" t="n"/>
      <x:c r="F702" s="8" t="n"/>
      <x:c r="G702" s="7">
        <x:f>IF(A702="","",IF(01_Parametres!$B$11="Oui",IF((01_Parametres!$B$4*(D702&gt;0)+01_Parametres!$B$5*(E702&gt;0)+01_Parametres!$B$6*(F702&gt;0))=0,"",(01_Parametres!$B$4*IF(D702&gt;0,D702,0)+01_Parametres!$B$5*IF(E702&gt;0,E702,0)+01_Parametres!$B$6*IF(F702&gt;0,F702,0))/(01_Parametres!$B$4*(D702&gt;0)+01_Parametres!$B$5*(E702&gt;0)+01_Parametres!$B$6*(F702&gt;0))),IF(01_Parametres!$B$8=0,"",(01_Parametres!$B$4*D702+01_Parametres!$B$5*E702+01_Parametres!$B$6*F702)/01_Parametres!$B$8)))</x:f>
      </x:c>
      <x:c r="H702">
        <x:f>IFERROR(VLOOKUP(C702,02_Referentiels!$A$20:$D$99,3,FALSE),"")</x:f>
      </x:c>
      <x:c r="I702">
        <x:f>IFERROR(VLOOKUP(B702,02_Referentiels!$A$5:$C$16,2,FALSE),"")</x:f>
      </x:c>
      <x:c r="J702">
        <x:f>IF(A702="","",IF(OR(D702="",E702="",F702=""),1,IF(OR(D702&lt;0,D702&gt;3,E702&lt;0,E702&gt;3,F702&lt;0,F702&gt;3),1,0)))</x:f>
      </x:c>
      <x:c r="K702">
        <x:f>IF(A702="","",IF(G702="",1,0))</x:f>
      </x:c>
      <x:c r="L702">
        <x:f>IF(A702="","",IF(COUNTIFS($A$5:$A$2004,A702,$C$5:$C$2004,C702)&gt;1,1,0))</x:f>
      </x:c>
    </x:row>
    <x:row r="703">
      <x:c r="A703" s="8" t="n"/>
      <x:c r="B703" s="8" t="n"/>
      <x:c r="C703" s="8" t="n"/>
      <x:c r="D703" s="8" t="n"/>
      <x:c r="E703" s="8" t="n"/>
      <x:c r="F703" s="8" t="n"/>
      <x:c r="G703" s="7">
        <x:f>IF(A703="","",IF(01_Parametres!$B$11="Oui",IF((01_Parametres!$B$4*(D703&gt;0)+01_Parametres!$B$5*(E703&gt;0)+01_Parametres!$B$6*(F703&gt;0))=0,"",(01_Parametres!$B$4*IF(D703&gt;0,D703,0)+01_Parametres!$B$5*IF(E703&gt;0,E703,0)+01_Parametres!$B$6*IF(F703&gt;0,F703,0))/(01_Parametres!$B$4*(D703&gt;0)+01_Parametres!$B$5*(E703&gt;0)+01_Parametres!$B$6*(F703&gt;0))),IF(01_Parametres!$B$8=0,"",(01_Parametres!$B$4*D703+01_Parametres!$B$5*E703+01_Parametres!$B$6*F703)/01_Parametres!$B$8)))</x:f>
      </x:c>
      <x:c r="H703">
        <x:f>IFERROR(VLOOKUP(C703,02_Referentiels!$A$20:$D$99,3,FALSE),"")</x:f>
      </x:c>
      <x:c r="I703">
        <x:f>IFERROR(VLOOKUP(B703,02_Referentiels!$A$5:$C$16,2,FALSE),"")</x:f>
      </x:c>
      <x:c r="J703">
        <x:f>IF(A703="","",IF(OR(D703="",E703="",F703=""),1,IF(OR(D703&lt;0,D703&gt;3,E703&lt;0,E703&gt;3,F703&lt;0,F703&gt;3),1,0)))</x:f>
      </x:c>
      <x:c r="K703">
        <x:f>IF(A703="","",IF(G703="",1,0))</x:f>
      </x:c>
      <x:c r="L703">
        <x:f>IF(A703="","",IF(COUNTIFS($A$5:$A$2004,A703,$C$5:$C$2004,C703)&gt;1,1,0))</x:f>
      </x:c>
    </x:row>
    <x:row r="704">
      <x:c r="A704" s="8" t="n"/>
      <x:c r="B704" s="8" t="n"/>
      <x:c r="C704" s="8" t="n"/>
      <x:c r="D704" s="8" t="n"/>
      <x:c r="E704" s="8" t="n"/>
      <x:c r="F704" s="8" t="n"/>
      <x:c r="G704" s="7">
        <x:f>IF(A704="","",IF(01_Parametres!$B$11="Oui",IF((01_Parametres!$B$4*(D704&gt;0)+01_Parametres!$B$5*(E704&gt;0)+01_Parametres!$B$6*(F704&gt;0))=0,"",(01_Parametres!$B$4*IF(D704&gt;0,D704,0)+01_Parametres!$B$5*IF(E704&gt;0,E704,0)+01_Parametres!$B$6*IF(F704&gt;0,F704,0))/(01_Parametres!$B$4*(D704&gt;0)+01_Parametres!$B$5*(E704&gt;0)+01_Parametres!$B$6*(F704&gt;0))),IF(01_Parametres!$B$8=0,"",(01_Parametres!$B$4*D704+01_Parametres!$B$5*E704+01_Parametres!$B$6*F704)/01_Parametres!$B$8)))</x:f>
      </x:c>
      <x:c r="H704">
        <x:f>IFERROR(VLOOKUP(C704,02_Referentiels!$A$20:$D$99,3,FALSE),"")</x:f>
      </x:c>
      <x:c r="I704">
        <x:f>IFERROR(VLOOKUP(B704,02_Referentiels!$A$5:$C$16,2,FALSE),"")</x:f>
      </x:c>
      <x:c r="J704">
        <x:f>IF(A704="","",IF(OR(D704="",E704="",F704=""),1,IF(OR(D704&lt;0,D704&gt;3,E704&lt;0,E704&gt;3,F704&lt;0,F704&gt;3),1,0)))</x:f>
      </x:c>
      <x:c r="K704">
        <x:f>IF(A704="","",IF(G704="",1,0))</x:f>
      </x:c>
      <x:c r="L704">
        <x:f>IF(A704="","",IF(COUNTIFS($A$5:$A$2004,A704,$C$5:$C$2004,C704)&gt;1,1,0))</x:f>
      </x:c>
    </x:row>
    <x:row r="705">
      <x:c r="A705" s="8" t="n"/>
      <x:c r="B705" s="8" t="n"/>
      <x:c r="C705" s="8" t="n"/>
      <x:c r="D705" s="8" t="n"/>
      <x:c r="E705" s="8" t="n"/>
      <x:c r="F705" s="8" t="n"/>
      <x:c r="G705" s="7">
        <x:f>IF(A705="","",IF(01_Parametres!$B$11="Oui",IF((01_Parametres!$B$4*(D705&gt;0)+01_Parametres!$B$5*(E705&gt;0)+01_Parametres!$B$6*(F705&gt;0))=0,"",(01_Parametres!$B$4*IF(D705&gt;0,D705,0)+01_Parametres!$B$5*IF(E705&gt;0,E705,0)+01_Parametres!$B$6*IF(F705&gt;0,F705,0))/(01_Parametres!$B$4*(D705&gt;0)+01_Parametres!$B$5*(E705&gt;0)+01_Parametres!$B$6*(F705&gt;0))),IF(01_Parametres!$B$8=0,"",(01_Parametres!$B$4*D705+01_Parametres!$B$5*E705+01_Parametres!$B$6*F705)/01_Parametres!$B$8)))</x:f>
      </x:c>
      <x:c r="H705">
        <x:f>IFERROR(VLOOKUP(C705,02_Referentiels!$A$20:$D$99,3,FALSE),"")</x:f>
      </x:c>
      <x:c r="I705">
        <x:f>IFERROR(VLOOKUP(B705,02_Referentiels!$A$5:$C$16,2,FALSE),"")</x:f>
      </x:c>
      <x:c r="J705">
        <x:f>IF(A705="","",IF(OR(D705="",E705="",F705=""),1,IF(OR(D705&lt;0,D705&gt;3,E705&lt;0,E705&gt;3,F705&lt;0,F705&gt;3),1,0)))</x:f>
      </x:c>
      <x:c r="K705">
        <x:f>IF(A705="","",IF(G705="",1,0))</x:f>
      </x:c>
      <x:c r="L705">
        <x:f>IF(A705="","",IF(COUNTIFS($A$5:$A$2004,A705,$C$5:$C$2004,C705)&gt;1,1,0))</x:f>
      </x:c>
    </x:row>
    <x:row r="706">
      <x:c r="A706" s="8" t="n"/>
      <x:c r="B706" s="8" t="n"/>
      <x:c r="C706" s="8" t="n"/>
      <x:c r="D706" s="8" t="n"/>
      <x:c r="E706" s="8" t="n"/>
      <x:c r="F706" s="8" t="n"/>
      <x:c r="G706" s="7">
        <x:f>IF(A706="","",IF(01_Parametres!$B$11="Oui",IF((01_Parametres!$B$4*(D706&gt;0)+01_Parametres!$B$5*(E706&gt;0)+01_Parametres!$B$6*(F706&gt;0))=0,"",(01_Parametres!$B$4*IF(D706&gt;0,D706,0)+01_Parametres!$B$5*IF(E706&gt;0,E706,0)+01_Parametres!$B$6*IF(F706&gt;0,F706,0))/(01_Parametres!$B$4*(D706&gt;0)+01_Parametres!$B$5*(E706&gt;0)+01_Parametres!$B$6*(F706&gt;0))),IF(01_Parametres!$B$8=0,"",(01_Parametres!$B$4*D706+01_Parametres!$B$5*E706+01_Parametres!$B$6*F706)/01_Parametres!$B$8)))</x:f>
      </x:c>
      <x:c r="H706">
        <x:f>IFERROR(VLOOKUP(C706,02_Referentiels!$A$20:$D$99,3,FALSE),"")</x:f>
      </x:c>
      <x:c r="I706">
        <x:f>IFERROR(VLOOKUP(B706,02_Referentiels!$A$5:$C$16,2,FALSE),"")</x:f>
      </x:c>
      <x:c r="J706">
        <x:f>IF(A706="","",IF(OR(D706="",E706="",F706=""),1,IF(OR(D706&lt;0,D706&gt;3,E706&lt;0,E706&gt;3,F706&lt;0,F706&gt;3),1,0)))</x:f>
      </x:c>
      <x:c r="K706">
        <x:f>IF(A706="","",IF(G706="",1,0))</x:f>
      </x:c>
      <x:c r="L706">
        <x:f>IF(A706="","",IF(COUNTIFS($A$5:$A$2004,A706,$C$5:$C$2004,C706)&gt;1,1,0))</x:f>
      </x:c>
    </x:row>
    <x:row r="707">
      <x:c r="A707" s="8" t="n"/>
      <x:c r="B707" s="8" t="n"/>
      <x:c r="C707" s="8" t="n"/>
      <x:c r="D707" s="8" t="n"/>
      <x:c r="E707" s="8" t="n"/>
      <x:c r="F707" s="8" t="n"/>
      <x:c r="G707" s="7">
        <x:f>IF(A707="","",IF(01_Parametres!$B$11="Oui",IF((01_Parametres!$B$4*(D707&gt;0)+01_Parametres!$B$5*(E707&gt;0)+01_Parametres!$B$6*(F707&gt;0))=0,"",(01_Parametres!$B$4*IF(D707&gt;0,D707,0)+01_Parametres!$B$5*IF(E707&gt;0,E707,0)+01_Parametres!$B$6*IF(F707&gt;0,F707,0))/(01_Parametres!$B$4*(D707&gt;0)+01_Parametres!$B$5*(E707&gt;0)+01_Parametres!$B$6*(F707&gt;0))),IF(01_Parametres!$B$8=0,"",(01_Parametres!$B$4*D707+01_Parametres!$B$5*E707+01_Parametres!$B$6*F707)/01_Parametres!$B$8)))</x:f>
      </x:c>
      <x:c r="H707">
        <x:f>IFERROR(VLOOKUP(C707,02_Referentiels!$A$20:$D$99,3,FALSE),"")</x:f>
      </x:c>
      <x:c r="I707">
        <x:f>IFERROR(VLOOKUP(B707,02_Referentiels!$A$5:$C$16,2,FALSE),"")</x:f>
      </x:c>
      <x:c r="J707">
        <x:f>IF(A707="","",IF(OR(D707="",E707="",F707=""),1,IF(OR(D707&lt;0,D707&gt;3,E707&lt;0,E707&gt;3,F707&lt;0,F707&gt;3),1,0)))</x:f>
      </x:c>
      <x:c r="K707">
        <x:f>IF(A707="","",IF(G707="",1,0))</x:f>
      </x:c>
      <x:c r="L707">
        <x:f>IF(A707="","",IF(COUNTIFS($A$5:$A$2004,A707,$C$5:$C$2004,C707)&gt;1,1,0))</x:f>
      </x:c>
    </x:row>
    <x:row r="708">
      <x:c r="A708" s="8" t="n"/>
      <x:c r="B708" s="8" t="n"/>
      <x:c r="C708" s="8" t="n"/>
      <x:c r="D708" s="8" t="n"/>
      <x:c r="E708" s="8" t="n"/>
      <x:c r="F708" s="8" t="n"/>
      <x:c r="G708" s="7">
        <x:f>IF(A708="","",IF(01_Parametres!$B$11="Oui",IF((01_Parametres!$B$4*(D708&gt;0)+01_Parametres!$B$5*(E708&gt;0)+01_Parametres!$B$6*(F708&gt;0))=0,"",(01_Parametres!$B$4*IF(D708&gt;0,D708,0)+01_Parametres!$B$5*IF(E708&gt;0,E708,0)+01_Parametres!$B$6*IF(F708&gt;0,F708,0))/(01_Parametres!$B$4*(D708&gt;0)+01_Parametres!$B$5*(E708&gt;0)+01_Parametres!$B$6*(F708&gt;0))),IF(01_Parametres!$B$8=0,"",(01_Parametres!$B$4*D708+01_Parametres!$B$5*E708+01_Parametres!$B$6*F708)/01_Parametres!$B$8)))</x:f>
      </x:c>
      <x:c r="H708">
        <x:f>IFERROR(VLOOKUP(C708,02_Referentiels!$A$20:$D$99,3,FALSE),"")</x:f>
      </x:c>
      <x:c r="I708">
        <x:f>IFERROR(VLOOKUP(B708,02_Referentiels!$A$5:$C$16,2,FALSE),"")</x:f>
      </x:c>
      <x:c r="J708">
        <x:f>IF(A708="","",IF(OR(D708="",E708="",F708=""),1,IF(OR(D708&lt;0,D708&gt;3,E708&lt;0,E708&gt;3,F708&lt;0,F708&gt;3),1,0)))</x:f>
      </x:c>
      <x:c r="K708">
        <x:f>IF(A708="","",IF(G708="",1,0))</x:f>
      </x:c>
      <x:c r="L708">
        <x:f>IF(A708="","",IF(COUNTIFS($A$5:$A$2004,A708,$C$5:$C$2004,C708)&gt;1,1,0))</x:f>
      </x:c>
    </x:row>
    <x:row r="709">
      <x:c r="A709" s="8" t="n"/>
      <x:c r="B709" s="8" t="n"/>
      <x:c r="C709" s="8" t="n"/>
      <x:c r="D709" s="8" t="n"/>
      <x:c r="E709" s="8" t="n"/>
      <x:c r="F709" s="8" t="n"/>
      <x:c r="G709" s="7">
        <x:f>IF(A709="","",IF(01_Parametres!$B$11="Oui",IF((01_Parametres!$B$4*(D709&gt;0)+01_Parametres!$B$5*(E709&gt;0)+01_Parametres!$B$6*(F709&gt;0))=0,"",(01_Parametres!$B$4*IF(D709&gt;0,D709,0)+01_Parametres!$B$5*IF(E709&gt;0,E709,0)+01_Parametres!$B$6*IF(F709&gt;0,F709,0))/(01_Parametres!$B$4*(D709&gt;0)+01_Parametres!$B$5*(E709&gt;0)+01_Parametres!$B$6*(F709&gt;0))),IF(01_Parametres!$B$8=0,"",(01_Parametres!$B$4*D709+01_Parametres!$B$5*E709+01_Parametres!$B$6*F709)/01_Parametres!$B$8)))</x:f>
      </x:c>
      <x:c r="H709">
        <x:f>IFERROR(VLOOKUP(C709,02_Referentiels!$A$20:$D$99,3,FALSE),"")</x:f>
      </x:c>
      <x:c r="I709">
        <x:f>IFERROR(VLOOKUP(B709,02_Referentiels!$A$5:$C$16,2,FALSE),"")</x:f>
      </x:c>
      <x:c r="J709">
        <x:f>IF(A709="","",IF(OR(D709="",E709="",F709=""),1,IF(OR(D709&lt;0,D709&gt;3,E709&lt;0,E709&gt;3,F709&lt;0,F709&gt;3),1,0)))</x:f>
      </x:c>
      <x:c r="K709">
        <x:f>IF(A709="","",IF(G709="",1,0))</x:f>
      </x:c>
      <x:c r="L709">
        <x:f>IF(A709="","",IF(COUNTIFS($A$5:$A$2004,A709,$C$5:$C$2004,C709)&gt;1,1,0))</x:f>
      </x:c>
    </x:row>
    <x:row r="710">
      <x:c r="A710" s="8" t="n"/>
      <x:c r="B710" s="8" t="n"/>
      <x:c r="C710" s="8" t="n"/>
      <x:c r="D710" s="8" t="n"/>
      <x:c r="E710" s="8" t="n"/>
      <x:c r="F710" s="8" t="n"/>
      <x:c r="G710" s="7">
        <x:f>IF(A710="","",IF(01_Parametres!$B$11="Oui",IF((01_Parametres!$B$4*(D710&gt;0)+01_Parametres!$B$5*(E710&gt;0)+01_Parametres!$B$6*(F710&gt;0))=0,"",(01_Parametres!$B$4*IF(D710&gt;0,D710,0)+01_Parametres!$B$5*IF(E710&gt;0,E710,0)+01_Parametres!$B$6*IF(F710&gt;0,F710,0))/(01_Parametres!$B$4*(D710&gt;0)+01_Parametres!$B$5*(E710&gt;0)+01_Parametres!$B$6*(F710&gt;0))),IF(01_Parametres!$B$8=0,"",(01_Parametres!$B$4*D710+01_Parametres!$B$5*E710+01_Parametres!$B$6*F710)/01_Parametres!$B$8)))</x:f>
      </x:c>
      <x:c r="H710">
        <x:f>IFERROR(VLOOKUP(C710,02_Referentiels!$A$20:$D$99,3,FALSE),"")</x:f>
      </x:c>
      <x:c r="I710">
        <x:f>IFERROR(VLOOKUP(B710,02_Referentiels!$A$5:$C$16,2,FALSE),"")</x:f>
      </x:c>
      <x:c r="J710">
        <x:f>IF(A710="","",IF(OR(D710="",E710="",F710=""),1,IF(OR(D710&lt;0,D710&gt;3,E710&lt;0,E710&gt;3,F710&lt;0,F710&gt;3),1,0)))</x:f>
      </x:c>
      <x:c r="K710">
        <x:f>IF(A710="","",IF(G710="",1,0))</x:f>
      </x:c>
      <x:c r="L710">
        <x:f>IF(A710="","",IF(COUNTIFS($A$5:$A$2004,A710,$C$5:$C$2004,C710)&gt;1,1,0))</x:f>
      </x:c>
    </x:row>
    <x:row r="711">
      <x:c r="A711" s="8" t="n"/>
      <x:c r="B711" s="8" t="n"/>
      <x:c r="C711" s="8" t="n"/>
      <x:c r="D711" s="8" t="n"/>
      <x:c r="E711" s="8" t="n"/>
      <x:c r="F711" s="8" t="n"/>
      <x:c r="G711" s="7">
        <x:f>IF(A711="","",IF(01_Parametres!$B$11="Oui",IF((01_Parametres!$B$4*(D711&gt;0)+01_Parametres!$B$5*(E711&gt;0)+01_Parametres!$B$6*(F711&gt;0))=0,"",(01_Parametres!$B$4*IF(D711&gt;0,D711,0)+01_Parametres!$B$5*IF(E711&gt;0,E711,0)+01_Parametres!$B$6*IF(F711&gt;0,F711,0))/(01_Parametres!$B$4*(D711&gt;0)+01_Parametres!$B$5*(E711&gt;0)+01_Parametres!$B$6*(F711&gt;0))),IF(01_Parametres!$B$8=0,"",(01_Parametres!$B$4*D711+01_Parametres!$B$5*E711+01_Parametres!$B$6*F711)/01_Parametres!$B$8)))</x:f>
      </x:c>
      <x:c r="H711">
        <x:f>IFERROR(VLOOKUP(C711,02_Referentiels!$A$20:$D$99,3,FALSE),"")</x:f>
      </x:c>
      <x:c r="I711">
        <x:f>IFERROR(VLOOKUP(B711,02_Referentiels!$A$5:$C$16,2,FALSE),"")</x:f>
      </x:c>
      <x:c r="J711">
        <x:f>IF(A711="","",IF(OR(D711="",E711="",F711=""),1,IF(OR(D711&lt;0,D711&gt;3,E711&lt;0,E711&gt;3,F711&lt;0,F711&gt;3),1,0)))</x:f>
      </x:c>
      <x:c r="K711">
        <x:f>IF(A711="","",IF(G711="",1,0))</x:f>
      </x:c>
      <x:c r="L711">
        <x:f>IF(A711="","",IF(COUNTIFS($A$5:$A$2004,A711,$C$5:$C$2004,C711)&gt;1,1,0))</x:f>
      </x:c>
    </x:row>
    <x:row r="712">
      <x:c r="A712" s="8" t="n"/>
      <x:c r="B712" s="8" t="n"/>
      <x:c r="C712" s="8" t="n"/>
      <x:c r="D712" s="8" t="n"/>
      <x:c r="E712" s="8" t="n"/>
      <x:c r="F712" s="8" t="n"/>
      <x:c r="G712" s="7">
        <x:f>IF(A712="","",IF(01_Parametres!$B$11="Oui",IF((01_Parametres!$B$4*(D712&gt;0)+01_Parametres!$B$5*(E712&gt;0)+01_Parametres!$B$6*(F712&gt;0))=0,"",(01_Parametres!$B$4*IF(D712&gt;0,D712,0)+01_Parametres!$B$5*IF(E712&gt;0,E712,0)+01_Parametres!$B$6*IF(F712&gt;0,F712,0))/(01_Parametres!$B$4*(D712&gt;0)+01_Parametres!$B$5*(E712&gt;0)+01_Parametres!$B$6*(F712&gt;0))),IF(01_Parametres!$B$8=0,"",(01_Parametres!$B$4*D712+01_Parametres!$B$5*E712+01_Parametres!$B$6*F712)/01_Parametres!$B$8)))</x:f>
      </x:c>
      <x:c r="H712">
        <x:f>IFERROR(VLOOKUP(C712,02_Referentiels!$A$20:$D$99,3,FALSE),"")</x:f>
      </x:c>
      <x:c r="I712">
        <x:f>IFERROR(VLOOKUP(B712,02_Referentiels!$A$5:$C$16,2,FALSE),"")</x:f>
      </x:c>
      <x:c r="J712">
        <x:f>IF(A712="","",IF(OR(D712="",E712="",F712=""),1,IF(OR(D712&lt;0,D712&gt;3,E712&lt;0,E712&gt;3,F712&lt;0,F712&gt;3),1,0)))</x:f>
      </x:c>
      <x:c r="K712">
        <x:f>IF(A712="","",IF(G712="",1,0))</x:f>
      </x:c>
      <x:c r="L712">
        <x:f>IF(A712="","",IF(COUNTIFS($A$5:$A$2004,A712,$C$5:$C$2004,C712)&gt;1,1,0))</x:f>
      </x:c>
    </x:row>
    <x:row r="713">
      <x:c r="A713" s="8" t="n"/>
      <x:c r="B713" s="8" t="n"/>
      <x:c r="C713" s="8" t="n"/>
      <x:c r="D713" s="8" t="n"/>
      <x:c r="E713" s="8" t="n"/>
      <x:c r="F713" s="8" t="n"/>
      <x:c r="G713" s="7">
        <x:f>IF(A713="","",IF(01_Parametres!$B$11="Oui",IF((01_Parametres!$B$4*(D713&gt;0)+01_Parametres!$B$5*(E713&gt;0)+01_Parametres!$B$6*(F713&gt;0))=0,"",(01_Parametres!$B$4*IF(D713&gt;0,D713,0)+01_Parametres!$B$5*IF(E713&gt;0,E713,0)+01_Parametres!$B$6*IF(F713&gt;0,F713,0))/(01_Parametres!$B$4*(D713&gt;0)+01_Parametres!$B$5*(E713&gt;0)+01_Parametres!$B$6*(F713&gt;0))),IF(01_Parametres!$B$8=0,"",(01_Parametres!$B$4*D713+01_Parametres!$B$5*E713+01_Parametres!$B$6*F713)/01_Parametres!$B$8)))</x:f>
      </x:c>
      <x:c r="H713">
        <x:f>IFERROR(VLOOKUP(C713,02_Referentiels!$A$20:$D$99,3,FALSE),"")</x:f>
      </x:c>
      <x:c r="I713">
        <x:f>IFERROR(VLOOKUP(B713,02_Referentiels!$A$5:$C$16,2,FALSE),"")</x:f>
      </x:c>
      <x:c r="J713">
        <x:f>IF(A713="","",IF(OR(D713="",E713="",F713=""),1,IF(OR(D713&lt;0,D713&gt;3,E713&lt;0,E713&gt;3,F713&lt;0,F713&gt;3),1,0)))</x:f>
      </x:c>
      <x:c r="K713">
        <x:f>IF(A713="","",IF(G713="",1,0))</x:f>
      </x:c>
      <x:c r="L713">
        <x:f>IF(A713="","",IF(COUNTIFS($A$5:$A$2004,A713,$C$5:$C$2004,C713)&gt;1,1,0))</x:f>
      </x:c>
    </x:row>
    <x:row r="714">
      <x:c r="A714" s="8" t="n"/>
      <x:c r="B714" s="8" t="n"/>
      <x:c r="C714" s="8" t="n"/>
      <x:c r="D714" s="8" t="n"/>
      <x:c r="E714" s="8" t="n"/>
      <x:c r="F714" s="8" t="n"/>
      <x:c r="G714" s="7">
        <x:f>IF(A714="","",IF(01_Parametres!$B$11="Oui",IF((01_Parametres!$B$4*(D714&gt;0)+01_Parametres!$B$5*(E714&gt;0)+01_Parametres!$B$6*(F714&gt;0))=0,"",(01_Parametres!$B$4*IF(D714&gt;0,D714,0)+01_Parametres!$B$5*IF(E714&gt;0,E714,0)+01_Parametres!$B$6*IF(F714&gt;0,F714,0))/(01_Parametres!$B$4*(D714&gt;0)+01_Parametres!$B$5*(E714&gt;0)+01_Parametres!$B$6*(F714&gt;0))),IF(01_Parametres!$B$8=0,"",(01_Parametres!$B$4*D714+01_Parametres!$B$5*E714+01_Parametres!$B$6*F714)/01_Parametres!$B$8)))</x:f>
      </x:c>
      <x:c r="H714">
        <x:f>IFERROR(VLOOKUP(C714,02_Referentiels!$A$20:$D$99,3,FALSE),"")</x:f>
      </x:c>
      <x:c r="I714">
        <x:f>IFERROR(VLOOKUP(B714,02_Referentiels!$A$5:$C$16,2,FALSE),"")</x:f>
      </x:c>
      <x:c r="J714">
        <x:f>IF(A714="","",IF(OR(D714="",E714="",F714=""),1,IF(OR(D714&lt;0,D714&gt;3,E714&lt;0,E714&gt;3,F714&lt;0,F714&gt;3),1,0)))</x:f>
      </x:c>
      <x:c r="K714">
        <x:f>IF(A714="","",IF(G714="",1,0))</x:f>
      </x:c>
      <x:c r="L714">
        <x:f>IF(A714="","",IF(COUNTIFS($A$5:$A$2004,A714,$C$5:$C$2004,C714)&gt;1,1,0))</x:f>
      </x:c>
    </x:row>
    <x:row r="715">
      <x:c r="A715" s="8" t="n"/>
      <x:c r="B715" s="8" t="n"/>
      <x:c r="C715" s="8" t="n"/>
      <x:c r="D715" s="8" t="n"/>
      <x:c r="E715" s="8" t="n"/>
      <x:c r="F715" s="8" t="n"/>
      <x:c r="G715" s="7">
        <x:f>IF(A715="","",IF(01_Parametres!$B$11="Oui",IF((01_Parametres!$B$4*(D715&gt;0)+01_Parametres!$B$5*(E715&gt;0)+01_Parametres!$B$6*(F715&gt;0))=0,"",(01_Parametres!$B$4*IF(D715&gt;0,D715,0)+01_Parametres!$B$5*IF(E715&gt;0,E715,0)+01_Parametres!$B$6*IF(F715&gt;0,F715,0))/(01_Parametres!$B$4*(D715&gt;0)+01_Parametres!$B$5*(E715&gt;0)+01_Parametres!$B$6*(F715&gt;0))),IF(01_Parametres!$B$8=0,"",(01_Parametres!$B$4*D715+01_Parametres!$B$5*E715+01_Parametres!$B$6*F715)/01_Parametres!$B$8)))</x:f>
      </x:c>
      <x:c r="H715">
        <x:f>IFERROR(VLOOKUP(C715,02_Referentiels!$A$20:$D$99,3,FALSE),"")</x:f>
      </x:c>
      <x:c r="I715">
        <x:f>IFERROR(VLOOKUP(B715,02_Referentiels!$A$5:$C$16,2,FALSE),"")</x:f>
      </x:c>
      <x:c r="J715">
        <x:f>IF(A715="","",IF(OR(D715="",E715="",F715=""),1,IF(OR(D715&lt;0,D715&gt;3,E715&lt;0,E715&gt;3,F715&lt;0,F715&gt;3),1,0)))</x:f>
      </x:c>
      <x:c r="K715">
        <x:f>IF(A715="","",IF(G715="",1,0))</x:f>
      </x:c>
      <x:c r="L715">
        <x:f>IF(A715="","",IF(COUNTIFS($A$5:$A$2004,A715,$C$5:$C$2004,C715)&gt;1,1,0))</x:f>
      </x:c>
    </x:row>
    <x:row r="716">
      <x:c r="A716" s="8" t="n"/>
      <x:c r="B716" s="8" t="n"/>
      <x:c r="C716" s="8" t="n"/>
      <x:c r="D716" s="8" t="n"/>
      <x:c r="E716" s="8" t="n"/>
      <x:c r="F716" s="8" t="n"/>
      <x:c r="G716" s="7">
        <x:f>IF(A716="","",IF(01_Parametres!$B$11="Oui",IF((01_Parametres!$B$4*(D716&gt;0)+01_Parametres!$B$5*(E716&gt;0)+01_Parametres!$B$6*(F716&gt;0))=0,"",(01_Parametres!$B$4*IF(D716&gt;0,D716,0)+01_Parametres!$B$5*IF(E716&gt;0,E716,0)+01_Parametres!$B$6*IF(F716&gt;0,F716,0))/(01_Parametres!$B$4*(D716&gt;0)+01_Parametres!$B$5*(E716&gt;0)+01_Parametres!$B$6*(F716&gt;0))),IF(01_Parametres!$B$8=0,"",(01_Parametres!$B$4*D716+01_Parametres!$B$5*E716+01_Parametres!$B$6*F716)/01_Parametres!$B$8)))</x:f>
      </x:c>
      <x:c r="H716">
        <x:f>IFERROR(VLOOKUP(C716,02_Referentiels!$A$20:$D$99,3,FALSE),"")</x:f>
      </x:c>
      <x:c r="I716">
        <x:f>IFERROR(VLOOKUP(B716,02_Referentiels!$A$5:$C$16,2,FALSE),"")</x:f>
      </x:c>
      <x:c r="J716">
        <x:f>IF(A716="","",IF(OR(D716="",E716="",F716=""),1,IF(OR(D716&lt;0,D716&gt;3,E716&lt;0,E716&gt;3,F716&lt;0,F716&gt;3),1,0)))</x:f>
      </x:c>
      <x:c r="K716">
        <x:f>IF(A716="","",IF(G716="",1,0))</x:f>
      </x:c>
      <x:c r="L716">
        <x:f>IF(A716="","",IF(COUNTIFS($A$5:$A$2004,A716,$C$5:$C$2004,C716)&gt;1,1,0))</x:f>
      </x:c>
    </x:row>
    <x:row r="717">
      <x:c r="A717" s="8" t="n"/>
      <x:c r="B717" s="8" t="n"/>
      <x:c r="C717" s="8" t="n"/>
      <x:c r="D717" s="8" t="n"/>
      <x:c r="E717" s="8" t="n"/>
      <x:c r="F717" s="8" t="n"/>
      <x:c r="G717" s="7">
        <x:f>IF(A717="","",IF(01_Parametres!$B$11="Oui",IF((01_Parametres!$B$4*(D717&gt;0)+01_Parametres!$B$5*(E717&gt;0)+01_Parametres!$B$6*(F717&gt;0))=0,"",(01_Parametres!$B$4*IF(D717&gt;0,D717,0)+01_Parametres!$B$5*IF(E717&gt;0,E717,0)+01_Parametres!$B$6*IF(F717&gt;0,F717,0))/(01_Parametres!$B$4*(D717&gt;0)+01_Parametres!$B$5*(E717&gt;0)+01_Parametres!$B$6*(F717&gt;0))),IF(01_Parametres!$B$8=0,"",(01_Parametres!$B$4*D717+01_Parametres!$B$5*E717+01_Parametres!$B$6*F717)/01_Parametres!$B$8)))</x:f>
      </x:c>
      <x:c r="H717">
        <x:f>IFERROR(VLOOKUP(C717,02_Referentiels!$A$20:$D$99,3,FALSE),"")</x:f>
      </x:c>
      <x:c r="I717">
        <x:f>IFERROR(VLOOKUP(B717,02_Referentiels!$A$5:$C$16,2,FALSE),"")</x:f>
      </x:c>
      <x:c r="J717">
        <x:f>IF(A717="","",IF(OR(D717="",E717="",F717=""),1,IF(OR(D717&lt;0,D717&gt;3,E717&lt;0,E717&gt;3,F717&lt;0,F717&gt;3),1,0)))</x:f>
      </x:c>
      <x:c r="K717">
        <x:f>IF(A717="","",IF(G717="",1,0))</x:f>
      </x:c>
      <x:c r="L717">
        <x:f>IF(A717="","",IF(COUNTIFS($A$5:$A$2004,A717,$C$5:$C$2004,C717)&gt;1,1,0))</x:f>
      </x:c>
    </x:row>
    <x:row r="718">
      <x:c r="A718" s="8" t="n"/>
      <x:c r="B718" s="8" t="n"/>
      <x:c r="C718" s="8" t="n"/>
      <x:c r="D718" s="8" t="n"/>
      <x:c r="E718" s="8" t="n"/>
      <x:c r="F718" s="8" t="n"/>
      <x:c r="G718" s="7">
        <x:f>IF(A718="","",IF(01_Parametres!$B$11="Oui",IF((01_Parametres!$B$4*(D718&gt;0)+01_Parametres!$B$5*(E718&gt;0)+01_Parametres!$B$6*(F718&gt;0))=0,"",(01_Parametres!$B$4*IF(D718&gt;0,D718,0)+01_Parametres!$B$5*IF(E718&gt;0,E718,0)+01_Parametres!$B$6*IF(F718&gt;0,F718,0))/(01_Parametres!$B$4*(D718&gt;0)+01_Parametres!$B$5*(E718&gt;0)+01_Parametres!$B$6*(F718&gt;0))),IF(01_Parametres!$B$8=0,"",(01_Parametres!$B$4*D718+01_Parametres!$B$5*E718+01_Parametres!$B$6*F718)/01_Parametres!$B$8)))</x:f>
      </x:c>
      <x:c r="H718">
        <x:f>IFERROR(VLOOKUP(C718,02_Referentiels!$A$20:$D$99,3,FALSE),"")</x:f>
      </x:c>
      <x:c r="I718">
        <x:f>IFERROR(VLOOKUP(B718,02_Referentiels!$A$5:$C$16,2,FALSE),"")</x:f>
      </x:c>
      <x:c r="J718">
        <x:f>IF(A718="","",IF(OR(D718="",E718="",F718=""),1,IF(OR(D718&lt;0,D718&gt;3,E718&lt;0,E718&gt;3,F718&lt;0,F718&gt;3),1,0)))</x:f>
      </x:c>
      <x:c r="K718">
        <x:f>IF(A718="","",IF(G718="",1,0))</x:f>
      </x:c>
      <x:c r="L718">
        <x:f>IF(A718="","",IF(COUNTIFS($A$5:$A$2004,A718,$C$5:$C$2004,C718)&gt;1,1,0))</x:f>
      </x:c>
    </x:row>
    <x:row r="719">
      <x:c r="A719" s="8" t="n"/>
      <x:c r="B719" s="8" t="n"/>
      <x:c r="C719" s="8" t="n"/>
      <x:c r="D719" s="8" t="n"/>
      <x:c r="E719" s="8" t="n"/>
      <x:c r="F719" s="8" t="n"/>
      <x:c r="G719" s="7">
        <x:f>IF(A719="","",IF(01_Parametres!$B$11="Oui",IF((01_Parametres!$B$4*(D719&gt;0)+01_Parametres!$B$5*(E719&gt;0)+01_Parametres!$B$6*(F719&gt;0))=0,"",(01_Parametres!$B$4*IF(D719&gt;0,D719,0)+01_Parametres!$B$5*IF(E719&gt;0,E719,0)+01_Parametres!$B$6*IF(F719&gt;0,F719,0))/(01_Parametres!$B$4*(D719&gt;0)+01_Parametres!$B$5*(E719&gt;0)+01_Parametres!$B$6*(F719&gt;0))),IF(01_Parametres!$B$8=0,"",(01_Parametres!$B$4*D719+01_Parametres!$B$5*E719+01_Parametres!$B$6*F719)/01_Parametres!$B$8)))</x:f>
      </x:c>
      <x:c r="H719">
        <x:f>IFERROR(VLOOKUP(C719,02_Referentiels!$A$20:$D$99,3,FALSE),"")</x:f>
      </x:c>
      <x:c r="I719">
        <x:f>IFERROR(VLOOKUP(B719,02_Referentiels!$A$5:$C$16,2,FALSE),"")</x:f>
      </x:c>
      <x:c r="J719">
        <x:f>IF(A719="","",IF(OR(D719="",E719="",F719=""),1,IF(OR(D719&lt;0,D719&gt;3,E719&lt;0,E719&gt;3,F719&lt;0,F719&gt;3),1,0)))</x:f>
      </x:c>
      <x:c r="K719">
        <x:f>IF(A719="","",IF(G719="",1,0))</x:f>
      </x:c>
      <x:c r="L719">
        <x:f>IF(A719="","",IF(COUNTIFS($A$5:$A$2004,A719,$C$5:$C$2004,C719)&gt;1,1,0))</x:f>
      </x:c>
    </x:row>
    <x:row r="720">
      <x:c r="A720" s="8" t="n"/>
      <x:c r="B720" s="8" t="n"/>
      <x:c r="C720" s="8" t="n"/>
      <x:c r="D720" s="8" t="n"/>
      <x:c r="E720" s="8" t="n"/>
      <x:c r="F720" s="8" t="n"/>
      <x:c r="G720" s="7">
        <x:f>IF(A720="","",IF(01_Parametres!$B$11="Oui",IF((01_Parametres!$B$4*(D720&gt;0)+01_Parametres!$B$5*(E720&gt;0)+01_Parametres!$B$6*(F720&gt;0))=0,"",(01_Parametres!$B$4*IF(D720&gt;0,D720,0)+01_Parametres!$B$5*IF(E720&gt;0,E720,0)+01_Parametres!$B$6*IF(F720&gt;0,F720,0))/(01_Parametres!$B$4*(D720&gt;0)+01_Parametres!$B$5*(E720&gt;0)+01_Parametres!$B$6*(F720&gt;0))),IF(01_Parametres!$B$8=0,"",(01_Parametres!$B$4*D720+01_Parametres!$B$5*E720+01_Parametres!$B$6*F720)/01_Parametres!$B$8)))</x:f>
      </x:c>
      <x:c r="H720">
        <x:f>IFERROR(VLOOKUP(C720,02_Referentiels!$A$20:$D$99,3,FALSE),"")</x:f>
      </x:c>
      <x:c r="I720">
        <x:f>IFERROR(VLOOKUP(B720,02_Referentiels!$A$5:$C$16,2,FALSE),"")</x:f>
      </x:c>
      <x:c r="J720">
        <x:f>IF(A720="","",IF(OR(D720="",E720="",F720=""),1,IF(OR(D720&lt;0,D720&gt;3,E720&lt;0,E720&gt;3,F720&lt;0,F720&gt;3),1,0)))</x:f>
      </x:c>
      <x:c r="K720">
        <x:f>IF(A720="","",IF(G720="",1,0))</x:f>
      </x:c>
      <x:c r="L720">
        <x:f>IF(A720="","",IF(COUNTIFS($A$5:$A$2004,A720,$C$5:$C$2004,C720)&gt;1,1,0))</x:f>
      </x:c>
    </x:row>
    <x:row r="721">
      <x:c r="A721" s="8" t="n"/>
      <x:c r="B721" s="8" t="n"/>
      <x:c r="C721" s="8" t="n"/>
      <x:c r="D721" s="8" t="n"/>
      <x:c r="E721" s="8" t="n"/>
      <x:c r="F721" s="8" t="n"/>
      <x:c r="G721" s="7">
        <x:f>IF(A721="","",IF(01_Parametres!$B$11="Oui",IF((01_Parametres!$B$4*(D721&gt;0)+01_Parametres!$B$5*(E721&gt;0)+01_Parametres!$B$6*(F721&gt;0))=0,"",(01_Parametres!$B$4*IF(D721&gt;0,D721,0)+01_Parametres!$B$5*IF(E721&gt;0,E721,0)+01_Parametres!$B$6*IF(F721&gt;0,F721,0))/(01_Parametres!$B$4*(D721&gt;0)+01_Parametres!$B$5*(E721&gt;0)+01_Parametres!$B$6*(F721&gt;0))),IF(01_Parametres!$B$8=0,"",(01_Parametres!$B$4*D721+01_Parametres!$B$5*E721+01_Parametres!$B$6*F721)/01_Parametres!$B$8)))</x:f>
      </x:c>
      <x:c r="H721">
        <x:f>IFERROR(VLOOKUP(C721,02_Referentiels!$A$20:$D$99,3,FALSE),"")</x:f>
      </x:c>
      <x:c r="I721">
        <x:f>IFERROR(VLOOKUP(B721,02_Referentiels!$A$5:$C$16,2,FALSE),"")</x:f>
      </x:c>
      <x:c r="J721">
        <x:f>IF(A721="","",IF(OR(D721="",E721="",F721=""),1,IF(OR(D721&lt;0,D721&gt;3,E721&lt;0,E721&gt;3,F721&lt;0,F721&gt;3),1,0)))</x:f>
      </x:c>
      <x:c r="K721">
        <x:f>IF(A721="","",IF(G721="",1,0))</x:f>
      </x:c>
      <x:c r="L721">
        <x:f>IF(A721="","",IF(COUNTIFS($A$5:$A$2004,A721,$C$5:$C$2004,C721)&gt;1,1,0))</x:f>
      </x:c>
    </x:row>
    <x:row r="722">
      <x:c r="A722" s="8" t="n"/>
      <x:c r="B722" s="8" t="n"/>
      <x:c r="C722" s="8" t="n"/>
      <x:c r="D722" s="8" t="n"/>
      <x:c r="E722" s="8" t="n"/>
      <x:c r="F722" s="8" t="n"/>
      <x:c r="G722" s="7">
        <x:f>IF(A722="","",IF(01_Parametres!$B$11="Oui",IF((01_Parametres!$B$4*(D722&gt;0)+01_Parametres!$B$5*(E722&gt;0)+01_Parametres!$B$6*(F722&gt;0))=0,"",(01_Parametres!$B$4*IF(D722&gt;0,D722,0)+01_Parametres!$B$5*IF(E722&gt;0,E722,0)+01_Parametres!$B$6*IF(F722&gt;0,F722,0))/(01_Parametres!$B$4*(D722&gt;0)+01_Parametres!$B$5*(E722&gt;0)+01_Parametres!$B$6*(F722&gt;0))),IF(01_Parametres!$B$8=0,"",(01_Parametres!$B$4*D722+01_Parametres!$B$5*E722+01_Parametres!$B$6*F722)/01_Parametres!$B$8)))</x:f>
      </x:c>
      <x:c r="H722">
        <x:f>IFERROR(VLOOKUP(C722,02_Referentiels!$A$20:$D$99,3,FALSE),"")</x:f>
      </x:c>
      <x:c r="I722">
        <x:f>IFERROR(VLOOKUP(B722,02_Referentiels!$A$5:$C$16,2,FALSE),"")</x:f>
      </x:c>
      <x:c r="J722">
        <x:f>IF(A722="","",IF(OR(D722="",E722="",F722=""),1,IF(OR(D722&lt;0,D722&gt;3,E722&lt;0,E722&gt;3,F722&lt;0,F722&gt;3),1,0)))</x:f>
      </x:c>
      <x:c r="K722">
        <x:f>IF(A722="","",IF(G722="",1,0))</x:f>
      </x:c>
      <x:c r="L722">
        <x:f>IF(A722="","",IF(COUNTIFS($A$5:$A$2004,A722,$C$5:$C$2004,C722)&gt;1,1,0))</x:f>
      </x:c>
    </x:row>
    <x:row r="723">
      <x:c r="A723" s="8" t="n"/>
      <x:c r="B723" s="8" t="n"/>
      <x:c r="C723" s="8" t="n"/>
      <x:c r="D723" s="8" t="n"/>
      <x:c r="E723" s="8" t="n"/>
      <x:c r="F723" s="8" t="n"/>
      <x:c r="G723" s="7">
        <x:f>IF(A723="","",IF(01_Parametres!$B$11="Oui",IF((01_Parametres!$B$4*(D723&gt;0)+01_Parametres!$B$5*(E723&gt;0)+01_Parametres!$B$6*(F723&gt;0))=0,"",(01_Parametres!$B$4*IF(D723&gt;0,D723,0)+01_Parametres!$B$5*IF(E723&gt;0,E723,0)+01_Parametres!$B$6*IF(F723&gt;0,F723,0))/(01_Parametres!$B$4*(D723&gt;0)+01_Parametres!$B$5*(E723&gt;0)+01_Parametres!$B$6*(F723&gt;0))),IF(01_Parametres!$B$8=0,"",(01_Parametres!$B$4*D723+01_Parametres!$B$5*E723+01_Parametres!$B$6*F723)/01_Parametres!$B$8)))</x:f>
      </x:c>
      <x:c r="H723">
        <x:f>IFERROR(VLOOKUP(C723,02_Referentiels!$A$20:$D$99,3,FALSE),"")</x:f>
      </x:c>
      <x:c r="I723">
        <x:f>IFERROR(VLOOKUP(B723,02_Referentiels!$A$5:$C$16,2,FALSE),"")</x:f>
      </x:c>
      <x:c r="J723">
        <x:f>IF(A723="","",IF(OR(D723="",E723="",F723=""),1,IF(OR(D723&lt;0,D723&gt;3,E723&lt;0,E723&gt;3,F723&lt;0,F723&gt;3),1,0)))</x:f>
      </x:c>
      <x:c r="K723">
        <x:f>IF(A723="","",IF(G723="",1,0))</x:f>
      </x:c>
      <x:c r="L723">
        <x:f>IF(A723="","",IF(COUNTIFS($A$5:$A$2004,A723,$C$5:$C$2004,C723)&gt;1,1,0))</x:f>
      </x:c>
    </x:row>
    <x:row r="724">
      <x:c r="A724" s="8" t="n"/>
      <x:c r="B724" s="8" t="n"/>
      <x:c r="C724" s="8" t="n"/>
      <x:c r="D724" s="8" t="n"/>
      <x:c r="E724" s="8" t="n"/>
      <x:c r="F724" s="8" t="n"/>
      <x:c r="G724" s="7">
        <x:f>IF(A724="","",IF(01_Parametres!$B$11="Oui",IF((01_Parametres!$B$4*(D724&gt;0)+01_Parametres!$B$5*(E724&gt;0)+01_Parametres!$B$6*(F724&gt;0))=0,"",(01_Parametres!$B$4*IF(D724&gt;0,D724,0)+01_Parametres!$B$5*IF(E724&gt;0,E724,0)+01_Parametres!$B$6*IF(F724&gt;0,F724,0))/(01_Parametres!$B$4*(D724&gt;0)+01_Parametres!$B$5*(E724&gt;0)+01_Parametres!$B$6*(F724&gt;0))),IF(01_Parametres!$B$8=0,"",(01_Parametres!$B$4*D724+01_Parametres!$B$5*E724+01_Parametres!$B$6*F724)/01_Parametres!$B$8)))</x:f>
      </x:c>
      <x:c r="H724">
        <x:f>IFERROR(VLOOKUP(C724,02_Referentiels!$A$20:$D$99,3,FALSE),"")</x:f>
      </x:c>
      <x:c r="I724">
        <x:f>IFERROR(VLOOKUP(B724,02_Referentiels!$A$5:$C$16,2,FALSE),"")</x:f>
      </x:c>
      <x:c r="J724">
        <x:f>IF(A724="","",IF(OR(D724="",E724="",F724=""),1,IF(OR(D724&lt;0,D724&gt;3,E724&lt;0,E724&gt;3,F724&lt;0,F724&gt;3),1,0)))</x:f>
      </x:c>
      <x:c r="K724">
        <x:f>IF(A724="","",IF(G724="",1,0))</x:f>
      </x:c>
      <x:c r="L724">
        <x:f>IF(A724="","",IF(COUNTIFS($A$5:$A$2004,A724,$C$5:$C$2004,C724)&gt;1,1,0))</x:f>
      </x:c>
    </x:row>
    <x:row r="725">
      <x:c r="A725" s="8" t="n"/>
      <x:c r="B725" s="8" t="n"/>
      <x:c r="C725" s="8" t="n"/>
      <x:c r="D725" s="8" t="n"/>
      <x:c r="E725" s="8" t="n"/>
      <x:c r="F725" s="8" t="n"/>
      <x:c r="G725" s="7">
        <x:f>IF(A725="","",IF(01_Parametres!$B$11="Oui",IF((01_Parametres!$B$4*(D725&gt;0)+01_Parametres!$B$5*(E725&gt;0)+01_Parametres!$B$6*(F725&gt;0))=0,"",(01_Parametres!$B$4*IF(D725&gt;0,D725,0)+01_Parametres!$B$5*IF(E725&gt;0,E725,0)+01_Parametres!$B$6*IF(F725&gt;0,F725,0))/(01_Parametres!$B$4*(D725&gt;0)+01_Parametres!$B$5*(E725&gt;0)+01_Parametres!$B$6*(F725&gt;0))),IF(01_Parametres!$B$8=0,"",(01_Parametres!$B$4*D725+01_Parametres!$B$5*E725+01_Parametres!$B$6*F725)/01_Parametres!$B$8)))</x:f>
      </x:c>
      <x:c r="H725">
        <x:f>IFERROR(VLOOKUP(C725,02_Referentiels!$A$20:$D$99,3,FALSE),"")</x:f>
      </x:c>
      <x:c r="I725">
        <x:f>IFERROR(VLOOKUP(B725,02_Referentiels!$A$5:$C$16,2,FALSE),"")</x:f>
      </x:c>
      <x:c r="J725">
        <x:f>IF(A725="","",IF(OR(D725="",E725="",F725=""),1,IF(OR(D725&lt;0,D725&gt;3,E725&lt;0,E725&gt;3,F725&lt;0,F725&gt;3),1,0)))</x:f>
      </x:c>
      <x:c r="K725">
        <x:f>IF(A725="","",IF(G725="",1,0))</x:f>
      </x:c>
      <x:c r="L725">
        <x:f>IF(A725="","",IF(COUNTIFS($A$5:$A$2004,A725,$C$5:$C$2004,C725)&gt;1,1,0))</x:f>
      </x:c>
    </x:row>
    <x:row r="726">
      <x:c r="A726" s="8" t="n"/>
      <x:c r="B726" s="8" t="n"/>
      <x:c r="C726" s="8" t="n"/>
      <x:c r="D726" s="8" t="n"/>
      <x:c r="E726" s="8" t="n"/>
      <x:c r="F726" s="8" t="n"/>
      <x:c r="G726" s="7">
        <x:f>IF(A726="","",IF(01_Parametres!$B$11="Oui",IF((01_Parametres!$B$4*(D726&gt;0)+01_Parametres!$B$5*(E726&gt;0)+01_Parametres!$B$6*(F726&gt;0))=0,"",(01_Parametres!$B$4*IF(D726&gt;0,D726,0)+01_Parametres!$B$5*IF(E726&gt;0,E726,0)+01_Parametres!$B$6*IF(F726&gt;0,F726,0))/(01_Parametres!$B$4*(D726&gt;0)+01_Parametres!$B$5*(E726&gt;0)+01_Parametres!$B$6*(F726&gt;0))),IF(01_Parametres!$B$8=0,"",(01_Parametres!$B$4*D726+01_Parametres!$B$5*E726+01_Parametres!$B$6*F726)/01_Parametres!$B$8)))</x:f>
      </x:c>
      <x:c r="H726">
        <x:f>IFERROR(VLOOKUP(C726,02_Referentiels!$A$20:$D$99,3,FALSE),"")</x:f>
      </x:c>
      <x:c r="I726">
        <x:f>IFERROR(VLOOKUP(B726,02_Referentiels!$A$5:$C$16,2,FALSE),"")</x:f>
      </x:c>
      <x:c r="J726">
        <x:f>IF(A726="","",IF(OR(D726="",E726="",F726=""),1,IF(OR(D726&lt;0,D726&gt;3,E726&lt;0,E726&gt;3,F726&lt;0,F726&gt;3),1,0)))</x:f>
      </x:c>
      <x:c r="K726">
        <x:f>IF(A726="","",IF(G726="",1,0))</x:f>
      </x:c>
      <x:c r="L726">
        <x:f>IF(A726="","",IF(COUNTIFS($A$5:$A$2004,A726,$C$5:$C$2004,C726)&gt;1,1,0))</x:f>
      </x:c>
    </x:row>
    <x:row r="727">
      <x:c r="A727" s="8" t="n"/>
      <x:c r="B727" s="8" t="n"/>
      <x:c r="C727" s="8" t="n"/>
      <x:c r="D727" s="8" t="n"/>
      <x:c r="E727" s="8" t="n"/>
      <x:c r="F727" s="8" t="n"/>
      <x:c r="G727" s="7">
        <x:f>IF(A727="","",IF(01_Parametres!$B$11="Oui",IF((01_Parametres!$B$4*(D727&gt;0)+01_Parametres!$B$5*(E727&gt;0)+01_Parametres!$B$6*(F727&gt;0))=0,"",(01_Parametres!$B$4*IF(D727&gt;0,D727,0)+01_Parametres!$B$5*IF(E727&gt;0,E727,0)+01_Parametres!$B$6*IF(F727&gt;0,F727,0))/(01_Parametres!$B$4*(D727&gt;0)+01_Parametres!$B$5*(E727&gt;0)+01_Parametres!$B$6*(F727&gt;0))),IF(01_Parametres!$B$8=0,"",(01_Parametres!$B$4*D727+01_Parametres!$B$5*E727+01_Parametres!$B$6*F727)/01_Parametres!$B$8)))</x:f>
      </x:c>
      <x:c r="H727">
        <x:f>IFERROR(VLOOKUP(C727,02_Referentiels!$A$20:$D$99,3,FALSE),"")</x:f>
      </x:c>
      <x:c r="I727">
        <x:f>IFERROR(VLOOKUP(B727,02_Referentiels!$A$5:$C$16,2,FALSE),"")</x:f>
      </x:c>
      <x:c r="J727">
        <x:f>IF(A727="","",IF(OR(D727="",E727="",F727=""),1,IF(OR(D727&lt;0,D727&gt;3,E727&lt;0,E727&gt;3,F727&lt;0,F727&gt;3),1,0)))</x:f>
      </x:c>
      <x:c r="K727">
        <x:f>IF(A727="","",IF(G727="",1,0))</x:f>
      </x:c>
      <x:c r="L727">
        <x:f>IF(A727="","",IF(COUNTIFS($A$5:$A$2004,A727,$C$5:$C$2004,C727)&gt;1,1,0))</x:f>
      </x:c>
    </x:row>
    <x:row r="728">
      <x:c r="A728" s="8" t="n"/>
      <x:c r="B728" s="8" t="n"/>
      <x:c r="C728" s="8" t="n"/>
      <x:c r="D728" s="8" t="n"/>
      <x:c r="E728" s="8" t="n"/>
      <x:c r="F728" s="8" t="n"/>
      <x:c r="G728" s="7">
        <x:f>IF(A728="","",IF(01_Parametres!$B$11="Oui",IF((01_Parametres!$B$4*(D728&gt;0)+01_Parametres!$B$5*(E728&gt;0)+01_Parametres!$B$6*(F728&gt;0))=0,"",(01_Parametres!$B$4*IF(D728&gt;0,D728,0)+01_Parametres!$B$5*IF(E728&gt;0,E728,0)+01_Parametres!$B$6*IF(F728&gt;0,F728,0))/(01_Parametres!$B$4*(D728&gt;0)+01_Parametres!$B$5*(E728&gt;0)+01_Parametres!$B$6*(F728&gt;0))),IF(01_Parametres!$B$8=0,"",(01_Parametres!$B$4*D728+01_Parametres!$B$5*E728+01_Parametres!$B$6*F728)/01_Parametres!$B$8)))</x:f>
      </x:c>
      <x:c r="H728">
        <x:f>IFERROR(VLOOKUP(C728,02_Referentiels!$A$20:$D$99,3,FALSE),"")</x:f>
      </x:c>
      <x:c r="I728">
        <x:f>IFERROR(VLOOKUP(B728,02_Referentiels!$A$5:$C$16,2,FALSE),"")</x:f>
      </x:c>
      <x:c r="J728">
        <x:f>IF(A728="","",IF(OR(D728="",E728="",F728=""),1,IF(OR(D728&lt;0,D728&gt;3,E728&lt;0,E728&gt;3,F728&lt;0,F728&gt;3),1,0)))</x:f>
      </x:c>
      <x:c r="K728">
        <x:f>IF(A728="","",IF(G728="",1,0))</x:f>
      </x:c>
      <x:c r="L728">
        <x:f>IF(A728="","",IF(COUNTIFS($A$5:$A$2004,A728,$C$5:$C$2004,C728)&gt;1,1,0))</x:f>
      </x:c>
    </x:row>
    <x:row r="729">
      <x:c r="A729" s="8" t="n"/>
      <x:c r="B729" s="8" t="n"/>
      <x:c r="C729" s="8" t="n"/>
      <x:c r="D729" s="8" t="n"/>
      <x:c r="E729" s="8" t="n"/>
      <x:c r="F729" s="8" t="n"/>
      <x:c r="G729" s="7">
        <x:f>IF(A729="","",IF(01_Parametres!$B$11="Oui",IF((01_Parametres!$B$4*(D729&gt;0)+01_Parametres!$B$5*(E729&gt;0)+01_Parametres!$B$6*(F729&gt;0))=0,"",(01_Parametres!$B$4*IF(D729&gt;0,D729,0)+01_Parametres!$B$5*IF(E729&gt;0,E729,0)+01_Parametres!$B$6*IF(F729&gt;0,F729,0))/(01_Parametres!$B$4*(D729&gt;0)+01_Parametres!$B$5*(E729&gt;0)+01_Parametres!$B$6*(F729&gt;0))),IF(01_Parametres!$B$8=0,"",(01_Parametres!$B$4*D729+01_Parametres!$B$5*E729+01_Parametres!$B$6*F729)/01_Parametres!$B$8)))</x:f>
      </x:c>
      <x:c r="H729">
        <x:f>IFERROR(VLOOKUP(C729,02_Referentiels!$A$20:$D$99,3,FALSE),"")</x:f>
      </x:c>
      <x:c r="I729">
        <x:f>IFERROR(VLOOKUP(B729,02_Referentiels!$A$5:$C$16,2,FALSE),"")</x:f>
      </x:c>
      <x:c r="J729">
        <x:f>IF(A729="","",IF(OR(D729="",E729="",F729=""),1,IF(OR(D729&lt;0,D729&gt;3,E729&lt;0,E729&gt;3,F729&lt;0,F729&gt;3),1,0)))</x:f>
      </x:c>
      <x:c r="K729">
        <x:f>IF(A729="","",IF(G729="",1,0))</x:f>
      </x:c>
      <x:c r="L729">
        <x:f>IF(A729="","",IF(COUNTIFS($A$5:$A$2004,A729,$C$5:$C$2004,C729)&gt;1,1,0))</x:f>
      </x:c>
    </x:row>
    <x:row r="730">
      <x:c r="A730" s="8" t="n"/>
      <x:c r="B730" s="8" t="n"/>
      <x:c r="C730" s="8" t="n"/>
      <x:c r="D730" s="8" t="n"/>
      <x:c r="E730" s="8" t="n"/>
      <x:c r="F730" s="8" t="n"/>
      <x:c r="G730" s="7">
        <x:f>IF(A730="","",IF(01_Parametres!$B$11="Oui",IF((01_Parametres!$B$4*(D730&gt;0)+01_Parametres!$B$5*(E730&gt;0)+01_Parametres!$B$6*(F730&gt;0))=0,"",(01_Parametres!$B$4*IF(D730&gt;0,D730,0)+01_Parametres!$B$5*IF(E730&gt;0,E730,0)+01_Parametres!$B$6*IF(F730&gt;0,F730,0))/(01_Parametres!$B$4*(D730&gt;0)+01_Parametres!$B$5*(E730&gt;0)+01_Parametres!$B$6*(F730&gt;0))),IF(01_Parametres!$B$8=0,"",(01_Parametres!$B$4*D730+01_Parametres!$B$5*E730+01_Parametres!$B$6*F730)/01_Parametres!$B$8)))</x:f>
      </x:c>
      <x:c r="H730">
        <x:f>IFERROR(VLOOKUP(C730,02_Referentiels!$A$20:$D$99,3,FALSE),"")</x:f>
      </x:c>
      <x:c r="I730">
        <x:f>IFERROR(VLOOKUP(B730,02_Referentiels!$A$5:$C$16,2,FALSE),"")</x:f>
      </x:c>
      <x:c r="J730">
        <x:f>IF(A730="","",IF(OR(D730="",E730="",F730=""),1,IF(OR(D730&lt;0,D730&gt;3,E730&lt;0,E730&gt;3,F730&lt;0,F730&gt;3),1,0)))</x:f>
      </x:c>
      <x:c r="K730">
        <x:f>IF(A730="","",IF(G730="",1,0))</x:f>
      </x:c>
      <x:c r="L730">
        <x:f>IF(A730="","",IF(COUNTIFS($A$5:$A$2004,A730,$C$5:$C$2004,C730)&gt;1,1,0))</x:f>
      </x:c>
    </x:row>
    <x:row r="731">
      <x:c r="A731" s="8" t="n"/>
      <x:c r="B731" s="8" t="n"/>
      <x:c r="C731" s="8" t="n"/>
      <x:c r="D731" s="8" t="n"/>
      <x:c r="E731" s="8" t="n"/>
      <x:c r="F731" s="8" t="n"/>
      <x:c r="G731" s="7">
        <x:f>IF(A731="","",IF(01_Parametres!$B$11="Oui",IF((01_Parametres!$B$4*(D731&gt;0)+01_Parametres!$B$5*(E731&gt;0)+01_Parametres!$B$6*(F731&gt;0))=0,"",(01_Parametres!$B$4*IF(D731&gt;0,D731,0)+01_Parametres!$B$5*IF(E731&gt;0,E731,0)+01_Parametres!$B$6*IF(F731&gt;0,F731,0))/(01_Parametres!$B$4*(D731&gt;0)+01_Parametres!$B$5*(E731&gt;0)+01_Parametres!$B$6*(F731&gt;0))),IF(01_Parametres!$B$8=0,"",(01_Parametres!$B$4*D731+01_Parametres!$B$5*E731+01_Parametres!$B$6*F731)/01_Parametres!$B$8)))</x:f>
      </x:c>
      <x:c r="H731">
        <x:f>IFERROR(VLOOKUP(C731,02_Referentiels!$A$20:$D$99,3,FALSE),"")</x:f>
      </x:c>
      <x:c r="I731">
        <x:f>IFERROR(VLOOKUP(B731,02_Referentiels!$A$5:$C$16,2,FALSE),"")</x:f>
      </x:c>
      <x:c r="J731">
        <x:f>IF(A731="","",IF(OR(D731="",E731="",F731=""),1,IF(OR(D731&lt;0,D731&gt;3,E731&lt;0,E731&gt;3,F731&lt;0,F731&gt;3),1,0)))</x:f>
      </x:c>
      <x:c r="K731">
        <x:f>IF(A731="","",IF(G731="",1,0))</x:f>
      </x:c>
      <x:c r="L731">
        <x:f>IF(A731="","",IF(COUNTIFS($A$5:$A$2004,A731,$C$5:$C$2004,C731)&gt;1,1,0))</x:f>
      </x:c>
    </x:row>
    <x:row r="732">
      <x:c r="A732" s="8" t="n"/>
      <x:c r="B732" s="8" t="n"/>
      <x:c r="C732" s="8" t="n"/>
      <x:c r="D732" s="8" t="n"/>
      <x:c r="E732" s="8" t="n"/>
      <x:c r="F732" s="8" t="n"/>
      <x:c r="G732" s="7">
        <x:f>IF(A732="","",IF(01_Parametres!$B$11="Oui",IF((01_Parametres!$B$4*(D732&gt;0)+01_Parametres!$B$5*(E732&gt;0)+01_Parametres!$B$6*(F732&gt;0))=0,"",(01_Parametres!$B$4*IF(D732&gt;0,D732,0)+01_Parametres!$B$5*IF(E732&gt;0,E732,0)+01_Parametres!$B$6*IF(F732&gt;0,F732,0))/(01_Parametres!$B$4*(D732&gt;0)+01_Parametres!$B$5*(E732&gt;0)+01_Parametres!$B$6*(F732&gt;0))),IF(01_Parametres!$B$8=0,"",(01_Parametres!$B$4*D732+01_Parametres!$B$5*E732+01_Parametres!$B$6*F732)/01_Parametres!$B$8)))</x:f>
      </x:c>
      <x:c r="H732">
        <x:f>IFERROR(VLOOKUP(C732,02_Referentiels!$A$20:$D$99,3,FALSE),"")</x:f>
      </x:c>
      <x:c r="I732">
        <x:f>IFERROR(VLOOKUP(B732,02_Referentiels!$A$5:$C$16,2,FALSE),"")</x:f>
      </x:c>
      <x:c r="J732">
        <x:f>IF(A732="","",IF(OR(D732="",E732="",F732=""),1,IF(OR(D732&lt;0,D732&gt;3,E732&lt;0,E732&gt;3,F732&lt;0,F732&gt;3),1,0)))</x:f>
      </x:c>
      <x:c r="K732">
        <x:f>IF(A732="","",IF(G732="",1,0))</x:f>
      </x:c>
      <x:c r="L732">
        <x:f>IF(A732="","",IF(COUNTIFS($A$5:$A$2004,A732,$C$5:$C$2004,C732)&gt;1,1,0))</x:f>
      </x:c>
    </x:row>
    <x:row r="733">
      <x:c r="A733" s="8" t="n"/>
      <x:c r="B733" s="8" t="n"/>
      <x:c r="C733" s="8" t="n"/>
      <x:c r="D733" s="8" t="n"/>
      <x:c r="E733" s="8" t="n"/>
      <x:c r="F733" s="8" t="n"/>
      <x:c r="G733" s="7">
        <x:f>IF(A733="","",IF(01_Parametres!$B$11="Oui",IF((01_Parametres!$B$4*(D733&gt;0)+01_Parametres!$B$5*(E733&gt;0)+01_Parametres!$B$6*(F733&gt;0))=0,"",(01_Parametres!$B$4*IF(D733&gt;0,D733,0)+01_Parametres!$B$5*IF(E733&gt;0,E733,0)+01_Parametres!$B$6*IF(F733&gt;0,F733,0))/(01_Parametres!$B$4*(D733&gt;0)+01_Parametres!$B$5*(E733&gt;0)+01_Parametres!$B$6*(F733&gt;0))),IF(01_Parametres!$B$8=0,"",(01_Parametres!$B$4*D733+01_Parametres!$B$5*E733+01_Parametres!$B$6*F733)/01_Parametres!$B$8)))</x:f>
      </x:c>
      <x:c r="H733">
        <x:f>IFERROR(VLOOKUP(C733,02_Referentiels!$A$20:$D$99,3,FALSE),"")</x:f>
      </x:c>
      <x:c r="I733">
        <x:f>IFERROR(VLOOKUP(B733,02_Referentiels!$A$5:$C$16,2,FALSE),"")</x:f>
      </x:c>
      <x:c r="J733">
        <x:f>IF(A733="","",IF(OR(D733="",E733="",F733=""),1,IF(OR(D733&lt;0,D733&gt;3,E733&lt;0,E733&gt;3,F733&lt;0,F733&gt;3),1,0)))</x:f>
      </x:c>
      <x:c r="K733">
        <x:f>IF(A733="","",IF(G733="",1,0))</x:f>
      </x:c>
      <x:c r="L733">
        <x:f>IF(A733="","",IF(COUNTIFS($A$5:$A$2004,A733,$C$5:$C$2004,C733)&gt;1,1,0))</x:f>
      </x:c>
    </x:row>
    <x:row r="734">
      <x:c r="A734" s="8" t="n"/>
      <x:c r="B734" s="8" t="n"/>
      <x:c r="C734" s="8" t="n"/>
      <x:c r="D734" s="8" t="n"/>
      <x:c r="E734" s="8" t="n"/>
      <x:c r="F734" s="8" t="n"/>
      <x:c r="G734" s="7">
        <x:f>IF(A734="","",IF(01_Parametres!$B$11="Oui",IF((01_Parametres!$B$4*(D734&gt;0)+01_Parametres!$B$5*(E734&gt;0)+01_Parametres!$B$6*(F734&gt;0))=0,"",(01_Parametres!$B$4*IF(D734&gt;0,D734,0)+01_Parametres!$B$5*IF(E734&gt;0,E734,0)+01_Parametres!$B$6*IF(F734&gt;0,F734,0))/(01_Parametres!$B$4*(D734&gt;0)+01_Parametres!$B$5*(E734&gt;0)+01_Parametres!$B$6*(F734&gt;0))),IF(01_Parametres!$B$8=0,"",(01_Parametres!$B$4*D734+01_Parametres!$B$5*E734+01_Parametres!$B$6*F734)/01_Parametres!$B$8)))</x:f>
      </x:c>
      <x:c r="H734">
        <x:f>IFERROR(VLOOKUP(C734,02_Referentiels!$A$20:$D$99,3,FALSE),"")</x:f>
      </x:c>
      <x:c r="I734">
        <x:f>IFERROR(VLOOKUP(B734,02_Referentiels!$A$5:$C$16,2,FALSE),"")</x:f>
      </x:c>
      <x:c r="J734">
        <x:f>IF(A734="","",IF(OR(D734="",E734="",F734=""),1,IF(OR(D734&lt;0,D734&gt;3,E734&lt;0,E734&gt;3,F734&lt;0,F734&gt;3),1,0)))</x:f>
      </x:c>
      <x:c r="K734">
        <x:f>IF(A734="","",IF(G734="",1,0))</x:f>
      </x:c>
      <x:c r="L734">
        <x:f>IF(A734="","",IF(COUNTIFS($A$5:$A$2004,A734,$C$5:$C$2004,C734)&gt;1,1,0))</x:f>
      </x:c>
    </x:row>
    <x:row r="735">
      <x:c r="A735" s="8" t="n"/>
      <x:c r="B735" s="8" t="n"/>
      <x:c r="C735" s="8" t="n"/>
      <x:c r="D735" s="8" t="n"/>
      <x:c r="E735" s="8" t="n"/>
      <x:c r="F735" s="8" t="n"/>
      <x:c r="G735" s="7">
        <x:f>IF(A735="","",IF(01_Parametres!$B$11="Oui",IF((01_Parametres!$B$4*(D735&gt;0)+01_Parametres!$B$5*(E735&gt;0)+01_Parametres!$B$6*(F735&gt;0))=0,"",(01_Parametres!$B$4*IF(D735&gt;0,D735,0)+01_Parametres!$B$5*IF(E735&gt;0,E735,0)+01_Parametres!$B$6*IF(F735&gt;0,F735,0))/(01_Parametres!$B$4*(D735&gt;0)+01_Parametres!$B$5*(E735&gt;0)+01_Parametres!$B$6*(F735&gt;0))),IF(01_Parametres!$B$8=0,"",(01_Parametres!$B$4*D735+01_Parametres!$B$5*E735+01_Parametres!$B$6*F735)/01_Parametres!$B$8)))</x:f>
      </x:c>
      <x:c r="H735">
        <x:f>IFERROR(VLOOKUP(C735,02_Referentiels!$A$20:$D$99,3,FALSE),"")</x:f>
      </x:c>
      <x:c r="I735">
        <x:f>IFERROR(VLOOKUP(B735,02_Referentiels!$A$5:$C$16,2,FALSE),"")</x:f>
      </x:c>
      <x:c r="J735">
        <x:f>IF(A735="","",IF(OR(D735="",E735="",F735=""),1,IF(OR(D735&lt;0,D735&gt;3,E735&lt;0,E735&gt;3,F735&lt;0,F735&gt;3),1,0)))</x:f>
      </x:c>
      <x:c r="K735">
        <x:f>IF(A735="","",IF(G735="",1,0))</x:f>
      </x:c>
      <x:c r="L735">
        <x:f>IF(A735="","",IF(COUNTIFS($A$5:$A$2004,A735,$C$5:$C$2004,C735)&gt;1,1,0))</x:f>
      </x:c>
    </x:row>
    <x:row r="736">
      <x:c r="A736" s="8" t="n"/>
      <x:c r="B736" s="8" t="n"/>
      <x:c r="C736" s="8" t="n"/>
      <x:c r="D736" s="8" t="n"/>
      <x:c r="E736" s="8" t="n"/>
      <x:c r="F736" s="8" t="n"/>
      <x:c r="G736" s="7">
        <x:f>IF(A736="","",IF(01_Parametres!$B$11="Oui",IF((01_Parametres!$B$4*(D736&gt;0)+01_Parametres!$B$5*(E736&gt;0)+01_Parametres!$B$6*(F736&gt;0))=0,"",(01_Parametres!$B$4*IF(D736&gt;0,D736,0)+01_Parametres!$B$5*IF(E736&gt;0,E736,0)+01_Parametres!$B$6*IF(F736&gt;0,F736,0))/(01_Parametres!$B$4*(D736&gt;0)+01_Parametres!$B$5*(E736&gt;0)+01_Parametres!$B$6*(F736&gt;0))),IF(01_Parametres!$B$8=0,"",(01_Parametres!$B$4*D736+01_Parametres!$B$5*E736+01_Parametres!$B$6*F736)/01_Parametres!$B$8)))</x:f>
      </x:c>
      <x:c r="H736">
        <x:f>IFERROR(VLOOKUP(C736,02_Referentiels!$A$20:$D$99,3,FALSE),"")</x:f>
      </x:c>
      <x:c r="I736">
        <x:f>IFERROR(VLOOKUP(B736,02_Referentiels!$A$5:$C$16,2,FALSE),"")</x:f>
      </x:c>
      <x:c r="J736">
        <x:f>IF(A736="","",IF(OR(D736="",E736="",F736=""),1,IF(OR(D736&lt;0,D736&gt;3,E736&lt;0,E736&gt;3,F736&lt;0,F736&gt;3),1,0)))</x:f>
      </x:c>
      <x:c r="K736">
        <x:f>IF(A736="","",IF(G736="",1,0))</x:f>
      </x:c>
      <x:c r="L736">
        <x:f>IF(A736="","",IF(COUNTIFS($A$5:$A$2004,A736,$C$5:$C$2004,C736)&gt;1,1,0))</x:f>
      </x:c>
    </x:row>
    <x:row r="737">
      <x:c r="A737" s="8" t="n"/>
      <x:c r="B737" s="8" t="n"/>
      <x:c r="C737" s="8" t="n"/>
      <x:c r="D737" s="8" t="n"/>
      <x:c r="E737" s="8" t="n"/>
      <x:c r="F737" s="8" t="n"/>
      <x:c r="G737" s="7">
        <x:f>IF(A737="","",IF(01_Parametres!$B$11="Oui",IF((01_Parametres!$B$4*(D737&gt;0)+01_Parametres!$B$5*(E737&gt;0)+01_Parametres!$B$6*(F737&gt;0))=0,"",(01_Parametres!$B$4*IF(D737&gt;0,D737,0)+01_Parametres!$B$5*IF(E737&gt;0,E737,0)+01_Parametres!$B$6*IF(F737&gt;0,F737,0))/(01_Parametres!$B$4*(D737&gt;0)+01_Parametres!$B$5*(E737&gt;0)+01_Parametres!$B$6*(F737&gt;0))),IF(01_Parametres!$B$8=0,"",(01_Parametres!$B$4*D737+01_Parametres!$B$5*E737+01_Parametres!$B$6*F737)/01_Parametres!$B$8)))</x:f>
      </x:c>
      <x:c r="H737">
        <x:f>IFERROR(VLOOKUP(C737,02_Referentiels!$A$20:$D$99,3,FALSE),"")</x:f>
      </x:c>
      <x:c r="I737">
        <x:f>IFERROR(VLOOKUP(B737,02_Referentiels!$A$5:$C$16,2,FALSE),"")</x:f>
      </x:c>
      <x:c r="J737">
        <x:f>IF(A737="","",IF(OR(D737="",E737="",F737=""),1,IF(OR(D737&lt;0,D737&gt;3,E737&lt;0,E737&gt;3,F737&lt;0,F737&gt;3),1,0)))</x:f>
      </x:c>
      <x:c r="K737">
        <x:f>IF(A737="","",IF(G737="",1,0))</x:f>
      </x:c>
      <x:c r="L737">
        <x:f>IF(A737="","",IF(COUNTIFS($A$5:$A$2004,A737,$C$5:$C$2004,C737)&gt;1,1,0))</x:f>
      </x:c>
    </x:row>
    <x:row r="738">
      <x:c r="A738" s="8" t="n"/>
      <x:c r="B738" s="8" t="n"/>
      <x:c r="C738" s="8" t="n"/>
      <x:c r="D738" s="8" t="n"/>
      <x:c r="E738" s="8" t="n"/>
      <x:c r="F738" s="8" t="n"/>
      <x:c r="G738" s="7">
        <x:f>IF(A738="","",IF(01_Parametres!$B$11="Oui",IF((01_Parametres!$B$4*(D738&gt;0)+01_Parametres!$B$5*(E738&gt;0)+01_Parametres!$B$6*(F738&gt;0))=0,"",(01_Parametres!$B$4*IF(D738&gt;0,D738,0)+01_Parametres!$B$5*IF(E738&gt;0,E738,0)+01_Parametres!$B$6*IF(F738&gt;0,F738,0))/(01_Parametres!$B$4*(D738&gt;0)+01_Parametres!$B$5*(E738&gt;0)+01_Parametres!$B$6*(F738&gt;0))),IF(01_Parametres!$B$8=0,"",(01_Parametres!$B$4*D738+01_Parametres!$B$5*E738+01_Parametres!$B$6*F738)/01_Parametres!$B$8)))</x:f>
      </x:c>
      <x:c r="H738">
        <x:f>IFERROR(VLOOKUP(C738,02_Referentiels!$A$20:$D$99,3,FALSE),"")</x:f>
      </x:c>
      <x:c r="I738">
        <x:f>IFERROR(VLOOKUP(B738,02_Referentiels!$A$5:$C$16,2,FALSE),"")</x:f>
      </x:c>
      <x:c r="J738">
        <x:f>IF(A738="","",IF(OR(D738="",E738="",F738=""),1,IF(OR(D738&lt;0,D738&gt;3,E738&lt;0,E738&gt;3,F738&lt;0,F738&gt;3),1,0)))</x:f>
      </x:c>
      <x:c r="K738">
        <x:f>IF(A738="","",IF(G738="",1,0))</x:f>
      </x:c>
      <x:c r="L738">
        <x:f>IF(A738="","",IF(COUNTIFS($A$5:$A$2004,A738,$C$5:$C$2004,C738)&gt;1,1,0))</x:f>
      </x:c>
    </x:row>
    <x:row r="739">
      <x:c r="A739" s="8" t="n"/>
      <x:c r="B739" s="8" t="n"/>
      <x:c r="C739" s="8" t="n"/>
      <x:c r="D739" s="8" t="n"/>
      <x:c r="E739" s="8" t="n"/>
      <x:c r="F739" s="8" t="n"/>
      <x:c r="G739" s="7">
        <x:f>IF(A739="","",IF(01_Parametres!$B$11="Oui",IF((01_Parametres!$B$4*(D739&gt;0)+01_Parametres!$B$5*(E739&gt;0)+01_Parametres!$B$6*(F739&gt;0))=0,"",(01_Parametres!$B$4*IF(D739&gt;0,D739,0)+01_Parametres!$B$5*IF(E739&gt;0,E739,0)+01_Parametres!$B$6*IF(F739&gt;0,F739,0))/(01_Parametres!$B$4*(D739&gt;0)+01_Parametres!$B$5*(E739&gt;0)+01_Parametres!$B$6*(F739&gt;0))),IF(01_Parametres!$B$8=0,"",(01_Parametres!$B$4*D739+01_Parametres!$B$5*E739+01_Parametres!$B$6*F739)/01_Parametres!$B$8)))</x:f>
      </x:c>
      <x:c r="H739">
        <x:f>IFERROR(VLOOKUP(C739,02_Referentiels!$A$20:$D$99,3,FALSE),"")</x:f>
      </x:c>
      <x:c r="I739">
        <x:f>IFERROR(VLOOKUP(B739,02_Referentiels!$A$5:$C$16,2,FALSE),"")</x:f>
      </x:c>
      <x:c r="J739">
        <x:f>IF(A739="","",IF(OR(D739="",E739="",F739=""),1,IF(OR(D739&lt;0,D739&gt;3,E739&lt;0,E739&gt;3,F739&lt;0,F739&gt;3),1,0)))</x:f>
      </x:c>
      <x:c r="K739">
        <x:f>IF(A739="","",IF(G739="",1,0))</x:f>
      </x:c>
      <x:c r="L739">
        <x:f>IF(A739="","",IF(COUNTIFS($A$5:$A$2004,A739,$C$5:$C$2004,C739)&gt;1,1,0))</x:f>
      </x:c>
    </x:row>
    <x:row r="740">
      <x:c r="A740" s="8" t="n"/>
      <x:c r="B740" s="8" t="n"/>
      <x:c r="C740" s="8" t="n"/>
      <x:c r="D740" s="8" t="n"/>
      <x:c r="E740" s="8" t="n"/>
      <x:c r="F740" s="8" t="n"/>
      <x:c r="G740" s="7">
        <x:f>IF(A740="","",IF(01_Parametres!$B$11="Oui",IF((01_Parametres!$B$4*(D740&gt;0)+01_Parametres!$B$5*(E740&gt;0)+01_Parametres!$B$6*(F740&gt;0))=0,"",(01_Parametres!$B$4*IF(D740&gt;0,D740,0)+01_Parametres!$B$5*IF(E740&gt;0,E740,0)+01_Parametres!$B$6*IF(F740&gt;0,F740,0))/(01_Parametres!$B$4*(D740&gt;0)+01_Parametres!$B$5*(E740&gt;0)+01_Parametres!$B$6*(F740&gt;0))),IF(01_Parametres!$B$8=0,"",(01_Parametres!$B$4*D740+01_Parametres!$B$5*E740+01_Parametres!$B$6*F740)/01_Parametres!$B$8)))</x:f>
      </x:c>
      <x:c r="H740">
        <x:f>IFERROR(VLOOKUP(C740,02_Referentiels!$A$20:$D$99,3,FALSE),"")</x:f>
      </x:c>
      <x:c r="I740">
        <x:f>IFERROR(VLOOKUP(B740,02_Referentiels!$A$5:$C$16,2,FALSE),"")</x:f>
      </x:c>
      <x:c r="J740">
        <x:f>IF(A740="","",IF(OR(D740="",E740="",F740=""),1,IF(OR(D740&lt;0,D740&gt;3,E740&lt;0,E740&gt;3,F740&lt;0,F740&gt;3),1,0)))</x:f>
      </x:c>
      <x:c r="K740">
        <x:f>IF(A740="","",IF(G740="",1,0))</x:f>
      </x:c>
      <x:c r="L740">
        <x:f>IF(A740="","",IF(COUNTIFS($A$5:$A$2004,A740,$C$5:$C$2004,C740)&gt;1,1,0))</x:f>
      </x:c>
    </x:row>
    <x:row r="741">
      <x:c r="A741" s="8" t="n"/>
      <x:c r="B741" s="8" t="n"/>
      <x:c r="C741" s="8" t="n"/>
      <x:c r="D741" s="8" t="n"/>
      <x:c r="E741" s="8" t="n"/>
      <x:c r="F741" s="8" t="n"/>
      <x:c r="G741" s="7">
        <x:f>IF(A741="","",IF(01_Parametres!$B$11="Oui",IF((01_Parametres!$B$4*(D741&gt;0)+01_Parametres!$B$5*(E741&gt;0)+01_Parametres!$B$6*(F741&gt;0))=0,"",(01_Parametres!$B$4*IF(D741&gt;0,D741,0)+01_Parametres!$B$5*IF(E741&gt;0,E741,0)+01_Parametres!$B$6*IF(F741&gt;0,F741,0))/(01_Parametres!$B$4*(D741&gt;0)+01_Parametres!$B$5*(E741&gt;0)+01_Parametres!$B$6*(F741&gt;0))),IF(01_Parametres!$B$8=0,"",(01_Parametres!$B$4*D741+01_Parametres!$B$5*E741+01_Parametres!$B$6*F741)/01_Parametres!$B$8)))</x:f>
      </x:c>
      <x:c r="H741">
        <x:f>IFERROR(VLOOKUP(C741,02_Referentiels!$A$20:$D$99,3,FALSE),"")</x:f>
      </x:c>
      <x:c r="I741">
        <x:f>IFERROR(VLOOKUP(B741,02_Referentiels!$A$5:$C$16,2,FALSE),"")</x:f>
      </x:c>
      <x:c r="J741">
        <x:f>IF(A741="","",IF(OR(D741="",E741="",F741=""),1,IF(OR(D741&lt;0,D741&gt;3,E741&lt;0,E741&gt;3,F741&lt;0,F741&gt;3),1,0)))</x:f>
      </x:c>
      <x:c r="K741">
        <x:f>IF(A741="","",IF(G741="",1,0))</x:f>
      </x:c>
      <x:c r="L741">
        <x:f>IF(A741="","",IF(COUNTIFS($A$5:$A$2004,A741,$C$5:$C$2004,C741)&gt;1,1,0))</x:f>
      </x:c>
    </x:row>
    <x:row r="742">
      <x:c r="A742" s="8" t="n"/>
      <x:c r="B742" s="8" t="n"/>
      <x:c r="C742" s="8" t="n"/>
      <x:c r="D742" s="8" t="n"/>
      <x:c r="E742" s="8" t="n"/>
      <x:c r="F742" s="8" t="n"/>
      <x:c r="G742" s="7">
        <x:f>IF(A742="","",IF(01_Parametres!$B$11="Oui",IF((01_Parametres!$B$4*(D742&gt;0)+01_Parametres!$B$5*(E742&gt;0)+01_Parametres!$B$6*(F742&gt;0))=0,"",(01_Parametres!$B$4*IF(D742&gt;0,D742,0)+01_Parametres!$B$5*IF(E742&gt;0,E742,0)+01_Parametres!$B$6*IF(F742&gt;0,F742,0))/(01_Parametres!$B$4*(D742&gt;0)+01_Parametres!$B$5*(E742&gt;0)+01_Parametres!$B$6*(F742&gt;0))),IF(01_Parametres!$B$8=0,"",(01_Parametres!$B$4*D742+01_Parametres!$B$5*E742+01_Parametres!$B$6*F742)/01_Parametres!$B$8)))</x:f>
      </x:c>
      <x:c r="H742">
        <x:f>IFERROR(VLOOKUP(C742,02_Referentiels!$A$20:$D$99,3,FALSE),"")</x:f>
      </x:c>
      <x:c r="I742">
        <x:f>IFERROR(VLOOKUP(B742,02_Referentiels!$A$5:$C$16,2,FALSE),"")</x:f>
      </x:c>
      <x:c r="J742">
        <x:f>IF(A742="","",IF(OR(D742="",E742="",F742=""),1,IF(OR(D742&lt;0,D742&gt;3,E742&lt;0,E742&gt;3,F742&lt;0,F742&gt;3),1,0)))</x:f>
      </x:c>
      <x:c r="K742">
        <x:f>IF(A742="","",IF(G742="",1,0))</x:f>
      </x:c>
      <x:c r="L742">
        <x:f>IF(A742="","",IF(COUNTIFS($A$5:$A$2004,A742,$C$5:$C$2004,C742)&gt;1,1,0))</x:f>
      </x:c>
    </x:row>
    <x:row r="743">
      <x:c r="A743" s="8" t="n"/>
      <x:c r="B743" s="8" t="n"/>
      <x:c r="C743" s="8" t="n"/>
      <x:c r="D743" s="8" t="n"/>
      <x:c r="E743" s="8" t="n"/>
      <x:c r="F743" s="8" t="n"/>
      <x:c r="G743" s="7">
        <x:f>IF(A743="","",IF(01_Parametres!$B$11="Oui",IF((01_Parametres!$B$4*(D743&gt;0)+01_Parametres!$B$5*(E743&gt;0)+01_Parametres!$B$6*(F743&gt;0))=0,"",(01_Parametres!$B$4*IF(D743&gt;0,D743,0)+01_Parametres!$B$5*IF(E743&gt;0,E743,0)+01_Parametres!$B$6*IF(F743&gt;0,F743,0))/(01_Parametres!$B$4*(D743&gt;0)+01_Parametres!$B$5*(E743&gt;0)+01_Parametres!$B$6*(F743&gt;0))),IF(01_Parametres!$B$8=0,"",(01_Parametres!$B$4*D743+01_Parametres!$B$5*E743+01_Parametres!$B$6*F743)/01_Parametres!$B$8)))</x:f>
      </x:c>
      <x:c r="H743">
        <x:f>IFERROR(VLOOKUP(C743,02_Referentiels!$A$20:$D$99,3,FALSE),"")</x:f>
      </x:c>
      <x:c r="I743">
        <x:f>IFERROR(VLOOKUP(B743,02_Referentiels!$A$5:$C$16,2,FALSE),"")</x:f>
      </x:c>
      <x:c r="J743">
        <x:f>IF(A743="","",IF(OR(D743="",E743="",F743=""),1,IF(OR(D743&lt;0,D743&gt;3,E743&lt;0,E743&gt;3,F743&lt;0,F743&gt;3),1,0)))</x:f>
      </x:c>
      <x:c r="K743">
        <x:f>IF(A743="","",IF(G743="",1,0))</x:f>
      </x:c>
      <x:c r="L743">
        <x:f>IF(A743="","",IF(COUNTIFS($A$5:$A$2004,A743,$C$5:$C$2004,C743)&gt;1,1,0))</x:f>
      </x:c>
    </x:row>
    <x:row r="744">
      <x:c r="A744" s="8" t="n"/>
      <x:c r="B744" s="8" t="n"/>
      <x:c r="C744" s="8" t="n"/>
      <x:c r="D744" s="8" t="n"/>
      <x:c r="E744" s="8" t="n"/>
      <x:c r="F744" s="8" t="n"/>
      <x:c r="G744" s="7">
        <x:f>IF(A744="","",IF(01_Parametres!$B$11="Oui",IF((01_Parametres!$B$4*(D744&gt;0)+01_Parametres!$B$5*(E744&gt;0)+01_Parametres!$B$6*(F744&gt;0))=0,"",(01_Parametres!$B$4*IF(D744&gt;0,D744,0)+01_Parametres!$B$5*IF(E744&gt;0,E744,0)+01_Parametres!$B$6*IF(F744&gt;0,F744,0))/(01_Parametres!$B$4*(D744&gt;0)+01_Parametres!$B$5*(E744&gt;0)+01_Parametres!$B$6*(F744&gt;0))),IF(01_Parametres!$B$8=0,"",(01_Parametres!$B$4*D744+01_Parametres!$B$5*E744+01_Parametres!$B$6*F744)/01_Parametres!$B$8)))</x:f>
      </x:c>
      <x:c r="H744">
        <x:f>IFERROR(VLOOKUP(C744,02_Referentiels!$A$20:$D$99,3,FALSE),"")</x:f>
      </x:c>
      <x:c r="I744">
        <x:f>IFERROR(VLOOKUP(B744,02_Referentiels!$A$5:$C$16,2,FALSE),"")</x:f>
      </x:c>
      <x:c r="J744">
        <x:f>IF(A744="","",IF(OR(D744="",E744="",F744=""),1,IF(OR(D744&lt;0,D744&gt;3,E744&lt;0,E744&gt;3,F744&lt;0,F744&gt;3),1,0)))</x:f>
      </x:c>
      <x:c r="K744">
        <x:f>IF(A744="","",IF(G744="",1,0))</x:f>
      </x:c>
      <x:c r="L744">
        <x:f>IF(A744="","",IF(COUNTIFS($A$5:$A$2004,A744,$C$5:$C$2004,C744)&gt;1,1,0))</x:f>
      </x:c>
    </x:row>
    <x:row r="745">
      <x:c r="A745" s="8" t="n"/>
      <x:c r="B745" s="8" t="n"/>
      <x:c r="C745" s="8" t="n"/>
      <x:c r="D745" s="8" t="n"/>
      <x:c r="E745" s="8" t="n"/>
      <x:c r="F745" s="8" t="n"/>
      <x:c r="G745" s="7">
        <x:f>IF(A745="","",IF(01_Parametres!$B$11="Oui",IF((01_Parametres!$B$4*(D745&gt;0)+01_Parametres!$B$5*(E745&gt;0)+01_Parametres!$B$6*(F745&gt;0))=0,"",(01_Parametres!$B$4*IF(D745&gt;0,D745,0)+01_Parametres!$B$5*IF(E745&gt;0,E745,0)+01_Parametres!$B$6*IF(F745&gt;0,F745,0))/(01_Parametres!$B$4*(D745&gt;0)+01_Parametres!$B$5*(E745&gt;0)+01_Parametres!$B$6*(F745&gt;0))),IF(01_Parametres!$B$8=0,"",(01_Parametres!$B$4*D745+01_Parametres!$B$5*E745+01_Parametres!$B$6*F745)/01_Parametres!$B$8)))</x:f>
      </x:c>
      <x:c r="H745">
        <x:f>IFERROR(VLOOKUP(C745,02_Referentiels!$A$20:$D$99,3,FALSE),"")</x:f>
      </x:c>
      <x:c r="I745">
        <x:f>IFERROR(VLOOKUP(B745,02_Referentiels!$A$5:$C$16,2,FALSE),"")</x:f>
      </x:c>
      <x:c r="J745">
        <x:f>IF(A745="","",IF(OR(D745="",E745="",F745=""),1,IF(OR(D745&lt;0,D745&gt;3,E745&lt;0,E745&gt;3,F745&lt;0,F745&gt;3),1,0)))</x:f>
      </x:c>
      <x:c r="K745">
        <x:f>IF(A745="","",IF(G745="",1,0))</x:f>
      </x:c>
      <x:c r="L745">
        <x:f>IF(A745="","",IF(COUNTIFS($A$5:$A$2004,A745,$C$5:$C$2004,C745)&gt;1,1,0))</x:f>
      </x:c>
    </x:row>
    <x:row r="746">
      <x:c r="A746" s="8" t="n"/>
      <x:c r="B746" s="8" t="n"/>
      <x:c r="C746" s="8" t="n"/>
      <x:c r="D746" s="8" t="n"/>
      <x:c r="E746" s="8" t="n"/>
      <x:c r="F746" s="8" t="n"/>
      <x:c r="G746" s="7">
        <x:f>IF(A746="","",IF(01_Parametres!$B$11="Oui",IF((01_Parametres!$B$4*(D746&gt;0)+01_Parametres!$B$5*(E746&gt;0)+01_Parametres!$B$6*(F746&gt;0))=0,"",(01_Parametres!$B$4*IF(D746&gt;0,D746,0)+01_Parametres!$B$5*IF(E746&gt;0,E746,0)+01_Parametres!$B$6*IF(F746&gt;0,F746,0))/(01_Parametres!$B$4*(D746&gt;0)+01_Parametres!$B$5*(E746&gt;0)+01_Parametres!$B$6*(F746&gt;0))),IF(01_Parametres!$B$8=0,"",(01_Parametres!$B$4*D746+01_Parametres!$B$5*E746+01_Parametres!$B$6*F746)/01_Parametres!$B$8)))</x:f>
      </x:c>
      <x:c r="H746">
        <x:f>IFERROR(VLOOKUP(C746,02_Referentiels!$A$20:$D$99,3,FALSE),"")</x:f>
      </x:c>
      <x:c r="I746">
        <x:f>IFERROR(VLOOKUP(B746,02_Referentiels!$A$5:$C$16,2,FALSE),"")</x:f>
      </x:c>
      <x:c r="J746">
        <x:f>IF(A746="","",IF(OR(D746="",E746="",F746=""),1,IF(OR(D746&lt;0,D746&gt;3,E746&lt;0,E746&gt;3,F746&lt;0,F746&gt;3),1,0)))</x:f>
      </x:c>
      <x:c r="K746">
        <x:f>IF(A746="","",IF(G746="",1,0))</x:f>
      </x:c>
      <x:c r="L746">
        <x:f>IF(A746="","",IF(COUNTIFS($A$5:$A$2004,A746,$C$5:$C$2004,C746)&gt;1,1,0))</x:f>
      </x:c>
    </x:row>
    <x:row r="747">
      <x:c r="A747" s="8" t="n"/>
      <x:c r="B747" s="8" t="n"/>
      <x:c r="C747" s="8" t="n"/>
      <x:c r="D747" s="8" t="n"/>
      <x:c r="E747" s="8" t="n"/>
      <x:c r="F747" s="8" t="n"/>
      <x:c r="G747" s="7">
        <x:f>IF(A747="","",IF(01_Parametres!$B$11="Oui",IF((01_Parametres!$B$4*(D747&gt;0)+01_Parametres!$B$5*(E747&gt;0)+01_Parametres!$B$6*(F747&gt;0))=0,"",(01_Parametres!$B$4*IF(D747&gt;0,D747,0)+01_Parametres!$B$5*IF(E747&gt;0,E747,0)+01_Parametres!$B$6*IF(F747&gt;0,F747,0))/(01_Parametres!$B$4*(D747&gt;0)+01_Parametres!$B$5*(E747&gt;0)+01_Parametres!$B$6*(F747&gt;0))),IF(01_Parametres!$B$8=0,"",(01_Parametres!$B$4*D747+01_Parametres!$B$5*E747+01_Parametres!$B$6*F747)/01_Parametres!$B$8)))</x:f>
      </x:c>
      <x:c r="H747">
        <x:f>IFERROR(VLOOKUP(C747,02_Referentiels!$A$20:$D$99,3,FALSE),"")</x:f>
      </x:c>
      <x:c r="I747">
        <x:f>IFERROR(VLOOKUP(B747,02_Referentiels!$A$5:$C$16,2,FALSE),"")</x:f>
      </x:c>
      <x:c r="J747">
        <x:f>IF(A747="","",IF(OR(D747="",E747="",F747=""),1,IF(OR(D747&lt;0,D747&gt;3,E747&lt;0,E747&gt;3,F747&lt;0,F747&gt;3),1,0)))</x:f>
      </x:c>
      <x:c r="K747">
        <x:f>IF(A747="","",IF(G747="",1,0))</x:f>
      </x:c>
      <x:c r="L747">
        <x:f>IF(A747="","",IF(COUNTIFS($A$5:$A$2004,A747,$C$5:$C$2004,C747)&gt;1,1,0))</x:f>
      </x:c>
    </x:row>
    <x:row r="748">
      <x:c r="A748" s="8" t="n"/>
      <x:c r="B748" s="8" t="n"/>
      <x:c r="C748" s="8" t="n"/>
      <x:c r="D748" s="8" t="n"/>
      <x:c r="E748" s="8" t="n"/>
      <x:c r="F748" s="8" t="n"/>
      <x:c r="G748" s="7">
        <x:f>IF(A748="","",IF(01_Parametres!$B$11="Oui",IF((01_Parametres!$B$4*(D748&gt;0)+01_Parametres!$B$5*(E748&gt;0)+01_Parametres!$B$6*(F748&gt;0))=0,"",(01_Parametres!$B$4*IF(D748&gt;0,D748,0)+01_Parametres!$B$5*IF(E748&gt;0,E748,0)+01_Parametres!$B$6*IF(F748&gt;0,F748,0))/(01_Parametres!$B$4*(D748&gt;0)+01_Parametres!$B$5*(E748&gt;0)+01_Parametres!$B$6*(F748&gt;0))),IF(01_Parametres!$B$8=0,"",(01_Parametres!$B$4*D748+01_Parametres!$B$5*E748+01_Parametres!$B$6*F748)/01_Parametres!$B$8)))</x:f>
      </x:c>
      <x:c r="H748">
        <x:f>IFERROR(VLOOKUP(C748,02_Referentiels!$A$20:$D$99,3,FALSE),"")</x:f>
      </x:c>
      <x:c r="I748">
        <x:f>IFERROR(VLOOKUP(B748,02_Referentiels!$A$5:$C$16,2,FALSE),"")</x:f>
      </x:c>
      <x:c r="J748">
        <x:f>IF(A748="","",IF(OR(D748="",E748="",F748=""),1,IF(OR(D748&lt;0,D748&gt;3,E748&lt;0,E748&gt;3,F748&lt;0,F748&gt;3),1,0)))</x:f>
      </x:c>
      <x:c r="K748">
        <x:f>IF(A748="","",IF(G748="",1,0))</x:f>
      </x:c>
      <x:c r="L748">
        <x:f>IF(A748="","",IF(COUNTIFS($A$5:$A$2004,A748,$C$5:$C$2004,C748)&gt;1,1,0))</x:f>
      </x:c>
    </x:row>
    <x:row r="749">
      <x:c r="A749" s="8" t="n"/>
      <x:c r="B749" s="8" t="n"/>
      <x:c r="C749" s="8" t="n"/>
      <x:c r="D749" s="8" t="n"/>
      <x:c r="E749" s="8" t="n"/>
      <x:c r="F749" s="8" t="n"/>
      <x:c r="G749" s="7">
        <x:f>IF(A749="","",IF(01_Parametres!$B$11="Oui",IF((01_Parametres!$B$4*(D749&gt;0)+01_Parametres!$B$5*(E749&gt;0)+01_Parametres!$B$6*(F749&gt;0))=0,"",(01_Parametres!$B$4*IF(D749&gt;0,D749,0)+01_Parametres!$B$5*IF(E749&gt;0,E749,0)+01_Parametres!$B$6*IF(F749&gt;0,F749,0))/(01_Parametres!$B$4*(D749&gt;0)+01_Parametres!$B$5*(E749&gt;0)+01_Parametres!$B$6*(F749&gt;0))),IF(01_Parametres!$B$8=0,"",(01_Parametres!$B$4*D749+01_Parametres!$B$5*E749+01_Parametres!$B$6*F749)/01_Parametres!$B$8)))</x:f>
      </x:c>
      <x:c r="H749">
        <x:f>IFERROR(VLOOKUP(C749,02_Referentiels!$A$20:$D$99,3,FALSE),"")</x:f>
      </x:c>
      <x:c r="I749">
        <x:f>IFERROR(VLOOKUP(B749,02_Referentiels!$A$5:$C$16,2,FALSE),"")</x:f>
      </x:c>
      <x:c r="J749">
        <x:f>IF(A749="","",IF(OR(D749="",E749="",F749=""),1,IF(OR(D749&lt;0,D749&gt;3,E749&lt;0,E749&gt;3,F749&lt;0,F749&gt;3),1,0)))</x:f>
      </x:c>
      <x:c r="K749">
        <x:f>IF(A749="","",IF(G749="",1,0))</x:f>
      </x:c>
      <x:c r="L749">
        <x:f>IF(A749="","",IF(COUNTIFS($A$5:$A$2004,A749,$C$5:$C$2004,C749)&gt;1,1,0))</x:f>
      </x:c>
    </x:row>
    <x:row r="750">
      <x:c r="A750" s="8" t="n"/>
      <x:c r="B750" s="8" t="n"/>
      <x:c r="C750" s="8" t="n"/>
      <x:c r="D750" s="8" t="n"/>
      <x:c r="E750" s="8" t="n"/>
      <x:c r="F750" s="8" t="n"/>
      <x:c r="G750" s="7">
        <x:f>IF(A750="","",IF(01_Parametres!$B$11="Oui",IF((01_Parametres!$B$4*(D750&gt;0)+01_Parametres!$B$5*(E750&gt;0)+01_Parametres!$B$6*(F750&gt;0))=0,"",(01_Parametres!$B$4*IF(D750&gt;0,D750,0)+01_Parametres!$B$5*IF(E750&gt;0,E750,0)+01_Parametres!$B$6*IF(F750&gt;0,F750,0))/(01_Parametres!$B$4*(D750&gt;0)+01_Parametres!$B$5*(E750&gt;0)+01_Parametres!$B$6*(F750&gt;0))),IF(01_Parametres!$B$8=0,"",(01_Parametres!$B$4*D750+01_Parametres!$B$5*E750+01_Parametres!$B$6*F750)/01_Parametres!$B$8)))</x:f>
      </x:c>
      <x:c r="H750">
        <x:f>IFERROR(VLOOKUP(C750,02_Referentiels!$A$20:$D$99,3,FALSE),"")</x:f>
      </x:c>
      <x:c r="I750">
        <x:f>IFERROR(VLOOKUP(B750,02_Referentiels!$A$5:$C$16,2,FALSE),"")</x:f>
      </x:c>
      <x:c r="J750">
        <x:f>IF(A750="","",IF(OR(D750="",E750="",F750=""),1,IF(OR(D750&lt;0,D750&gt;3,E750&lt;0,E750&gt;3,F750&lt;0,F750&gt;3),1,0)))</x:f>
      </x:c>
      <x:c r="K750">
        <x:f>IF(A750="","",IF(G750="",1,0))</x:f>
      </x:c>
      <x:c r="L750">
        <x:f>IF(A750="","",IF(COUNTIFS($A$5:$A$2004,A750,$C$5:$C$2004,C750)&gt;1,1,0))</x:f>
      </x:c>
    </x:row>
    <x:row r="751">
      <x:c r="A751" s="8" t="n"/>
      <x:c r="B751" s="8" t="n"/>
      <x:c r="C751" s="8" t="n"/>
      <x:c r="D751" s="8" t="n"/>
      <x:c r="E751" s="8" t="n"/>
      <x:c r="F751" s="8" t="n"/>
      <x:c r="G751" s="7">
        <x:f>IF(A751="","",IF(01_Parametres!$B$11="Oui",IF((01_Parametres!$B$4*(D751&gt;0)+01_Parametres!$B$5*(E751&gt;0)+01_Parametres!$B$6*(F751&gt;0))=0,"",(01_Parametres!$B$4*IF(D751&gt;0,D751,0)+01_Parametres!$B$5*IF(E751&gt;0,E751,0)+01_Parametres!$B$6*IF(F751&gt;0,F751,0))/(01_Parametres!$B$4*(D751&gt;0)+01_Parametres!$B$5*(E751&gt;0)+01_Parametres!$B$6*(F751&gt;0))),IF(01_Parametres!$B$8=0,"",(01_Parametres!$B$4*D751+01_Parametres!$B$5*E751+01_Parametres!$B$6*F751)/01_Parametres!$B$8)))</x:f>
      </x:c>
      <x:c r="H751">
        <x:f>IFERROR(VLOOKUP(C751,02_Referentiels!$A$20:$D$99,3,FALSE),"")</x:f>
      </x:c>
      <x:c r="I751">
        <x:f>IFERROR(VLOOKUP(B751,02_Referentiels!$A$5:$C$16,2,FALSE),"")</x:f>
      </x:c>
      <x:c r="J751">
        <x:f>IF(A751="","",IF(OR(D751="",E751="",F751=""),1,IF(OR(D751&lt;0,D751&gt;3,E751&lt;0,E751&gt;3,F751&lt;0,F751&gt;3),1,0)))</x:f>
      </x:c>
      <x:c r="K751">
        <x:f>IF(A751="","",IF(G751="",1,0))</x:f>
      </x:c>
      <x:c r="L751">
        <x:f>IF(A751="","",IF(COUNTIFS($A$5:$A$2004,A751,$C$5:$C$2004,C751)&gt;1,1,0))</x:f>
      </x:c>
    </x:row>
    <x:row r="752">
      <x:c r="A752" s="8" t="n"/>
      <x:c r="B752" s="8" t="n"/>
      <x:c r="C752" s="8" t="n"/>
      <x:c r="D752" s="8" t="n"/>
      <x:c r="E752" s="8" t="n"/>
      <x:c r="F752" s="8" t="n"/>
      <x:c r="G752" s="7">
        <x:f>IF(A752="","",IF(01_Parametres!$B$11="Oui",IF((01_Parametres!$B$4*(D752&gt;0)+01_Parametres!$B$5*(E752&gt;0)+01_Parametres!$B$6*(F752&gt;0))=0,"",(01_Parametres!$B$4*IF(D752&gt;0,D752,0)+01_Parametres!$B$5*IF(E752&gt;0,E752,0)+01_Parametres!$B$6*IF(F752&gt;0,F752,0))/(01_Parametres!$B$4*(D752&gt;0)+01_Parametres!$B$5*(E752&gt;0)+01_Parametres!$B$6*(F752&gt;0))),IF(01_Parametres!$B$8=0,"",(01_Parametres!$B$4*D752+01_Parametres!$B$5*E752+01_Parametres!$B$6*F752)/01_Parametres!$B$8)))</x:f>
      </x:c>
      <x:c r="H752">
        <x:f>IFERROR(VLOOKUP(C752,02_Referentiels!$A$20:$D$99,3,FALSE),"")</x:f>
      </x:c>
      <x:c r="I752">
        <x:f>IFERROR(VLOOKUP(B752,02_Referentiels!$A$5:$C$16,2,FALSE),"")</x:f>
      </x:c>
      <x:c r="J752">
        <x:f>IF(A752="","",IF(OR(D752="",E752="",F752=""),1,IF(OR(D752&lt;0,D752&gt;3,E752&lt;0,E752&gt;3,F752&lt;0,F752&gt;3),1,0)))</x:f>
      </x:c>
      <x:c r="K752">
        <x:f>IF(A752="","",IF(G752="",1,0))</x:f>
      </x:c>
      <x:c r="L752">
        <x:f>IF(A752="","",IF(COUNTIFS($A$5:$A$2004,A752,$C$5:$C$2004,C752)&gt;1,1,0))</x:f>
      </x:c>
    </x:row>
    <x:row r="753">
      <x:c r="A753" s="8" t="n"/>
      <x:c r="B753" s="8" t="n"/>
      <x:c r="C753" s="8" t="n"/>
      <x:c r="D753" s="8" t="n"/>
      <x:c r="E753" s="8" t="n"/>
      <x:c r="F753" s="8" t="n"/>
      <x:c r="G753" s="7">
        <x:f>IF(A753="","",IF(01_Parametres!$B$11="Oui",IF((01_Parametres!$B$4*(D753&gt;0)+01_Parametres!$B$5*(E753&gt;0)+01_Parametres!$B$6*(F753&gt;0))=0,"",(01_Parametres!$B$4*IF(D753&gt;0,D753,0)+01_Parametres!$B$5*IF(E753&gt;0,E753,0)+01_Parametres!$B$6*IF(F753&gt;0,F753,0))/(01_Parametres!$B$4*(D753&gt;0)+01_Parametres!$B$5*(E753&gt;0)+01_Parametres!$B$6*(F753&gt;0))),IF(01_Parametres!$B$8=0,"",(01_Parametres!$B$4*D753+01_Parametres!$B$5*E753+01_Parametres!$B$6*F753)/01_Parametres!$B$8)))</x:f>
      </x:c>
      <x:c r="H753">
        <x:f>IFERROR(VLOOKUP(C753,02_Referentiels!$A$20:$D$99,3,FALSE),"")</x:f>
      </x:c>
      <x:c r="I753">
        <x:f>IFERROR(VLOOKUP(B753,02_Referentiels!$A$5:$C$16,2,FALSE),"")</x:f>
      </x:c>
      <x:c r="J753">
        <x:f>IF(A753="","",IF(OR(D753="",E753="",F753=""),1,IF(OR(D753&lt;0,D753&gt;3,E753&lt;0,E753&gt;3,F753&lt;0,F753&gt;3),1,0)))</x:f>
      </x:c>
      <x:c r="K753">
        <x:f>IF(A753="","",IF(G753="",1,0))</x:f>
      </x:c>
      <x:c r="L753">
        <x:f>IF(A753="","",IF(COUNTIFS($A$5:$A$2004,A753,$C$5:$C$2004,C753)&gt;1,1,0))</x:f>
      </x:c>
    </x:row>
    <x:row r="754">
      <x:c r="A754" s="8" t="n"/>
      <x:c r="B754" s="8" t="n"/>
      <x:c r="C754" s="8" t="n"/>
      <x:c r="D754" s="8" t="n"/>
      <x:c r="E754" s="8" t="n"/>
      <x:c r="F754" s="8" t="n"/>
      <x:c r="G754" s="7">
        <x:f>IF(A754="","",IF(01_Parametres!$B$11="Oui",IF((01_Parametres!$B$4*(D754&gt;0)+01_Parametres!$B$5*(E754&gt;0)+01_Parametres!$B$6*(F754&gt;0))=0,"",(01_Parametres!$B$4*IF(D754&gt;0,D754,0)+01_Parametres!$B$5*IF(E754&gt;0,E754,0)+01_Parametres!$B$6*IF(F754&gt;0,F754,0))/(01_Parametres!$B$4*(D754&gt;0)+01_Parametres!$B$5*(E754&gt;0)+01_Parametres!$B$6*(F754&gt;0))),IF(01_Parametres!$B$8=0,"",(01_Parametres!$B$4*D754+01_Parametres!$B$5*E754+01_Parametres!$B$6*F754)/01_Parametres!$B$8)))</x:f>
      </x:c>
      <x:c r="H754">
        <x:f>IFERROR(VLOOKUP(C754,02_Referentiels!$A$20:$D$99,3,FALSE),"")</x:f>
      </x:c>
      <x:c r="I754">
        <x:f>IFERROR(VLOOKUP(B754,02_Referentiels!$A$5:$C$16,2,FALSE),"")</x:f>
      </x:c>
      <x:c r="J754">
        <x:f>IF(A754="","",IF(OR(D754="",E754="",F754=""),1,IF(OR(D754&lt;0,D754&gt;3,E754&lt;0,E754&gt;3,F754&lt;0,F754&gt;3),1,0)))</x:f>
      </x:c>
      <x:c r="K754">
        <x:f>IF(A754="","",IF(G754="",1,0))</x:f>
      </x:c>
      <x:c r="L754">
        <x:f>IF(A754="","",IF(COUNTIFS($A$5:$A$2004,A754,$C$5:$C$2004,C754)&gt;1,1,0))</x:f>
      </x:c>
    </x:row>
    <x:row r="755">
      <x:c r="A755" s="8" t="n"/>
      <x:c r="B755" s="8" t="n"/>
      <x:c r="C755" s="8" t="n"/>
      <x:c r="D755" s="8" t="n"/>
      <x:c r="E755" s="8" t="n"/>
      <x:c r="F755" s="8" t="n"/>
      <x:c r="G755" s="7">
        <x:f>IF(A755="","",IF(01_Parametres!$B$11="Oui",IF((01_Parametres!$B$4*(D755&gt;0)+01_Parametres!$B$5*(E755&gt;0)+01_Parametres!$B$6*(F755&gt;0))=0,"",(01_Parametres!$B$4*IF(D755&gt;0,D755,0)+01_Parametres!$B$5*IF(E755&gt;0,E755,0)+01_Parametres!$B$6*IF(F755&gt;0,F755,0))/(01_Parametres!$B$4*(D755&gt;0)+01_Parametres!$B$5*(E755&gt;0)+01_Parametres!$B$6*(F755&gt;0))),IF(01_Parametres!$B$8=0,"",(01_Parametres!$B$4*D755+01_Parametres!$B$5*E755+01_Parametres!$B$6*F755)/01_Parametres!$B$8)))</x:f>
      </x:c>
      <x:c r="H755">
        <x:f>IFERROR(VLOOKUP(C755,02_Referentiels!$A$20:$D$99,3,FALSE),"")</x:f>
      </x:c>
      <x:c r="I755">
        <x:f>IFERROR(VLOOKUP(B755,02_Referentiels!$A$5:$C$16,2,FALSE),"")</x:f>
      </x:c>
      <x:c r="J755">
        <x:f>IF(A755="","",IF(OR(D755="",E755="",F755=""),1,IF(OR(D755&lt;0,D755&gt;3,E755&lt;0,E755&gt;3,F755&lt;0,F755&gt;3),1,0)))</x:f>
      </x:c>
      <x:c r="K755">
        <x:f>IF(A755="","",IF(G755="",1,0))</x:f>
      </x:c>
      <x:c r="L755">
        <x:f>IF(A755="","",IF(COUNTIFS($A$5:$A$2004,A755,$C$5:$C$2004,C755)&gt;1,1,0))</x:f>
      </x:c>
    </x:row>
    <x:row r="756">
      <x:c r="A756" s="8" t="n"/>
      <x:c r="B756" s="8" t="n"/>
      <x:c r="C756" s="8" t="n"/>
      <x:c r="D756" s="8" t="n"/>
      <x:c r="E756" s="8" t="n"/>
      <x:c r="F756" s="8" t="n"/>
      <x:c r="G756" s="7">
        <x:f>IF(A756="","",IF(01_Parametres!$B$11="Oui",IF((01_Parametres!$B$4*(D756&gt;0)+01_Parametres!$B$5*(E756&gt;0)+01_Parametres!$B$6*(F756&gt;0))=0,"",(01_Parametres!$B$4*IF(D756&gt;0,D756,0)+01_Parametres!$B$5*IF(E756&gt;0,E756,0)+01_Parametres!$B$6*IF(F756&gt;0,F756,0))/(01_Parametres!$B$4*(D756&gt;0)+01_Parametres!$B$5*(E756&gt;0)+01_Parametres!$B$6*(F756&gt;0))),IF(01_Parametres!$B$8=0,"",(01_Parametres!$B$4*D756+01_Parametres!$B$5*E756+01_Parametres!$B$6*F756)/01_Parametres!$B$8)))</x:f>
      </x:c>
      <x:c r="H756">
        <x:f>IFERROR(VLOOKUP(C756,02_Referentiels!$A$20:$D$99,3,FALSE),"")</x:f>
      </x:c>
      <x:c r="I756">
        <x:f>IFERROR(VLOOKUP(B756,02_Referentiels!$A$5:$C$16,2,FALSE),"")</x:f>
      </x:c>
      <x:c r="J756">
        <x:f>IF(A756="","",IF(OR(D756="",E756="",F756=""),1,IF(OR(D756&lt;0,D756&gt;3,E756&lt;0,E756&gt;3,F756&lt;0,F756&gt;3),1,0)))</x:f>
      </x:c>
      <x:c r="K756">
        <x:f>IF(A756="","",IF(G756="",1,0))</x:f>
      </x:c>
      <x:c r="L756">
        <x:f>IF(A756="","",IF(COUNTIFS($A$5:$A$2004,A756,$C$5:$C$2004,C756)&gt;1,1,0))</x:f>
      </x:c>
    </x:row>
    <x:row r="757">
      <x:c r="A757" s="8" t="n"/>
      <x:c r="B757" s="8" t="n"/>
      <x:c r="C757" s="8" t="n"/>
      <x:c r="D757" s="8" t="n"/>
      <x:c r="E757" s="8" t="n"/>
      <x:c r="F757" s="8" t="n"/>
      <x:c r="G757" s="7">
        <x:f>IF(A757="","",IF(01_Parametres!$B$11="Oui",IF((01_Parametres!$B$4*(D757&gt;0)+01_Parametres!$B$5*(E757&gt;0)+01_Parametres!$B$6*(F757&gt;0))=0,"",(01_Parametres!$B$4*IF(D757&gt;0,D757,0)+01_Parametres!$B$5*IF(E757&gt;0,E757,0)+01_Parametres!$B$6*IF(F757&gt;0,F757,0))/(01_Parametres!$B$4*(D757&gt;0)+01_Parametres!$B$5*(E757&gt;0)+01_Parametres!$B$6*(F757&gt;0))),IF(01_Parametres!$B$8=0,"",(01_Parametres!$B$4*D757+01_Parametres!$B$5*E757+01_Parametres!$B$6*F757)/01_Parametres!$B$8)))</x:f>
      </x:c>
      <x:c r="H757">
        <x:f>IFERROR(VLOOKUP(C757,02_Referentiels!$A$20:$D$99,3,FALSE),"")</x:f>
      </x:c>
      <x:c r="I757">
        <x:f>IFERROR(VLOOKUP(B757,02_Referentiels!$A$5:$C$16,2,FALSE),"")</x:f>
      </x:c>
      <x:c r="J757">
        <x:f>IF(A757="","",IF(OR(D757="",E757="",F757=""),1,IF(OR(D757&lt;0,D757&gt;3,E757&lt;0,E757&gt;3,F757&lt;0,F757&gt;3),1,0)))</x:f>
      </x:c>
      <x:c r="K757">
        <x:f>IF(A757="","",IF(G757="",1,0))</x:f>
      </x:c>
      <x:c r="L757">
        <x:f>IF(A757="","",IF(COUNTIFS($A$5:$A$2004,A757,$C$5:$C$2004,C757)&gt;1,1,0))</x:f>
      </x:c>
    </x:row>
    <x:row r="758">
      <x:c r="A758" s="8" t="n"/>
      <x:c r="B758" s="8" t="n"/>
      <x:c r="C758" s="8" t="n"/>
      <x:c r="D758" s="8" t="n"/>
      <x:c r="E758" s="8" t="n"/>
      <x:c r="F758" s="8" t="n"/>
      <x:c r="G758" s="7">
        <x:f>IF(A758="","",IF(01_Parametres!$B$11="Oui",IF((01_Parametres!$B$4*(D758&gt;0)+01_Parametres!$B$5*(E758&gt;0)+01_Parametres!$B$6*(F758&gt;0))=0,"",(01_Parametres!$B$4*IF(D758&gt;0,D758,0)+01_Parametres!$B$5*IF(E758&gt;0,E758,0)+01_Parametres!$B$6*IF(F758&gt;0,F758,0))/(01_Parametres!$B$4*(D758&gt;0)+01_Parametres!$B$5*(E758&gt;0)+01_Parametres!$B$6*(F758&gt;0))),IF(01_Parametres!$B$8=0,"",(01_Parametres!$B$4*D758+01_Parametres!$B$5*E758+01_Parametres!$B$6*F758)/01_Parametres!$B$8)))</x:f>
      </x:c>
      <x:c r="H758">
        <x:f>IFERROR(VLOOKUP(C758,02_Referentiels!$A$20:$D$99,3,FALSE),"")</x:f>
      </x:c>
      <x:c r="I758">
        <x:f>IFERROR(VLOOKUP(B758,02_Referentiels!$A$5:$C$16,2,FALSE),"")</x:f>
      </x:c>
      <x:c r="J758">
        <x:f>IF(A758="","",IF(OR(D758="",E758="",F758=""),1,IF(OR(D758&lt;0,D758&gt;3,E758&lt;0,E758&gt;3,F758&lt;0,F758&gt;3),1,0)))</x:f>
      </x:c>
      <x:c r="K758">
        <x:f>IF(A758="","",IF(G758="",1,0))</x:f>
      </x:c>
      <x:c r="L758">
        <x:f>IF(A758="","",IF(COUNTIFS($A$5:$A$2004,A758,$C$5:$C$2004,C758)&gt;1,1,0))</x:f>
      </x:c>
    </x:row>
    <x:row r="759">
      <x:c r="A759" s="8" t="n"/>
      <x:c r="B759" s="8" t="n"/>
      <x:c r="C759" s="8" t="n"/>
      <x:c r="D759" s="8" t="n"/>
      <x:c r="E759" s="8" t="n"/>
      <x:c r="F759" s="8" t="n"/>
      <x:c r="G759" s="7">
        <x:f>IF(A759="","",IF(01_Parametres!$B$11="Oui",IF((01_Parametres!$B$4*(D759&gt;0)+01_Parametres!$B$5*(E759&gt;0)+01_Parametres!$B$6*(F759&gt;0))=0,"",(01_Parametres!$B$4*IF(D759&gt;0,D759,0)+01_Parametres!$B$5*IF(E759&gt;0,E759,0)+01_Parametres!$B$6*IF(F759&gt;0,F759,0))/(01_Parametres!$B$4*(D759&gt;0)+01_Parametres!$B$5*(E759&gt;0)+01_Parametres!$B$6*(F759&gt;0))),IF(01_Parametres!$B$8=0,"",(01_Parametres!$B$4*D759+01_Parametres!$B$5*E759+01_Parametres!$B$6*F759)/01_Parametres!$B$8)))</x:f>
      </x:c>
      <x:c r="H759">
        <x:f>IFERROR(VLOOKUP(C759,02_Referentiels!$A$20:$D$99,3,FALSE),"")</x:f>
      </x:c>
      <x:c r="I759">
        <x:f>IFERROR(VLOOKUP(B759,02_Referentiels!$A$5:$C$16,2,FALSE),"")</x:f>
      </x:c>
      <x:c r="J759">
        <x:f>IF(A759="","",IF(OR(D759="",E759="",F759=""),1,IF(OR(D759&lt;0,D759&gt;3,E759&lt;0,E759&gt;3,F759&lt;0,F759&gt;3),1,0)))</x:f>
      </x:c>
      <x:c r="K759">
        <x:f>IF(A759="","",IF(G759="",1,0))</x:f>
      </x:c>
      <x:c r="L759">
        <x:f>IF(A759="","",IF(COUNTIFS($A$5:$A$2004,A759,$C$5:$C$2004,C759)&gt;1,1,0))</x:f>
      </x:c>
    </x:row>
    <x:row r="760">
      <x:c r="A760" s="8" t="n"/>
      <x:c r="B760" s="8" t="n"/>
      <x:c r="C760" s="8" t="n"/>
      <x:c r="D760" s="8" t="n"/>
      <x:c r="E760" s="8" t="n"/>
      <x:c r="F760" s="8" t="n"/>
      <x:c r="G760" s="7">
        <x:f>IF(A760="","",IF(01_Parametres!$B$11="Oui",IF((01_Parametres!$B$4*(D760&gt;0)+01_Parametres!$B$5*(E760&gt;0)+01_Parametres!$B$6*(F760&gt;0))=0,"",(01_Parametres!$B$4*IF(D760&gt;0,D760,0)+01_Parametres!$B$5*IF(E760&gt;0,E760,0)+01_Parametres!$B$6*IF(F760&gt;0,F760,0))/(01_Parametres!$B$4*(D760&gt;0)+01_Parametres!$B$5*(E760&gt;0)+01_Parametres!$B$6*(F760&gt;0))),IF(01_Parametres!$B$8=0,"",(01_Parametres!$B$4*D760+01_Parametres!$B$5*E760+01_Parametres!$B$6*F760)/01_Parametres!$B$8)))</x:f>
      </x:c>
      <x:c r="H760">
        <x:f>IFERROR(VLOOKUP(C760,02_Referentiels!$A$20:$D$99,3,FALSE),"")</x:f>
      </x:c>
      <x:c r="I760">
        <x:f>IFERROR(VLOOKUP(B760,02_Referentiels!$A$5:$C$16,2,FALSE),"")</x:f>
      </x:c>
      <x:c r="J760">
        <x:f>IF(A760="","",IF(OR(D760="",E760="",F760=""),1,IF(OR(D760&lt;0,D760&gt;3,E760&lt;0,E760&gt;3,F760&lt;0,F760&gt;3),1,0)))</x:f>
      </x:c>
      <x:c r="K760">
        <x:f>IF(A760="","",IF(G760="",1,0))</x:f>
      </x:c>
      <x:c r="L760">
        <x:f>IF(A760="","",IF(COUNTIFS($A$5:$A$2004,A760,$C$5:$C$2004,C760)&gt;1,1,0))</x:f>
      </x:c>
    </x:row>
    <x:row r="761">
      <x:c r="A761" s="8" t="n"/>
      <x:c r="B761" s="8" t="n"/>
      <x:c r="C761" s="8" t="n"/>
      <x:c r="D761" s="8" t="n"/>
      <x:c r="E761" s="8" t="n"/>
      <x:c r="F761" s="8" t="n"/>
      <x:c r="G761" s="7">
        <x:f>IF(A761="","",IF(01_Parametres!$B$11="Oui",IF((01_Parametres!$B$4*(D761&gt;0)+01_Parametres!$B$5*(E761&gt;0)+01_Parametres!$B$6*(F761&gt;0))=0,"",(01_Parametres!$B$4*IF(D761&gt;0,D761,0)+01_Parametres!$B$5*IF(E761&gt;0,E761,0)+01_Parametres!$B$6*IF(F761&gt;0,F761,0))/(01_Parametres!$B$4*(D761&gt;0)+01_Parametres!$B$5*(E761&gt;0)+01_Parametres!$B$6*(F761&gt;0))),IF(01_Parametres!$B$8=0,"",(01_Parametres!$B$4*D761+01_Parametres!$B$5*E761+01_Parametres!$B$6*F761)/01_Parametres!$B$8)))</x:f>
      </x:c>
      <x:c r="H761">
        <x:f>IFERROR(VLOOKUP(C761,02_Referentiels!$A$20:$D$99,3,FALSE),"")</x:f>
      </x:c>
      <x:c r="I761">
        <x:f>IFERROR(VLOOKUP(B761,02_Referentiels!$A$5:$C$16,2,FALSE),"")</x:f>
      </x:c>
      <x:c r="J761">
        <x:f>IF(A761="","",IF(OR(D761="",E761="",F761=""),1,IF(OR(D761&lt;0,D761&gt;3,E761&lt;0,E761&gt;3,F761&lt;0,F761&gt;3),1,0)))</x:f>
      </x:c>
      <x:c r="K761">
        <x:f>IF(A761="","",IF(G761="",1,0))</x:f>
      </x:c>
      <x:c r="L761">
        <x:f>IF(A761="","",IF(COUNTIFS($A$5:$A$2004,A761,$C$5:$C$2004,C761)&gt;1,1,0))</x:f>
      </x:c>
    </x:row>
    <x:row r="762">
      <x:c r="A762" s="8" t="n"/>
      <x:c r="B762" s="8" t="n"/>
      <x:c r="C762" s="8" t="n"/>
      <x:c r="D762" s="8" t="n"/>
      <x:c r="E762" s="8" t="n"/>
      <x:c r="F762" s="8" t="n"/>
      <x:c r="G762" s="7">
        <x:f>IF(A762="","",IF(01_Parametres!$B$11="Oui",IF((01_Parametres!$B$4*(D762&gt;0)+01_Parametres!$B$5*(E762&gt;0)+01_Parametres!$B$6*(F762&gt;0))=0,"",(01_Parametres!$B$4*IF(D762&gt;0,D762,0)+01_Parametres!$B$5*IF(E762&gt;0,E762,0)+01_Parametres!$B$6*IF(F762&gt;0,F762,0))/(01_Parametres!$B$4*(D762&gt;0)+01_Parametres!$B$5*(E762&gt;0)+01_Parametres!$B$6*(F762&gt;0))),IF(01_Parametres!$B$8=0,"",(01_Parametres!$B$4*D762+01_Parametres!$B$5*E762+01_Parametres!$B$6*F762)/01_Parametres!$B$8)))</x:f>
      </x:c>
      <x:c r="H762">
        <x:f>IFERROR(VLOOKUP(C762,02_Referentiels!$A$20:$D$99,3,FALSE),"")</x:f>
      </x:c>
      <x:c r="I762">
        <x:f>IFERROR(VLOOKUP(B762,02_Referentiels!$A$5:$C$16,2,FALSE),"")</x:f>
      </x:c>
      <x:c r="J762">
        <x:f>IF(A762="","",IF(OR(D762="",E762="",F762=""),1,IF(OR(D762&lt;0,D762&gt;3,E762&lt;0,E762&gt;3,F762&lt;0,F762&gt;3),1,0)))</x:f>
      </x:c>
      <x:c r="K762">
        <x:f>IF(A762="","",IF(G762="",1,0))</x:f>
      </x:c>
      <x:c r="L762">
        <x:f>IF(A762="","",IF(COUNTIFS($A$5:$A$2004,A762,$C$5:$C$2004,C762)&gt;1,1,0))</x:f>
      </x:c>
    </x:row>
    <x:row r="763">
      <x:c r="A763" s="8" t="n"/>
      <x:c r="B763" s="8" t="n"/>
      <x:c r="C763" s="8" t="n"/>
      <x:c r="D763" s="8" t="n"/>
      <x:c r="E763" s="8" t="n"/>
      <x:c r="F763" s="8" t="n"/>
      <x:c r="G763" s="7">
        <x:f>IF(A763="","",IF(01_Parametres!$B$11="Oui",IF((01_Parametres!$B$4*(D763&gt;0)+01_Parametres!$B$5*(E763&gt;0)+01_Parametres!$B$6*(F763&gt;0))=0,"",(01_Parametres!$B$4*IF(D763&gt;0,D763,0)+01_Parametres!$B$5*IF(E763&gt;0,E763,0)+01_Parametres!$B$6*IF(F763&gt;0,F763,0))/(01_Parametres!$B$4*(D763&gt;0)+01_Parametres!$B$5*(E763&gt;0)+01_Parametres!$B$6*(F763&gt;0))),IF(01_Parametres!$B$8=0,"",(01_Parametres!$B$4*D763+01_Parametres!$B$5*E763+01_Parametres!$B$6*F763)/01_Parametres!$B$8)))</x:f>
      </x:c>
      <x:c r="H763">
        <x:f>IFERROR(VLOOKUP(C763,02_Referentiels!$A$20:$D$99,3,FALSE),"")</x:f>
      </x:c>
      <x:c r="I763">
        <x:f>IFERROR(VLOOKUP(B763,02_Referentiels!$A$5:$C$16,2,FALSE),"")</x:f>
      </x:c>
      <x:c r="J763">
        <x:f>IF(A763="","",IF(OR(D763="",E763="",F763=""),1,IF(OR(D763&lt;0,D763&gt;3,E763&lt;0,E763&gt;3,F763&lt;0,F763&gt;3),1,0)))</x:f>
      </x:c>
      <x:c r="K763">
        <x:f>IF(A763="","",IF(G763="",1,0))</x:f>
      </x:c>
      <x:c r="L763">
        <x:f>IF(A763="","",IF(COUNTIFS($A$5:$A$2004,A763,$C$5:$C$2004,C763)&gt;1,1,0))</x:f>
      </x:c>
    </x:row>
    <x:row r="764">
      <x:c r="A764" s="8" t="n"/>
      <x:c r="B764" s="8" t="n"/>
      <x:c r="C764" s="8" t="n"/>
      <x:c r="D764" s="8" t="n"/>
      <x:c r="E764" s="8" t="n"/>
      <x:c r="F764" s="8" t="n"/>
      <x:c r="G764" s="7">
        <x:f>IF(A764="","",IF(01_Parametres!$B$11="Oui",IF((01_Parametres!$B$4*(D764&gt;0)+01_Parametres!$B$5*(E764&gt;0)+01_Parametres!$B$6*(F764&gt;0))=0,"",(01_Parametres!$B$4*IF(D764&gt;0,D764,0)+01_Parametres!$B$5*IF(E764&gt;0,E764,0)+01_Parametres!$B$6*IF(F764&gt;0,F764,0))/(01_Parametres!$B$4*(D764&gt;0)+01_Parametres!$B$5*(E764&gt;0)+01_Parametres!$B$6*(F764&gt;0))),IF(01_Parametres!$B$8=0,"",(01_Parametres!$B$4*D764+01_Parametres!$B$5*E764+01_Parametres!$B$6*F764)/01_Parametres!$B$8)))</x:f>
      </x:c>
      <x:c r="H764">
        <x:f>IFERROR(VLOOKUP(C764,02_Referentiels!$A$20:$D$99,3,FALSE),"")</x:f>
      </x:c>
      <x:c r="I764">
        <x:f>IFERROR(VLOOKUP(B764,02_Referentiels!$A$5:$C$16,2,FALSE),"")</x:f>
      </x:c>
      <x:c r="J764">
        <x:f>IF(A764="","",IF(OR(D764="",E764="",F764=""),1,IF(OR(D764&lt;0,D764&gt;3,E764&lt;0,E764&gt;3,F764&lt;0,F764&gt;3),1,0)))</x:f>
      </x:c>
      <x:c r="K764">
        <x:f>IF(A764="","",IF(G764="",1,0))</x:f>
      </x:c>
      <x:c r="L764">
        <x:f>IF(A764="","",IF(COUNTIFS($A$5:$A$2004,A764,$C$5:$C$2004,C764)&gt;1,1,0))</x:f>
      </x:c>
    </x:row>
    <x:row r="765">
      <x:c r="A765" s="8" t="n"/>
      <x:c r="B765" s="8" t="n"/>
      <x:c r="C765" s="8" t="n"/>
      <x:c r="D765" s="8" t="n"/>
      <x:c r="E765" s="8" t="n"/>
      <x:c r="F765" s="8" t="n"/>
      <x:c r="G765" s="7">
        <x:f>IF(A765="","",IF(01_Parametres!$B$11="Oui",IF((01_Parametres!$B$4*(D765&gt;0)+01_Parametres!$B$5*(E765&gt;0)+01_Parametres!$B$6*(F765&gt;0))=0,"",(01_Parametres!$B$4*IF(D765&gt;0,D765,0)+01_Parametres!$B$5*IF(E765&gt;0,E765,0)+01_Parametres!$B$6*IF(F765&gt;0,F765,0))/(01_Parametres!$B$4*(D765&gt;0)+01_Parametres!$B$5*(E765&gt;0)+01_Parametres!$B$6*(F765&gt;0))),IF(01_Parametres!$B$8=0,"",(01_Parametres!$B$4*D765+01_Parametres!$B$5*E765+01_Parametres!$B$6*F765)/01_Parametres!$B$8)))</x:f>
      </x:c>
      <x:c r="H765">
        <x:f>IFERROR(VLOOKUP(C765,02_Referentiels!$A$20:$D$99,3,FALSE),"")</x:f>
      </x:c>
      <x:c r="I765">
        <x:f>IFERROR(VLOOKUP(B765,02_Referentiels!$A$5:$C$16,2,FALSE),"")</x:f>
      </x:c>
      <x:c r="J765">
        <x:f>IF(A765="","",IF(OR(D765="",E765="",F765=""),1,IF(OR(D765&lt;0,D765&gt;3,E765&lt;0,E765&gt;3,F765&lt;0,F765&gt;3),1,0)))</x:f>
      </x:c>
      <x:c r="K765">
        <x:f>IF(A765="","",IF(G765="",1,0))</x:f>
      </x:c>
      <x:c r="L765">
        <x:f>IF(A765="","",IF(COUNTIFS($A$5:$A$2004,A765,$C$5:$C$2004,C765)&gt;1,1,0))</x:f>
      </x:c>
    </x:row>
    <x:row r="766">
      <x:c r="A766" s="8" t="n"/>
      <x:c r="B766" s="8" t="n"/>
      <x:c r="C766" s="8" t="n"/>
      <x:c r="D766" s="8" t="n"/>
      <x:c r="E766" s="8" t="n"/>
      <x:c r="F766" s="8" t="n"/>
      <x:c r="G766" s="7">
        <x:f>IF(A766="","",IF(01_Parametres!$B$11="Oui",IF((01_Parametres!$B$4*(D766&gt;0)+01_Parametres!$B$5*(E766&gt;0)+01_Parametres!$B$6*(F766&gt;0))=0,"",(01_Parametres!$B$4*IF(D766&gt;0,D766,0)+01_Parametres!$B$5*IF(E766&gt;0,E766,0)+01_Parametres!$B$6*IF(F766&gt;0,F766,0))/(01_Parametres!$B$4*(D766&gt;0)+01_Parametres!$B$5*(E766&gt;0)+01_Parametres!$B$6*(F766&gt;0))),IF(01_Parametres!$B$8=0,"",(01_Parametres!$B$4*D766+01_Parametres!$B$5*E766+01_Parametres!$B$6*F766)/01_Parametres!$B$8)))</x:f>
      </x:c>
      <x:c r="H766">
        <x:f>IFERROR(VLOOKUP(C766,02_Referentiels!$A$20:$D$99,3,FALSE),"")</x:f>
      </x:c>
      <x:c r="I766">
        <x:f>IFERROR(VLOOKUP(B766,02_Referentiels!$A$5:$C$16,2,FALSE),"")</x:f>
      </x:c>
      <x:c r="J766">
        <x:f>IF(A766="","",IF(OR(D766="",E766="",F766=""),1,IF(OR(D766&lt;0,D766&gt;3,E766&lt;0,E766&gt;3,F766&lt;0,F766&gt;3),1,0)))</x:f>
      </x:c>
      <x:c r="K766">
        <x:f>IF(A766="","",IF(G766="",1,0))</x:f>
      </x:c>
      <x:c r="L766">
        <x:f>IF(A766="","",IF(COUNTIFS($A$5:$A$2004,A766,$C$5:$C$2004,C766)&gt;1,1,0))</x:f>
      </x:c>
    </x:row>
    <x:row r="767">
      <x:c r="A767" s="8" t="n"/>
      <x:c r="B767" s="8" t="n"/>
      <x:c r="C767" s="8" t="n"/>
      <x:c r="D767" s="8" t="n"/>
      <x:c r="E767" s="8" t="n"/>
      <x:c r="F767" s="8" t="n"/>
      <x:c r="G767" s="7">
        <x:f>IF(A767="","",IF(01_Parametres!$B$11="Oui",IF((01_Parametres!$B$4*(D767&gt;0)+01_Parametres!$B$5*(E767&gt;0)+01_Parametres!$B$6*(F767&gt;0))=0,"",(01_Parametres!$B$4*IF(D767&gt;0,D767,0)+01_Parametres!$B$5*IF(E767&gt;0,E767,0)+01_Parametres!$B$6*IF(F767&gt;0,F767,0))/(01_Parametres!$B$4*(D767&gt;0)+01_Parametres!$B$5*(E767&gt;0)+01_Parametres!$B$6*(F767&gt;0))),IF(01_Parametres!$B$8=0,"",(01_Parametres!$B$4*D767+01_Parametres!$B$5*E767+01_Parametres!$B$6*F767)/01_Parametres!$B$8)))</x:f>
      </x:c>
      <x:c r="H767">
        <x:f>IFERROR(VLOOKUP(C767,02_Referentiels!$A$20:$D$99,3,FALSE),"")</x:f>
      </x:c>
      <x:c r="I767">
        <x:f>IFERROR(VLOOKUP(B767,02_Referentiels!$A$5:$C$16,2,FALSE),"")</x:f>
      </x:c>
      <x:c r="J767">
        <x:f>IF(A767="","",IF(OR(D767="",E767="",F767=""),1,IF(OR(D767&lt;0,D767&gt;3,E767&lt;0,E767&gt;3,F767&lt;0,F767&gt;3),1,0)))</x:f>
      </x:c>
      <x:c r="K767">
        <x:f>IF(A767="","",IF(G767="",1,0))</x:f>
      </x:c>
      <x:c r="L767">
        <x:f>IF(A767="","",IF(COUNTIFS($A$5:$A$2004,A767,$C$5:$C$2004,C767)&gt;1,1,0))</x:f>
      </x:c>
    </x:row>
    <x:row r="768">
      <x:c r="A768" s="8" t="n"/>
      <x:c r="B768" s="8" t="n"/>
      <x:c r="C768" s="8" t="n"/>
      <x:c r="D768" s="8" t="n"/>
      <x:c r="E768" s="8" t="n"/>
      <x:c r="F768" s="8" t="n"/>
      <x:c r="G768" s="7">
        <x:f>IF(A768="","",IF(01_Parametres!$B$11="Oui",IF((01_Parametres!$B$4*(D768&gt;0)+01_Parametres!$B$5*(E768&gt;0)+01_Parametres!$B$6*(F768&gt;0))=0,"",(01_Parametres!$B$4*IF(D768&gt;0,D768,0)+01_Parametres!$B$5*IF(E768&gt;0,E768,0)+01_Parametres!$B$6*IF(F768&gt;0,F768,0))/(01_Parametres!$B$4*(D768&gt;0)+01_Parametres!$B$5*(E768&gt;0)+01_Parametres!$B$6*(F768&gt;0))),IF(01_Parametres!$B$8=0,"",(01_Parametres!$B$4*D768+01_Parametres!$B$5*E768+01_Parametres!$B$6*F768)/01_Parametres!$B$8)))</x:f>
      </x:c>
      <x:c r="H768">
        <x:f>IFERROR(VLOOKUP(C768,02_Referentiels!$A$20:$D$99,3,FALSE),"")</x:f>
      </x:c>
      <x:c r="I768">
        <x:f>IFERROR(VLOOKUP(B768,02_Referentiels!$A$5:$C$16,2,FALSE),"")</x:f>
      </x:c>
      <x:c r="J768">
        <x:f>IF(A768="","",IF(OR(D768="",E768="",F768=""),1,IF(OR(D768&lt;0,D768&gt;3,E768&lt;0,E768&gt;3,F768&lt;0,F768&gt;3),1,0)))</x:f>
      </x:c>
      <x:c r="K768">
        <x:f>IF(A768="","",IF(G768="",1,0))</x:f>
      </x:c>
      <x:c r="L768">
        <x:f>IF(A768="","",IF(COUNTIFS($A$5:$A$2004,A768,$C$5:$C$2004,C768)&gt;1,1,0))</x:f>
      </x:c>
    </x:row>
    <x:row r="769">
      <x:c r="A769" s="8" t="n"/>
      <x:c r="B769" s="8" t="n"/>
      <x:c r="C769" s="8" t="n"/>
      <x:c r="D769" s="8" t="n"/>
      <x:c r="E769" s="8" t="n"/>
      <x:c r="F769" s="8" t="n"/>
      <x:c r="G769" s="7">
        <x:f>IF(A769="","",IF(01_Parametres!$B$11="Oui",IF((01_Parametres!$B$4*(D769&gt;0)+01_Parametres!$B$5*(E769&gt;0)+01_Parametres!$B$6*(F769&gt;0))=0,"",(01_Parametres!$B$4*IF(D769&gt;0,D769,0)+01_Parametres!$B$5*IF(E769&gt;0,E769,0)+01_Parametres!$B$6*IF(F769&gt;0,F769,0))/(01_Parametres!$B$4*(D769&gt;0)+01_Parametres!$B$5*(E769&gt;0)+01_Parametres!$B$6*(F769&gt;0))),IF(01_Parametres!$B$8=0,"",(01_Parametres!$B$4*D769+01_Parametres!$B$5*E769+01_Parametres!$B$6*F769)/01_Parametres!$B$8)))</x:f>
      </x:c>
      <x:c r="H769">
        <x:f>IFERROR(VLOOKUP(C769,02_Referentiels!$A$20:$D$99,3,FALSE),"")</x:f>
      </x:c>
      <x:c r="I769">
        <x:f>IFERROR(VLOOKUP(B769,02_Referentiels!$A$5:$C$16,2,FALSE),"")</x:f>
      </x:c>
      <x:c r="J769">
        <x:f>IF(A769="","",IF(OR(D769="",E769="",F769=""),1,IF(OR(D769&lt;0,D769&gt;3,E769&lt;0,E769&gt;3,F769&lt;0,F769&gt;3),1,0)))</x:f>
      </x:c>
      <x:c r="K769">
        <x:f>IF(A769="","",IF(G769="",1,0))</x:f>
      </x:c>
      <x:c r="L769">
        <x:f>IF(A769="","",IF(COUNTIFS($A$5:$A$2004,A769,$C$5:$C$2004,C769)&gt;1,1,0))</x:f>
      </x:c>
    </x:row>
    <x:row r="770">
      <x:c r="A770" s="8" t="n"/>
      <x:c r="B770" s="8" t="n"/>
      <x:c r="C770" s="8" t="n"/>
      <x:c r="D770" s="8" t="n"/>
      <x:c r="E770" s="8" t="n"/>
      <x:c r="F770" s="8" t="n"/>
      <x:c r="G770" s="7">
        <x:f>IF(A770="","",IF(01_Parametres!$B$11="Oui",IF((01_Parametres!$B$4*(D770&gt;0)+01_Parametres!$B$5*(E770&gt;0)+01_Parametres!$B$6*(F770&gt;0))=0,"",(01_Parametres!$B$4*IF(D770&gt;0,D770,0)+01_Parametres!$B$5*IF(E770&gt;0,E770,0)+01_Parametres!$B$6*IF(F770&gt;0,F770,0))/(01_Parametres!$B$4*(D770&gt;0)+01_Parametres!$B$5*(E770&gt;0)+01_Parametres!$B$6*(F770&gt;0))),IF(01_Parametres!$B$8=0,"",(01_Parametres!$B$4*D770+01_Parametres!$B$5*E770+01_Parametres!$B$6*F770)/01_Parametres!$B$8)))</x:f>
      </x:c>
      <x:c r="H770">
        <x:f>IFERROR(VLOOKUP(C770,02_Referentiels!$A$20:$D$99,3,FALSE),"")</x:f>
      </x:c>
      <x:c r="I770">
        <x:f>IFERROR(VLOOKUP(B770,02_Referentiels!$A$5:$C$16,2,FALSE),"")</x:f>
      </x:c>
      <x:c r="J770">
        <x:f>IF(A770="","",IF(OR(D770="",E770="",F770=""),1,IF(OR(D770&lt;0,D770&gt;3,E770&lt;0,E770&gt;3,F770&lt;0,F770&gt;3),1,0)))</x:f>
      </x:c>
      <x:c r="K770">
        <x:f>IF(A770="","",IF(G770="",1,0))</x:f>
      </x:c>
      <x:c r="L770">
        <x:f>IF(A770="","",IF(COUNTIFS($A$5:$A$2004,A770,$C$5:$C$2004,C770)&gt;1,1,0))</x:f>
      </x:c>
    </x:row>
    <x:row r="771">
      <x:c r="A771" s="8" t="n"/>
      <x:c r="B771" s="8" t="n"/>
      <x:c r="C771" s="8" t="n"/>
      <x:c r="D771" s="8" t="n"/>
      <x:c r="E771" s="8" t="n"/>
      <x:c r="F771" s="8" t="n"/>
      <x:c r="G771" s="7">
        <x:f>IF(A771="","",IF(01_Parametres!$B$11="Oui",IF((01_Parametres!$B$4*(D771&gt;0)+01_Parametres!$B$5*(E771&gt;0)+01_Parametres!$B$6*(F771&gt;0))=0,"",(01_Parametres!$B$4*IF(D771&gt;0,D771,0)+01_Parametres!$B$5*IF(E771&gt;0,E771,0)+01_Parametres!$B$6*IF(F771&gt;0,F771,0))/(01_Parametres!$B$4*(D771&gt;0)+01_Parametres!$B$5*(E771&gt;0)+01_Parametres!$B$6*(F771&gt;0))),IF(01_Parametres!$B$8=0,"",(01_Parametres!$B$4*D771+01_Parametres!$B$5*E771+01_Parametres!$B$6*F771)/01_Parametres!$B$8)))</x:f>
      </x:c>
      <x:c r="H771">
        <x:f>IFERROR(VLOOKUP(C771,02_Referentiels!$A$20:$D$99,3,FALSE),"")</x:f>
      </x:c>
      <x:c r="I771">
        <x:f>IFERROR(VLOOKUP(B771,02_Referentiels!$A$5:$C$16,2,FALSE),"")</x:f>
      </x:c>
      <x:c r="J771">
        <x:f>IF(A771="","",IF(OR(D771="",E771="",F771=""),1,IF(OR(D771&lt;0,D771&gt;3,E771&lt;0,E771&gt;3,F771&lt;0,F771&gt;3),1,0)))</x:f>
      </x:c>
      <x:c r="K771">
        <x:f>IF(A771="","",IF(G771="",1,0))</x:f>
      </x:c>
      <x:c r="L771">
        <x:f>IF(A771="","",IF(COUNTIFS($A$5:$A$2004,A771,$C$5:$C$2004,C771)&gt;1,1,0))</x:f>
      </x:c>
    </x:row>
    <x:row r="772">
      <x:c r="A772" s="8" t="n"/>
      <x:c r="B772" s="8" t="n"/>
      <x:c r="C772" s="8" t="n"/>
      <x:c r="D772" s="8" t="n"/>
      <x:c r="E772" s="8" t="n"/>
      <x:c r="F772" s="8" t="n"/>
      <x:c r="G772" s="7">
        <x:f>IF(A772="","",IF(01_Parametres!$B$11="Oui",IF((01_Parametres!$B$4*(D772&gt;0)+01_Parametres!$B$5*(E772&gt;0)+01_Parametres!$B$6*(F772&gt;0))=0,"",(01_Parametres!$B$4*IF(D772&gt;0,D772,0)+01_Parametres!$B$5*IF(E772&gt;0,E772,0)+01_Parametres!$B$6*IF(F772&gt;0,F772,0))/(01_Parametres!$B$4*(D772&gt;0)+01_Parametres!$B$5*(E772&gt;0)+01_Parametres!$B$6*(F772&gt;0))),IF(01_Parametres!$B$8=0,"",(01_Parametres!$B$4*D772+01_Parametres!$B$5*E772+01_Parametres!$B$6*F772)/01_Parametres!$B$8)))</x:f>
      </x:c>
      <x:c r="H772">
        <x:f>IFERROR(VLOOKUP(C772,02_Referentiels!$A$20:$D$99,3,FALSE),"")</x:f>
      </x:c>
      <x:c r="I772">
        <x:f>IFERROR(VLOOKUP(B772,02_Referentiels!$A$5:$C$16,2,FALSE),"")</x:f>
      </x:c>
      <x:c r="J772">
        <x:f>IF(A772="","",IF(OR(D772="",E772="",F772=""),1,IF(OR(D772&lt;0,D772&gt;3,E772&lt;0,E772&gt;3,F772&lt;0,F772&gt;3),1,0)))</x:f>
      </x:c>
      <x:c r="K772">
        <x:f>IF(A772="","",IF(G772="",1,0))</x:f>
      </x:c>
      <x:c r="L772">
        <x:f>IF(A772="","",IF(COUNTIFS($A$5:$A$2004,A772,$C$5:$C$2004,C772)&gt;1,1,0))</x:f>
      </x:c>
    </x:row>
    <x:row r="773">
      <x:c r="A773" s="8" t="n"/>
      <x:c r="B773" s="8" t="n"/>
      <x:c r="C773" s="8" t="n"/>
      <x:c r="D773" s="8" t="n"/>
      <x:c r="E773" s="8" t="n"/>
      <x:c r="F773" s="8" t="n"/>
      <x:c r="G773" s="7">
        <x:f>IF(A773="","",IF(01_Parametres!$B$11="Oui",IF((01_Parametres!$B$4*(D773&gt;0)+01_Parametres!$B$5*(E773&gt;0)+01_Parametres!$B$6*(F773&gt;0))=0,"",(01_Parametres!$B$4*IF(D773&gt;0,D773,0)+01_Parametres!$B$5*IF(E773&gt;0,E773,0)+01_Parametres!$B$6*IF(F773&gt;0,F773,0))/(01_Parametres!$B$4*(D773&gt;0)+01_Parametres!$B$5*(E773&gt;0)+01_Parametres!$B$6*(F773&gt;0))),IF(01_Parametres!$B$8=0,"",(01_Parametres!$B$4*D773+01_Parametres!$B$5*E773+01_Parametres!$B$6*F773)/01_Parametres!$B$8)))</x:f>
      </x:c>
      <x:c r="H773">
        <x:f>IFERROR(VLOOKUP(C773,02_Referentiels!$A$20:$D$99,3,FALSE),"")</x:f>
      </x:c>
      <x:c r="I773">
        <x:f>IFERROR(VLOOKUP(B773,02_Referentiels!$A$5:$C$16,2,FALSE),"")</x:f>
      </x:c>
      <x:c r="J773">
        <x:f>IF(A773="","",IF(OR(D773="",E773="",F773=""),1,IF(OR(D773&lt;0,D773&gt;3,E773&lt;0,E773&gt;3,F773&lt;0,F773&gt;3),1,0)))</x:f>
      </x:c>
      <x:c r="K773">
        <x:f>IF(A773="","",IF(G773="",1,0))</x:f>
      </x:c>
      <x:c r="L773">
        <x:f>IF(A773="","",IF(COUNTIFS($A$5:$A$2004,A773,$C$5:$C$2004,C773)&gt;1,1,0))</x:f>
      </x:c>
    </x:row>
    <x:row r="774">
      <x:c r="A774" s="8" t="n"/>
      <x:c r="B774" s="8" t="n"/>
      <x:c r="C774" s="8" t="n"/>
      <x:c r="D774" s="8" t="n"/>
      <x:c r="E774" s="8" t="n"/>
      <x:c r="F774" s="8" t="n"/>
      <x:c r="G774" s="7">
        <x:f>IF(A774="","",IF(01_Parametres!$B$11="Oui",IF((01_Parametres!$B$4*(D774&gt;0)+01_Parametres!$B$5*(E774&gt;0)+01_Parametres!$B$6*(F774&gt;0))=0,"",(01_Parametres!$B$4*IF(D774&gt;0,D774,0)+01_Parametres!$B$5*IF(E774&gt;0,E774,0)+01_Parametres!$B$6*IF(F774&gt;0,F774,0))/(01_Parametres!$B$4*(D774&gt;0)+01_Parametres!$B$5*(E774&gt;0)+01_Parametres!$B$6*(F774&gt;0))),IF(01_Parametres!$B$8=0,"",(01_Parametres!$B$4*D774+01_Parametres!$B$5*E774+01_Parametres!$B$6*F774)/01_Parametres!$B$8)))</x:f>
      </x:c>
      <x:c r="H774">
        <x:f>IFERROR(VLOOKUP(C774,02_Referentiels!$A$20:$D$99,3,FALSE),"")</x:f>
      </x:c>
      <x:c r="I774">
        <x:f>IFERROR(VLOOKUP(B774,02_Referentiels!$A$5:$C$16,2,FALSE),"")</x:f>
      </x:c>
      <x:c r="J774">
        <x:f>IF(A774="","",IF(OR(D774="",E774="",F774=""),1,IF(OR(D774&lt;0,D774&gt;3,E774&lt;0,E774&gt;3,F774&lt;0,F774&gt;3),1,0)))</x:f>
      </x:c>
      <x:c r="K774">
        <x:f>IF(A774="","",IF(G774="",1,0))</x:f>
      </x:c>
      <x:c r="L774">
        <x:f>IF(A774="","",IF(COUNTIFS($A$5:$A$2004,A774,$C$5:$C$2004,C774)&gt;1,1,0))</x:f>
      </x:c>
    </x:row>
    <x:row r="775">
      <x:c r="A775" s="8" t="n"/>
      <x:c r="B775" s="8" t="n"/>
      <x:c r="C775" s="8" t="n"/>
      <x:c r="D775" s="8" t="n"/>
      <x:c r="E775" s="8" t="n"/>
      <x:c r="F775" s="8" t="n"/>
      <x:c r="G775" s="7">
        <x:f>IF(A775="","",IF(01_Parametres!$B$11="Oui",IF((01_Parametres!$B$4*(D775&gt;0)+01_Parametres!$B$5*(E775&gt;0)+01_Parametres!$B$6*(F775&gt;0))=0,"",(01_Parametres!$B$4*IF(D775&gt;0,D775,0)+01_Parametres!$B$5*IF(E775&gt;0,E775,0)+01_Parametres!$B$6*IF(F775&gt;0,F775,0))/(01_Parametres!$B$4*(D775&gt;0)+01_Parametres!$B$5*(E775&gt;0)+01_Parametres!$B$6*(F775&gt;0))),IF(01_Parametres!$B$8=0,"",(01_Parametres!$B$4*D775+01_Parametres!$B$5*E775+01_Parametres!$B$6*F775)/01_Parametres!$B$8)))</x:f>
      </x:c>
      <x:c r="H775">
        <x:f>IFERROR(VLOOKUP(C775,02_Referentiels!$A$20:$D$99,3,FALSE),"")</x:f>
      </x:c>
      <x:c r="I775">
        <x:f>IFERROR(VLOOKUP(B775,02_Referentiels!$A$5:$C$16,2,FALSE),"")</x:f>
      </x:c>
      <x:c r="J775">
        <x:f>IF(A775="","",IF(OR(D775="",E775="",F775=""),1,IF(OR(D775&lt;0,D775&gt;3,E775&lt;0,E775&gt;3,F775&lt;0,F775&gt;3),1,0)))</x:f>
      </x:c>
      <x:c r="K775">
        <x:f>IF(A775="","",IF(G775="",1,0))</x:f>
      </x:c>
      <x:c r="L775">
        <x:f>IF(A775="","",IF(COUNTIFS($A$5:$A$2004,A775,$C$5:$C$2004,C775)&gt;1,1,0))</x:f>
      </x:c>
    </x:row>
    <x:row r="776">
      <x:c r="A776" s="8" t="n"/>
      <x:c r="B776" s="8" t="n"/>
      <x:c r="C776" s="8" t="n"/>
      <x:c r="D776" s="8" t="n"/>
      <x:c r="E776" s="8" t="n"/>
      <x:c r="F776" s="8" t="n"/>
      <x:c r="G776" s="7">
        <x:f>IF(A776="","",IF(01_Parametres!$B$11="Oui",IF((01_Parametres!$B$4*(D776&gt;0)+01_Parametres!$B$5*(E776&gt;0)+01_Parametres!$B$6*(F776&gt;0))=0,"",(01_Parametres!$B$4*IF(D776&gt;0,D776,0)+01_Parametres!$B$5*IF(E776&gt;0,E776,0)+01_Parametres!$B$6*IF(F776&gt;0,F776,0))/(01_Parametres!$B$4*(D776&gt;0)+01_Parametres!$B$5*(E776&gt;0)+01_Parametres!$B$6*(F776&gt;0))),IF(01_Parametres!$B$8=0,"",(01_Parametres!$B$4*D776+01_Parametres!$B$5*E776+01_Parametres!$B$6*F776)/01_Parametres!$B$8)))</x:f>
      </x:c>
      <x:c r="H776">
        <x:f>IFERROR(VLOOKUP(C776,02_Referentiels!$A$20:$D$99,3,FALSE),"")</x:f>
      </x:c>
      <x:c r="I776">
        <x:f>IFERROR(VLOOKUP(B776,02_Referentiels!$A$5:$C$16,2,FALSE),"")</x:f>
      </x:c>
      <x:c r="J776">
        <x:f>IF(A776="","",IF(OR(D776="",E776="",F776=""),1,IF(OR(D776&lt;0,D776&gt;3,E776&lt;0,E776&gt;3,F776&lt;0,F776&gt;3),1,0)))</x:f>
      </x:c>
      <x:c r="K776">
        <x:f>IF(A776="","",IF(G776="",1,0))</x:f>
      </x:c>
      <x:c r="L776">
        <x:f>IF(A776="","",IF(COUNTIFS($A$5:$A$2004,A776,$C$5:$C$2004,C776)&gt;1,1,0))</x:f>
      </x:c>
    </x:row>
    <x:row r="777">
      <x:c r="A777" s="8" t="n"/>
      <x:c r="B777" s="8" t="n"/>
      <x:c r="C777" s="8" t="n"/>
      <x:c r="D777" s="8" t="n"/>
      <x:c r="E777" s="8" t="n"/>
      <x:c r="F777" s="8" t="n"/>
      <x:c r="G777" s="7">
        <x:f>IF(A777="","",IF(01_Parametres!$B$11="Oui",IF((01_Parametres!$B$4*(D777&gt;0)+01_Parametres!$B$5*(E777&gt;0)+01_Parametres!$B$6*(F777&gt;0))=0,"",(01_Parametres!$B$4*IF(D777&gt;0,D777,0)+01_Parametres!$B$5*IF(E777&gt;0,E777,0)+01_Parametres!$B$6*IF(F777&gt;0,F777,0))/(01_Parametres!$B$4*(D777&gt;0)+01_Parametres!$B$5*(E777&gt;0)+01_Parametres!$B$6*(F777&gt;0))),IF(01_Parametres!$B$8=0,"",(01_Parametres!$B$4*D777+01_Parametres!$B$5*E777+01_Parametres!$B$6*F777)/01_Parametres!$B$8)))</x:f>
      </x:c>
      <x:c r="H777">
        <x:f>IFERROR(VLOOKUP(C777,02_Referentiels!$A$20:$D$99,3,FALSE),"")</x:f>
      </x:c>
      <x:c r="I777">
        <x:f>IFERROR(VLOOKUP(B777,02_Referentiels!$A$5:$C$16,2,FALSE),"")</x:f>
      </x:c>
      <x:c r="J777">
        <x:f>IF(A777="","",IF(OR(D777="",E777="",F777=""),1,IF(OR(D777&lt;0,D777&gt;3,E777&lt;0,E777&gt;3,F777&lt;0,F777&gt;3),1,0)))</x:f>
      </x:c>
      <x:c r="K777">
        <x:f>IF(A777="","",IF(G777="",1,0))</x:f>
      </x:c>
      <x:c r="L777">
        <x:f>IF(A777="","",IF(COUNTIFS($A$5:$A$2004,A777,$C$5:$C$2004,C777)&gt;1,1,0))</x:f>
      </x:c>
    </x:row>
    <x:row r="778">
      <x:c r="A778" s="8" t="n"/>
      <x:c r="B778" s="8" t="n"/>
      <x:c r="C778" s="8" t="n"/>
      <x:c r="D778" s="8" t="n"/>
      <x:c r="E778" s="8" t="n"/>
      <x:c r="F778" s="8" t="n"/>
      <x:c r="G778" s="7">
        <x:f>IF(A778="","",IF(01_Parametres!$B$11="Oui",IF((01_Parametres!$B$4*(D778&gt;0)+01_Parametres!$B$5*(E778&gt;0)+01_Parametres!$B$6*(F778&gt;0))=0,"",(01_Parametres!$B$4*IF(D778&gt;0,D778,0)+01_Parametres!$B$5*IF(E778&gt;0,E778,0)+01_Parametres!$B$6*IF(F778&gt;0,F778,0))/(01_Parametres!$B$4*(D778&gt;0)+01_Parametres!$B$5*(E778&gt;0)+01_Parametres!$B$6*(F778&gt;0))),IF(01_Parametres!$B$8=0,"",(01_Parametres!$B$4*D778+01_Parametres!$B$5*E778+01_Parametres!$B$6*F778)/01_Parametres!$B$8)))</x:f>
      </x:c>
      <x:c r="H778">
        <x:f>IFERROR(VLOOKUP(C778,02_Referentiels!$A$20:$D$99,3,FALSE),"")</x:f>
      </x:c>
      <x:c r="I778">
        <x:f>IFERROR(VLOOKUP(B778,02_Referentiels!$A$5:$C$16,2,FALSE),"")</x:f>
      </x:c>
      <x:c r="J778">
        <x:f>IF(A778="","",IF(OR(D778="",E778="",F778=""),1,IF(OR(D778&lt;0,D778&gt;3,E778&lt;0,E778&gt;3,F778&lt;0,F778&gt;3),1,0)))</x:f>
      </x:c>
      <x:c r="K778">
        <x:f>IF(A778="","",IF(G778="",1,0))</x:f>
      </x:c>
      <x:c r="L778">
        <x:f>IF(A778="","",IF(COUNTIFS($A$5:$A$2004,A778,$C$5:$C$2004,C778)&gt;1,1,0))</x:f>
      </x:c>
    </x:row>
    <x:row r="779">
      <x:c r="A779" s="8" t="n"/>
      <x:c r="B779" s="8" t="n"/>
      <x:c r="C779" s="8" t="n"/>
      <x:c r="D779" s="8" t="n"/>
      <x:c r="E779" s="8" t="n"/>
      <x:c r="F779" s="8" t="n"/>
      <x:c r="G779" s="7">
        <x:f>IF(A779="","",IF(01_Parametres!$B$11="Oui",IF((01_Parametres!$B$4*(D779&gt;0)+01_Parametres!$B$5*(E779&gt;0)+01_Parametres!$B$6*(F779&gt;0))=0,"",(01_Parametres!$B$4*IF(D779&gt;0,D779,0)+01_Parametres!$B$5*IF(E779&gt;0,E779,0)+01_Parametres!$B$6*IF(F779&gt;0,F779,0))/(01_Parametres!$B$4*(D779&gt;0)+01_Parametres!$B$5*(E779&gt;0)+01_Parametres!$B$6*(F779&gt;0))),IF(01_Parametres!$B$8=0,"",(01_Parametres!$B$4*D779+01_Parametres!$B$5*E779+01_Parametres!$B$6*F779)/01_Parametres!$B$8)))</x:f>
      </x:c>
      <x:c r="H779">
        <x:f>IFERROR(VLOOKUP(C779,02_Referentiels!$A$20:$D$99,3,FALSE),"")</x:f>
      </x:c>
      <x:c r="I779">
        <x:f>IFERROR(VLOOKUP(B779,02_Referentiels!$A$5:$C$16,2,FALSE),"")</x:f>
      </x:c>
      <x:c r="J779">
        <x:f>IF(A779="","",IF(OR(D779="",E779="",F779=""),1,IF(OR(D779&lt;0,D779&gt;3,E779&lt;0,E779&gt;3,F779&lt;0,F779&gt;3),1,0)))</x:f>
      </x:c>
      <x:c r="K779">
        <x:f>IF(A779="","",IF(G779="",1,0))</x:f>
      </x:c>
      <x:c r="L779">
        <x:f>IF(A779="","",IF(COUNTIFS($A$5:$A$2004,A779,$C$5:$C$2004,C779)&gt;1,1,0))</x:f>
      </x:c>
    </x:row>
    <x:row r="780">
      <x:c r="A780" s="8" t="n"/>
      <x:c r="B780" s="8" t="n"/>
      <x:c r="C780" s="8" t="n"/>
      <x:c r="D780" s="8" t="n"/>
      <x:c r="E780" s="8" t="n"/>
      <x:c r="F780" s="8" t="n"/>
      <x:c r="G780" s="7">
        <x:f>IF(A780="","",IF(01_Parametres!$B$11="Oui",IF((01_Parametres!$B$4*(D780&gt;0)+01_Parametres!$B$5*(E780&gt;0)+01_Parametres!$B$6*(F780&gt;0))=0,"",(01_Parametres!$B$4*IF(D780&gt;0,D780,0)+01_Parametres!$B$5*IF(E780&gt;0,E780,0)+01_Parametres!$B$6*IF(F780&gt;0,F780,0))/(01_Parametres!$B$4*(D780&gt;0)+01_Parametres!$B$5*(E780&gt;0)+01_Parametres!$B$6*(F780&gt;0))),IF(01_Parametres!$B$8=0,"",(01_Parametres!$B$4*D780+01_Parametres!$B$5*E780+01_Parametres!$B$6*F780)/01_Parametres!$B$8)))</x:f>
      </x:c>
      <x:c r="H780">
        <x:f>IFERROR(VLOOKUP(C780,02_Referentiels!$A$20:$D$99,3,FALSE),"")</x:f>
      </x:c>
      <x:c r="I780">
        <x:f>IFERROR(VLOOKUP(B780,02_Referentiels!$A$5:$C$16,2,FALSE),"")</x:f>
      </x:c>
      <x:c r="J780">
        <x:f>IF(A780="","",IF(OR(D780="",E780="",F780=""),1,IF(OR(D780&lt;0,D780&gt;3,E780&lt;0,E780&gt;3,F780&lt;0,F780&gt;3),1,0)))</x:f>
      </x:c>
      <x:c r="K780">
        <x:f>IF(A780="","",IF(G780="",1,0))</x:f>
      </x:c>
      <x:c r="L780">
        <x:f>IF(A780="","",IF(COUNTIFS($A$5:$A$2004,A780,$C$5:$C$2004,C780)&gt;1,1,0))</x:f>
      </x:c>
    </x:row>
    <x:row r="781">
      <x:c r="A781" s="8" t="n"/>
      <x:c r="B781" s="8" t="n"/>
      <x:c r="C781" s="8" t="n"/>
      <x:c r="D781" s="8" t="n"/>
      <x:c r="E781" s="8" t="n"/>
      <x:c r="F781" s="8" t="n"/>
      <x:c r="G781" s="7">
        <x:f>IF(A781="","",IF(01_Parametres!$B$11="Oui",IF((01_Parametres!$B$4*(D781&gt;0)+01_Parametres!$B$5*(E781&gt;0)+01_Parametres!$B$6*(F781&gt;0))=0,"",(01_Parametres!$B$4*IF(D781&gt;0,D781,0)+01_Parametres!$B$5*IF(E781&gt;0,E781,0)+01_Parametres!$B$6*IF(F781&gt;0,F781,0))/(01_Parametres!$B$4*(D781&gt;0)+01_Parametres!$B$5*(E781&gt;0)+01_Parametres!$B$6*(F781&gt;0))),IF(01_Parametres!$B$8=0,"",(01_Parametres!$B$4*D781+01_Parametres!$B$5*E781+01_Parametres!$B$6*F781)/01_Parametres!$B$8)))</x:f>
      </x:c>
      <x:c r="H781">
        <x:f>IFERROR(VLOOKUP(C781,02_Referentiels!$A$20:$D$99,3,FALSE),"")</x:f>
      </x:c>
      <x:c r="I781">
        <x:f>IFERROR(VLOOKUP(B781,02_Referentiels!$A$5:$C$16,2,FALSE),"")</x:f>
      </x:c>
      <x:c r="J781">
        <x:f>IF(A781="","",IF(OR(D781="",E781="",F781=""),1,IF(OR(D781&lt;0,D781&gt;3,E781&lt;0,E781&gt;3,F781&lt;0,F781&gt;3),1,0)))</x:f>
      </x:c>
      <x:c r="K781">
        <x:f>IF(A781="","",IF(G781="",1,0))</x:f>
      </x:c>
      <x:c r="L781">
        <x:f>IF(A781="","",IF(COUNTIFS($A$5:$A$2004,A781,$C$5:$C$2004,C781)&gt;1,1,0))</x:f>
      </x:c>
    </x:row>
    <x:row r="782">
      <x:c r="A782" s="8" t="n"/>
      <x:c r="B782" s="8" t="n"/>
      <x:c r="C782" s="8" t="n"/>
      <x:c r="D782" s="8" t="n"/>
      <x:c r="E782" s="8" t="n"/>
      <x:c r="F782" s="8" t="n"/>
      <x:c r="G782" s="7">
        <x:f>IF(A782="","",IF(01_Parametres!$B$11="Oui",IF((01_Parametres!$B$4*(D782&gt;0)+01_Parametres!$B$5*(E782&gt;0)+01_Parametres!$B$6*(F782&gt;0))=0,"",(01_Parametres!$B$4*IF(D782&gt;0,D782,0)+01_Parametres!$B$5*IF(E782&gt;0,E782,0)+01_Parametres!$B$6*IF(F782&gt;0,F782,0))/(01_Parametres!$B$4*(D782&gt;0)+01_Parametres!$B$5*(E782&gt;0)+01_Parametres!$B$6*(F782&gt;0))),IF(01_Parametres!$B$8=0,"",(01_Parametres!$B$4*D782+01_Parametres!$B$5*E782+01_Parametres!$B$6*F782)/01_Parametres!$B$8)))</x:f>
      </x:c>
      <x:c r="H782">
        <x:f>IFERROR(VLOOKUP(C782,02_Referentiels!$A$20:$D$99,3,FALSE),"")</x:f>
      </x:c>
      <x:c r="I782">
        <x:f>IFERROR(VLOOKUP(B782,02_Referentiels!$A$5:$C$16,2,FALSE),"")</x:f>
      </x:c>
      <x:c r="J782">
        <x:f>IF(A782="","",IF(OR(D782="",E782="",F782=""),1,IF(OR(D782&lt;0,D782&gt;3,E782&lt;0,E782&gt;3,F782&lt;0,F782&gt;3),1,0)))</x:f>
      </x:c>
      <x:c r="K782">
        <x:f>IF(A782="","",IF(G782="",1,0))</x:f>
      </x:c>
      <x:c r="L782">
        <x:f>IF(A782="","",IF(COUNTIFS($A$5:$A$2004,A782,$C$5:$C$2004,C782)&gt;1,1,0))</x:f>
      </x:c>
    </x:row>
    <x:row r="783">
      <x:c r="A783" s="8" t="n"/>
      <x:c r="B783" s="8" t="n"/>
      <x:c r="C783" s="8" t="n"/>
      <x:c r="D783" s="8" t="n"/>
      <x:c r="E783" s="8" t="n"/>
      <x:c r="F783" s="8" t="n"/>
      <x:c r="G783" s="7">
        <x:f>IF(A783="","",IF(01_Parametres!$B$11="Oui",IF((01_Parametres!$B$4*(D783&gt;0)+01_Parametres!$B$5*(E783&gt;0)+01_Parametres!$B$6*(F783&gt;0))=0,"",(01_Parametres!$B$4*IF(D783&gt;0,D783,0)+01_Parametres!$B$5*IF(E783&gt;0,E783,0)+01_Parametres!$B$6*IF(F783&gt;0,F783,0))/(01_Parametres!$B$4*(D783&gt;0)+01_Parametres!$B$5*(E783&gt;0)+01_Parametres!$B$6*(F783&gt;0))),IF(01_Parametres!$B$8=0,"",(01_Parametres!$B$4*D783+01_Parametres!$B$5*E783+01_Parametres!$B$6*F783)/01_Parametres!$B$8)))</x:f>
      </x:c>
      <x:c r="H783">
        <x:f>IFERROR(VLOOKUP(C783,02_Referentiels!$A$20:$D$99,3,FALSE),"")</x:f>
      </x:c>
      <x:c r="I783">
        <x:f>IFERROR(VLOOKUP(B783,02_Referentiels!$A$5:$C$16,2,FALSE),"")</x:f>
      </x:c>
      <x:c r="J783">
        <x:f>IF(A783="","",IF(OR(D783="",E783="",F783=""),1,IF(OR(D783&lt;0,D783&gt;3,E783&lt;0,E783&gt;3,F783&lt;0,F783&gt;3),1,0)))</x:f>
      </x:c>
      <x:c r="K783">
        <x:f>IF(A783="","",IF(G783="",1,0))</x:f>
      </x:c>
      <x:c r="L783">
        <x:f>IF(A783="","",IF(COUNTIFS($A$5:$A$2004,A783,$C$5:$C$2004,C783)&gt;1,1,0))</x:f>
      </x:c>
    </x:row>
    <x:row r="784">
      <x:c r="A784" s="8" t="n"/>
      <x:c r="B784" s="8" t="n"/>
      <x:c r="C784" s="8" t="n"/>
      <x:c r="D784" s="8" t="n"/>
      <x:c r="E784" s="8" t="n"/>
      <x:c r="F784" s="8" t="n"/>
      <x:c r="G784" s="7">
        <x:f>IF(A784="","",IF(01_Parametres!$B$11="Oui",IF((01_Parametres!$B$4*(D784&gt;0)+01_Parametres!$B$5*(E784&gt;0)+01_Parametres!$B$6*(F784&gt;0))=0,"",(01_Parametres!$B$4*IF(D784&gt;0,D784,0)+01_Parametres!$B$5*IF(E784&gt;0,E784,0)+01_Parametres!$B$6*IF(F784&gt;0,F784,0))/(01_Parametres!$B$4*(D784&gt;0)+01_Parametres!$B$5*(E784&gt;0)+01_Parametres!$B$6*(F784&gt;0))),IF(01_Parametres!$B$8=0,"",(01_Parametres!$B$4*D784+01_Parametres!$B$5*E784+01_Parametres!$B$6*F784)/01_Parametres!$B$8)))</x:f>
      </x:c>
      <x:c r="H784">
        <x:f>IFERROR(VLOOKUP(C784,02_Referentiels!$A$20:$D$99,3,FALSE),"")</x:f>
      </x:c>
      <x:c r="I784">
        <x:f>IFERROR(VLOOKUP(B784,02_Referentiels!$A$5:$C$16,2,FALSE),"")</x:f>
      </x:c>
      <x:c r="J784">
        <x:f>IF(A784="","",IF(OR(D784="",E784="",F784=""),1,IF(OR(D784&lt;0,D784&gt;3,E784&lt;0,E784&gt;3,F784&lt;0,F784&gt;3),1,0)))</x:f>
      </x:c>
      <x:c r="K784">
        <x:f>IF(A784="","",IF(G784="",1,0))</x:f>
      </x:c>
      <x:c r="L784">
        <x:f>IF(A784="","",IF(COUNTIFS($A$5:$A$2004,A784,$C$5:$C$2004,C784)&gt;1,1,0))</x:f>
      </x:c>
    </x:row>
    <x:row r="785">
      <x:c r="A785" s="8" t="n"/>
      <x:c r="B785" s="8" t="n"/>
      <x:c r="C785" s="8" t="n"/>
      <x:c r="D785" s="8" t="n"/>
      <x:c r="E785" s="8" t="n"/>
      <x:c r="F785" s="8" t="n"/>
      <x:c r="G785" s="7">
        <x:f>IF(A785="","",IF(01_Parametres!$B$11="Oui",IF((01_Parametres!$B$4*(D785&gt;0)+01_Parametres!$B$5*(E785&gt;0)+01_Parametres!$B$6*(F785&gt;0))=0,"",(01_Parametres!$B$4*IF(D785&gt;0,D785,0)+01_Parametres!$B$5*IF(E785&gt;0,E785,0)+01_Parametres!$B$6*IF(F785&gt;0,F785,0))/(01_Parametres!$B$4*(D785&gt;0)+01_Parametres!$B$5*(E785&gt;0)+01_Parametres!$B$6*(F785&gt;0))),IF(01_Parametres!$B$8=0,"",(01_Parametres!$B$4*D785+01_Parametres!$B$5*E785+01_Parametres!$B$6*F785)/01_Parametres!$B$8)))</x:f>
      </x:c>
      <x:c r="H785">
        <x:f>IFERROR(VLOOKUP(C785,02_Referentiels!$A$20:$D$99,3,FALSE),"")</x:f>
      </x:c>
      <x:c r="I785">
        <x:f>IFERROR(VLOOKUP(B785,02_Referentiels!$A$5:$C$16,2,FALSE),"")</x:f>
      </x:c>
      <x:c r="J785">
        <x:f>IF(A785="","",IF(OR(D785="",E785="",F785=""),1,IF(OR(D785&lt;0,D785&gt;3,E785&lt;0,E785&gt;3,F785&lt;0,F785&gt;3),1,0)))</x:f>
      </x:c>
      <x:c r="K785">
        <x:f>IF(A785="","",IF(G785="",1,0))</x:f>
      </x:c>
      <x:c r="L785">
        <x:f>IF(A785="","",IF(COUNTIFS($A$5:$A$2004,A785,$C$5:$C$2004,C785)&gt;1,1,0))</x:f>
      </x:c>
    </x:row>
    <x:row r="786">
      <x:c r="A786" s="8" t="n"/>
      <x:c r="B786" s="8" t="n"/>
      <x:c r="C786" s="8" t="n"/>
      <x:c r="D786" s="8" t="n"/>
      <x:c r="E786" s="8" t="n"/>
      <x:c r="F786" s="8" t="n"/>
      <x:c r="G786" s="7">
        <x:f>IF(A786="","",IF(01_Parametres!$B$11="Oui",IF((01_Parametres!$B$4*(D786&gt;0)+01_Parametres!$B$5*(E786&gt;0)+01_Parametres!$B$6*(F786&gt;0))=0,"",(01_Parametres!$B$4*IF(D786&gt;0,D786,0)+01_Parametres!$B$5*IF(E786&gt;0,E786,0)+01_Parametres!$B$6*IF(F786&gt;0,F786,0))/(01_Parametres!$B$4*(D786&gt;0)+01_Parametres!$B$5*(E786&gt;0)+01_Parametres!$B$6*(F786&gt;0))),IF(01_Parametres!$B$8=0,"",(01_Parametres!$B$4*D786+01_Parametres!$B$5*E786+01_Parametres!$B$6*F786)/01_Parametres!$B$8)))</x:f>
      </x:c>
      <x:c r="H786">
        <x:f>IFERROR(VLOOKUP(C786,02_Referentiels!$A$20:$D$99,3,FALSE),"")</x:f>
      </x:c>
      <x:c r="I786">
        <x:f>IFERROR(VLOOKUP(B786,02_Referentiels!$A$5:$C$16,2,FALSE),"")</x:f>
      </x:c>
      <x:c r="J786">
        <x:f>IF(A786="","",IF(OR(D786="",E786="",F786=""),1,IF(OR(D786&lt;0,D786&gt;3,E786&lt;0,E786&gt;3,F786&lt;0,F786&gt;3),1,0)))</x:f>
      </x:c>
      <x:c r="K786">
        <x:f>IF(A786="","",IF(G786="",1,0))</x:f>
      </x:c>
      <x:c r="L786">
        <x:f>IF(A786="","",IF(COUNTIFS($A$5:$A$2004,A786,$C$5:$C$2004,C786)&gt;1,1,0))</x:f>
      </x:c>
    </x:row>
    <x:row r="787">
      <x:c r="A787" s="8" t="n"/>
      <x:c r="B787" s="8" t="n"/>
      <x:c r="C787" s="8" t="n"/>
      <x:c r="D787" s="8" t="n"/>
      <x:c r="E787" s="8" t="n"/>
      <x:c r="F787" s="8" t="n"/>
      <x:c r="G787" s="7">
        <x:f>IF(A787="","",IF(01_Parametres!$B$11="Oui",IF((01_Parametres!$B$4*(D787&gt;0)+01_Parametres!$B$5*(E787&gt;0)+01_Parametres!$B$6*(F787&gt;0))=0,"",(01_Parametres!$B$4*IF(D787&gt;0,D787,0)+01_Parametres!$B$5*IF(E787&gt;0,E787,0)+01_Parametres!$B$6*IF(F787&gt;0,F787,0))/(01_Parametres!$B$4*(D787&gt;0)+01_Parametres!$B$5*(E787&gt;0)+01_Parametres!$B$6*(F787&gt;0))),IF(01_Parametres!$B$8=0,"",(01_Parametres!$B$4*D787+01_Parametres!$B$5*E787+01_Parametres!$B$6*F787)/01_Parametres!$B$8)))</x:f>
      </x:c>
      <x:c r="H787">
        <x:f>IFERROR(VLOOKUP(C787,02_Referentiels!$A$20:$D$99,3,FALSE),"")</x:f>
      </x:c>
      <x:c r="I787">
        <x:f>IFERROR(VLOOKUP(B787,02_Referentiels!$A$5:$C$16,2,FALSE),"")</x:f>
      </x:c>
      <x:c r="J787">
        <x:f>IF(A787="","",IF(OR(D787="",E787="",F787=""),1,IF(OR(D787&lt;0,D787&gt;3,E787&lt;0,E787&gt;3,F787&lt;0,F787&gt;3),1,0)))</x:f>
      </x:c>
      <x:c r="K787">
        <x:f>IF(A787="","",IF(G787="",1,0))</x:f>
      </x:c>
      <x:c r="L787">
        <x:f>IF(A787="","",IF(COUNTIFS($A$5:$A$2004,A787,$C$5:$C$2004,C787)&gt;1,1,0))</x:f>
      </x:c>
    </x:row>
    <x:row r="788">
      <x:c r="A788" s="8" t="n"/>
      <x:c r="B788" s="8" t="n"/>
      <x:c r="C788" s="8" t="n"/>
      <x:c r="D788" s="8" t="n"/>
      <x:c r="E788" s="8" t="n"/>
      <x:c r="F788" s="8" t="n"/>
      <x:c r="G788" s="7">
        <x:f>IF(A788="","",IF(01_Parametres!$B$11="Oui",IF((01_Parametres!$B$4*(D788&gt;0)+01_Parametres!$B$5*(E788&gt;0)+01_Parametres!$B$6*(F788&gt;0))=0,"",(01_Parametres!$B$4*IF(D788&gt;0,D788,0)+01_Parametres!$B$5*IF(E788&gt;0,E788,0)+01_Parametres!$B$6*IF(F788&gt;0,F788,0))/(01_Parametres!$B$4*(D788&gt;0)+01_Parametres!$B$5*(E788&gt;0)+01_Parametres!$B$6*(F788&gt;0))),IF(01_Parametres!$B$8=0,"",(01_Parametres!$B$4*D788+01_Parametres!$B$5*E788+01_Parametres!$B$6*F788)/01_Parametres!$B$8)))</x:f>
      </x:c>
      <x:c r="H788">
        <x:f>IFERROR(VLOOKUP(C788,02_Referentiels!$A$20:$D$99,3,FALSE),"")</x:f>
      </x:c>
      <x:c r="I788">
        <x:f>IFERROR(VLOOKUP(B788,02_Referentiels!$A$5:$C$16,2,FALSE),"")</x:f>
      </x:c>
      <x:c r="J788">
        <x:f>IF(A788="","",IF(OR(D788="",E788="",F788=""),1,IF(OR(D788&lt;0,D788&gt;3,E788&lt;0,E788&gt;3,F788&lt;0,F788&gt;3),1,0)))</x:f>
      </x:c>
      <x:c r="K788">
        <x:f>IF(A788="","",IF(G788="",1,0))</x:f>
      </x:c>
      <x:c r="L788">
        <x:f>IF(A788="","",IF(COUNTIFS($A$5:$A$2004,A788,$C$5:$C$2004,C788)&gt;1,1,0))</x:f>
      </x:c>
    </x:row>
    <x:row r="789">
      <x:c r="A789" s="8" t="n"/>
      <x:c r="B789" s="8" t="n"/>
      <x:c r="C789" s="8" t="n"/>
      <x:c r="D789" s="8" t="n"/>
      <x:c r="E789" s="8" t="n"/>
      <x:c r="F789" s="8" t="n"/>
      <x:c r="G789" s="7">
        <x:f>IF(A789="","",IF(01_Parametres!$B$11="Oui",IF((01_Parametres!$B$4*(D789&gt;0)+01_Parametres!$B$5*(E789&gt;0)+01_Parametres!$B$6*(F789&gt;0))=0,"",(01_Parametres!$B$4*IF(D789&gt;0,D789,0)+01_Parametres!$B$5*IF(E789&gt;0,E789,0)+01_Parametres!$B$6*IF(F789&gt;0,F789,0))/(01_Parametres!$B$4*(D789&gt;0)+01_Parametres!$B$5*(E789&gt;0)+01_Parametres!$B$6*(F789&gt;0))),IF(01_Parametres!$B$8=0,"",(01_Parametres!$B$4*D789+01_Parametres!$B$5*E789+01_Parametres!$B$6*F789)/01_Parametres!$B$8)))</x:f>
      </x:c>
      <x:c r="H789">
        <x:f>IFERROR(VLOOKUP(C789,02_Referentiels!$A$20:$D$99,3,FALSE),"")</x:f>
      </x:c>
      <x:c r="I789">
        <x:f>IFERROR(VLOOKUP(B789,02_Referentiels!$A$5:$C$16,2,FALSE),"")</x:f>
      </x:c>
      <x:c r="J789">
        <x:f>IF(A789="","",IF(OR(D789="",E789="",F789=""),1,IF(OR(D789&lt;0,D789&gt;3,E789&lt;0,E789&gt;3,F789&lt;0,F789&gt;3),1,0)))</x:f>
      </x:c>
      <x:c r="K789">
        <x:f>IF(A789="","",IF(G789="",1,0))</x:f>
      </x:c>
      <x:c r="L789">
        <x:f>IF(A789="","",IF(COUNTIFS($A$5:$A$2004,A789,$C$5:$C$2004,C789)&gt;1,1,0))</x:f>
      </x:c>
    </x:row>
    <x:row r="790">
      <x:c r="A790" s="8" t="n"/>
      <x:c r="B790" s="8" t="n"/>
      <x:c r="C790" s="8" t="n"/>
      <x:c r="D790" s="8" t="n"/>
      <x:c r="E790" s="8" t="n"/>
      <x:c r="F790" s="8" t="n"/>
      <x:c r="G790" s="7">
        <x:f>IF(A790="","",IF(01_Parametres!$B$11="Oui",IF((01_Parametres!$B$4*(D790&gt;0)+01_Parametres!$B$5*(E790&gt;0)+01_Parametres!$B$6*(F790&gt;0))=0,"",(01_Parametres!$B$4*IF(D790&gt;0,D790,0)+01_Parametres!$B$5*IF(E790&gt;0,E790,0)+01_Parametres!$B$6*IF(F790&gt;0,F790,0))/(01_Parametres!$B$4*(D790&gt;0)+01_Parametres!$B$5*(E790&gt;0)+01_Parametres!$B$6*(F790&gt;0))),IF(01_Parametres!$B$8=0,"",(01_Parametres!$B$4*D790+01_Parametres!$B$5*E790+01_Parametres!$B$6*F790)/01_Parametres!$B$8)))</x:f>
      </x:c>
      <x:c r="H790">
        <x:f>IFERROR(VLOOKUP(C790,02_Referentiels!$A$20:$D$99,3,FALSE),"")</x:f>
      </x:c>
      <x:c r="I790">
        <x:f>IFERROR(VLOOKUP(B790,02_Referentiels!$A$5:$C$16,2,FALSE),"")</x:f>
      </x:c>
      <x:c r="J790">
        <x:f>IF(A790="","",IF(OR(D790="",E790="",F790=""),1,IF(OR(D790&lt;0,D790&gt;3,E790&lt;0,E790&gt;3,F790&lt;0,F790&gt;3),1,0)))</x:f>
      </x:c>
      <x:c r="K790">
        <x:f>IF(A790="","",IF(G790="",1,0))</x:f>
      </x:c>
      <x:c r="L790">
        <x:f>IF(A790="","",IF(COUNTIFS($A$5:$A$2004,A790,$C$5:$C$2004,C790)&gt;1,1,0))</x:f>
      </x:c>
    </x:row>
    <x:row r="791">
      <x:c r="A791" s="8" t="n"/>
      <x:c r="B791" s="8" t="n"/>
      <x:c r="C791" s="8" t="n"/>
      <x:c r="D791" s="8" t="n"/>
      <x:c r="E791" s="8" t="n"/>
      <x:c r="F791" s="8" t="n"/>
      <x:c r="G791" s="7">
        <x:f>IF(A791="","",IF(01_Parametres!$B$11="Oui",IF((01_Parametres!$B$4*(D791&gt;0)+01_Parametres!$B$5*(E791&gt;0)+01_Parametres!$B$6*(F791&gt;0))=0,"",(01_Parametres!$B$4*IF(D791&gt;0,D791,0)+01_Parametres!$B$5*IF(E791&gt;0,E791,0)+01_Parametres!$B$6*IF(F791&gt;0,F791,0))/(01_Parametres!$B$4*(D791&gt;0)+01_Parametres!$B$5*(E791&gt;0)+01_Parametres!$B$6*(F791&gt;0))),IF(01_Parametres!$B$8=0,"",(01_Parametres!$B$4*D791+01_Parametres!$B$5*E791+01_Parametres!$B$6*F791)/01_Parametres!$B$8)))</x:f>
      </x:c>
      <x:c r="H791">
        <x:f>IFERROR(VLOOKUP(C791,02_Referentiels!$A$20:$D$99,3,FALSE),"")</x:f>
      </x:c>
      <x:c r="I791">
        <x:f>IFERROR(VLOOKUP(B791,02_Referentiels!$A$5:$C$16,2,FALSE),"")</x:f>
      </x:c>
      <x:c r="J791">
        <x:f>IF(A791="","",IF(OR(D791="",E791="",F791=""),1,IF(OR(D791&lt;0,D791&gt;3,E791&lt;0,E791&gt;3,F791&lt;0,F791&gt;3),1,0)))</x:f>
      </x:c>
      <x:c r="K791">
        <x:f>IF(A791="","",IF(G791="",1,0))</x:f>
      </x:c>
      <x:c r="L791">
        <x:f>IF(A791="","",IF(COUNTIFS($A$5:$A$2004,A791,$C$5:$C$2004,C791)&gt;1,1,0))</x:f>
      </x:c>
    </x:row>
    <x:row r="792">
      <x:c r="A792" s="8" t="n"/>
      <x:c r="B792" s="8" t="n"/>
      <x:c r="C792" s="8" t="n"/>
      <x:c r="D792" s="8" t="n"/>
      <x:c r="E792" s="8" t="n"/>
      <x:c r="F792" s="8" t="n"/>
      <x:c r="G792" s="7">
        <x:f>IF(A792="","",IF(01_Parametres!$B$11="Oui",IF((01_Parametres!$B$4*(D792&gt;0)+01_Parametres!$B$5*(E792&gt;0)+01_Parametres!$B$6*(F792&gt;0))=0,"",(01_Parametres!$B$4*IF(D792&gt;0,D792,0)+01_Parametres!$B$5*IF(E792&gt;0,E792,0)+01_Parametres!$B$6*IF(F792&gt;0,F792,0))/(01_Parametres!$B$4*(D792&gt;0)+01_Parametres!$B$5*(E792&gt;0)+01_Parametres!$B$6*(F792&gt;0))),IF(01_Parametres!$B$8=0,"",(01_Parametres!$B$4*D792+01_Parametres!$B$5*E792+01_Parametres!$B$6*F792)/01_Parametres!$B$8)))</x:f>
      </x:c>
      <x:c r="H792">
        <x:f>IFERROR(VLOOKUP(C792,02_Referentiels!$A$20:$D$99,3,FALSE),"")</x:f>
      </x:c>
      <x:c r="I792">
        <x:f>IFERROR(VLOOKUP(B792,02_Referentiels!$A$5:$C$16,2,FALSE),"")</x:f>
      </x:c>
      <x:c r="J792">
        <x:f>IF(A792="","",IF(OR(D792="",E792="",F792=""),1,IF(OR(D792&lt;0,D792&gt;3,E792&lt;0,E792&gt;3,F792&lt;0,F792&gt;3),1,0)))</x:f>
      </x:c>
      <x:c r="K792">
        <x:f>IF(A792="","",IF(G792="",1,0))</x:f>
      </x:c>
      <x:c r="L792">
        <x:f>IF(A792="","",IF(COUNTIFS($A$5:$A$2004,A792,$C$5:$C$2004,C792)&gt;1,1,0))</x:f>
      </x:c>
    </x:row>
    <x:row r="793">
      <x:c r="A793" s="8" t="n"/>
      <x:c r="B793" s="8" t="n"/>
      <x:c r="C793" s="8" t="n"/>
      <x:c r="D793" s="8" t="n"/>
      <x:c r="E793" s="8" t="n"/>
      <x:c r="F793" s="8" t="n"/>
      <x:c r="G793" s="7">
        <x:f>IF(A793="","",IF(01_Parametres!$B$11="Oui",IF((01_Parametres!$B$4*(D793&gt;0)+01_Parametres!$B$5*(E793&gt;0)+01_Parametres!$B$6*(F793&gt;0))=0,"",(01_Parametres!$B$4*IF(D793&gt;0,D793,0)+01_Parametres!$B$5*IF(E793&gt;0,E793,0)+01_Parametres!$B$6*IF(F793&gt;0,F793,0))/(01_Parametres!$B$4*(D793&gt;0)+01_Parametres!$B$5*(E793&gt;0)+01_Parametres!$B$6*(F793&gt;0))),IF(01_Parametres!$B$8=0,"",(01_Parametres!$B$4*D793+01_Parametres!$B$5*E793+01_Parametres!$B$6*F793)/01_Parametres!$B$8)))</x:f>
      </x:c>
      <x:c r="H793">
        <x:f>IFERROR(VLOOKUP(C793,02_Referentiels!$A$20:$D$99,3,FALSE),"")</x:f>
      </x:c>
      <x:c r="I793">
        <x:f>IFERROR(VLOOKUP(B793,02_Referentiels!$A$5:$C$16,2,FALSE),"")</x:f>
      </x:c>
      <x:c r="J793">
        <x:f>IF(A793="","",IF(OR(D793="",E793="",F793=""),1,IF(OR(D793&lt;0,D793&gt;3,E793&lt;0,E793&gt;3,F793&lt;0,F793&gt;3),1,0)))</x:f>
      </x:c>
      <x:c r="K793">
        <x:f>IF(A793="","",IF(G793="",1,0))</x:f>
      </x:c>
      <x:c r="L793">
        <x:f>IF(A793="","",IF(COUNTIFS($A$5:$A$2004,A793,$C$5:$C$2004,C793)&gt;1,1,0))</x:f>
      </x:c>
    </x:row>
    <x:row r="794">
      <x:c r="A794" s="8" t="n"/>
      <x:c r="B794" s="8" t="n"/>
      <x:c r="C794" s="8" t="n"/>
      <x:c r="D794" s="8" t="n"/>
      <x:c r="E794" s="8" t="n"/>
      <x:c r="F794" s="8" t="n"/>
      <x:c r="G794" s="7">
        <x:f>IF(A794="","",IF(01_Parametres!$B$11="Oui",IF((01_Parametres!$B$4*(D794&gt;0)+01_Parametres!$B$5*(E794&gt;0)+01_Parametres!$B$6*(F794&gt;0))=0,"",(01_Parametres!$B$4*IF(D794&gt;0,D794,0)+01_Parametres!$B$5*IF(E794&gt;0,E794,0)+01_Parametres!$B$6*IF(F794&gt;0,F794,0))/(01_Parametres!$B$4*(D794&gt;0)+01_Parametres!$B$5*(E794&gt;0)+01_Parametres!$B$6*(F794&gt;0))),IF(01_Parametres!$B$8=0,"",(01_Parametres!$B$4*D794+01_Parametres!$B$5*E794+01_Parametres!$B$6*F794)/01_Parametres!$B$8)))</x:f>
      </x:c>
      <x:c r="H794">
        <x:f>IFERROR(VLOOKUP(C794,02_Referentiels!$A$20:$D$99,3,FALSE),"")</x:f>
      </x:c>
      <x:c r="I794">
        <x:f>IFERROR(VLOOKUP(B794,02_Referentiels!$A$5:$C$16,2,FALSE),"")</x:f>
      </x:c>
      <x:c r="J794">
        <x:f>IF(A794="","",IF(OR(D794="",E794="",F794=""),1,IF(OR(D794&lt;0,D794&gt;3,E794&lt;0,E794&gt;3,F794&lt;0,F794&gt;3),1,0)))</x:f>
      </x:c>
      <x:c r="K794">
        <x:f>IF(A794="","",IF(G794="",1,0))</x:f>
      </x:c>
      <x:c r="L794">
        <x:f>IF(A794="","",IF(COUNTIFS($A$5:$A$2004,A794,$C$5:$C$2004,C794)&gt;1,1,0))</x:f>
      </x:c>
    </x:row>
    <x:row r="795">
      <x:c r="A795" s="8" t="n"/>
      <x:c r="B795" s="8" t="n"/>
      <x:c r="C795" s="8" t="n"/>
      <x:c r="D795" s="8" t="n"/>
      <x:c r="E795" s="8" t="n"/>
      <x:c r="F795" s="8" t="n"/>
      <x:c r="G795" s="7">
        <x:f>IF(A795="","",IF(01_Parametres!$B$11="Oui",IF((01_Parametres!$B$4*(D795&gt;0)+01_Parametres!$B$5*(E795&gt;0)+01_Parametres!$B$6*(F795&gt;0))=0,"",(01_Parametres!$B$4*IF(D795&gt;0,D795,0)+01_Parametres!$B$5*IF(E795&gt;0,E795,0)+01_Parametres!$B$6*IF(F795&gt;0,F795,0))/(01_Parametres!$B$4*(D795&gt;0)+01_Parametres!$B$5*(E795&gt;0)+01_Parametres!$B$6*(F795&gt;0))),IF(01_Parametres!$B$8=0,"",(01_Parametres!$B$4*D795+01_Parametres!$B$5*E795+01_Parametres!$B$6*F795)/01_Parametres!$B$8)))</x:f>
      </x:c>
      <x:c r="H795">
        <x:f>IFERROR(VLOOKUP(C795,02_Referentiels!$A$20:$D$99,3,FALSE),"")</x:f>
      </x:c>
      <x:c r="I795">
        <x:f>IFERROR(VLOOKUP(B795,02_Referentiels!$A$5:$C$16,2,FALSE),"")</x:f>
      </x:c>
      <x:c r="J795">
        <x:f>IF(A795="","",IF(OR(D795="",E795="",F795=""),1,IF(OR(D795&lt;0,D795&gt;3,E795&lt;0,E795&gt;3,F795&lt;0,F795&gt;3),1,0)))</x:f>
      </x:c>
      <x:c r="K795">
        <x:f>IF(A795="","",IF(G795="",1,0))</x:f>
      </x:c>
      <x:c r="L795">
        <x:f>IF(A795="","",IF(COUNTIFS($A$5:$A$2004,A795,$C$5:$C$2004,C795)&gt;1,1,0))</x:f>
      </x:c>
    </x:row>
    <x:row r="796">
      <x:c r="A796" s="8" t="n"/>
      <x:c r="B796" s="8" t="n"/>
      <x:c r="C796" s="8" t="n"/>
      <x:c r="D796" s="8" t="n"/>
      <x:c r="E796" s="8" t="n"/>
      <x:c r="F796" s="8" t="n"/>
      <x:c r="G796" s="7">
        <x:f>IF(A796="","",IF(01_Parametres!$B$11="Oui",IF((01_Parametres!$B$4*(D796&gt;0)+01_Parametres!$B$5*(E796&gt;0)+01_Parametres!$B$6*(F796&gt;0))=0,"",(01_Parametres!$B$4*IF(D796&gt;0,D796,0)+01_Parametres!$B$5*IF(E796&gt;0,E796,0)+01_Parametres!$B$6*IF(F796&gt;0,F796,0))/(01_Parametres!$B$4*(D796&gt;0)+01_Parametres!$B$5*(E796&gt;0)+01_Parametres!$B$6*(F796&gt;0))),IF(01_Parametres!$B$8=0,"",(01_Parametres!$B$4*D796+01_Parametres!$B$5*E796+01_Parametres!$B$6*F796)/01_Parametres!$B$8)))</x:f>
      </x:c>
      <x:c r="H796">
        <x:f>IFERROR(VLOOKUP(C796,02_Referentiels!$A$20:$D$99,3,FALSE),"")</x:f>
      </x:c>
      <x:c r="I796">
        <x:f>IFERROR(VLOOKUP(B796,02_Referentiels!$A$5:$C$16,2,FALSE),"")</x:f>
      </x:c>
      <x:c r="J796">
        <x:f>IF(A796="","",IF(OR(D796="",E796="",F796=""),1,IF(OR(D796&lt;0,D796&gt;3,E796&lt;0,E796&gt;3,F796&lt;0,F796&gt;3),1,0)))</x:f>
      </x:c>
      <x:c r="K796">
        <x:f>IF(A796="","",IF(G796="",1,0))</x:f>
      </x:c>
      <x:c r="L796">
        <x:f>IF(A796="","",IF(COUNTIFS($A$5:$A$2004,A796,$C$5:$C$2004,C796)&gt;1,1,0))</x:f>
      </x:c>
    </x:row>
    <x:row r="797">
      <x:c r="A797" s="8" t="n"/>
      <x:c r="B797" s="8" t="n"/>
      <x:c r="C797" s="8" t="n"/>
      <x:c r="D797" s="8" t="n"/>
      <x:c r="E797" s="8" t="n"/>
      <x:c r="F797" s="8" t="n"/>
      <x:c r="G797" s="7">
        <x:f>IF(A797="","",IF(01_Parametres!$B$11="Oui",IF((01_Parametres!$B$4*(D797&gt;0)+01_Parametres!$B$5*(E797&gt;0)+01_Parametres!$B$6*(F797&gt;0))=0,"",(01_Parametres!$B$4*IF(D797&gt;0,D797,0)+01_Parametres!$B$5*IF(E797&gt;0,E797,0)+01_Parametres!$B$6*IF(F797&gt;0,F797,0))/(01_Parametres!$B$4*(D797&gt;0)+01_Parametres!$B$5*(E797&gt;0)+01_Parametres!$B$6*(F797&gt;0))),IF(01_Parametres!$B$8=0,"",(01_Parametres!$B$4*D797+01_Parametres!$B$5*E797+01_Parametres!$B$6*F797)/01_Parametres!$B$8)))</x:f>
      </x:c>
      <x:c r="H797">
        <x:f>IFERROR(VLOOKUP(C797,02_Referentiels!$A$20:$D$99,3,FALSE),"")</x:f>
      </x:c>
      <x:c r="I797">
        <x:f>IFERROR(VLOOKUP(B797,02_Referentiels!$A$5:$C$16,2,FALSE),"")</x:f>
      </x:c>
      <x:c r="J797">
        <x:f>IF(A797="","",IF(OR(D797="",E797="",F797=""),1,IF(OR(D797&lt;0,D797&gt;3,E797&lt;0,E797&gt;3,F797&lt;0,F797&gt;3),1,0)))</x:f>
      </x:c>
      <x:c r="K797">
        <x:f>IF(A797="","",IF(G797="",1,0))</x:f>
      </x:c>
      <x:c r="L797">
        <x:f>IF(A797="","",IF(COUNTIFS($A$5:$A$2004,A797,$C$5:$C$2004,C797)&gt;1,1,0))</x:f>
      </x:c>
    </x:row>
    <x:row r="798">
      <x:c r="A798" s="8" t="n"/>
      <x:c r="B798" s="8" t="n"/>
      <x:c r="C798" s="8" t="n"/>
      <x:c r="D798" s="8" t="n"/>
      <x:c r="E798" s="8" t="n"/>
      <x:c r="F798" s="8" t="n"/>
      <x:c r="G798" s="7">
        <x:f>IF(A798="","",IF(01_Parametres!$B$11="Oui",IF((01_Parametres!$B$4*(D798&gt;0)+01_Parametres!$B$5*(E798&gt;0)+01_Parametres!$B$6*(F798&gt;0))=0,"",(01_Parametres!$B$4*IF(D798&gt;0,D798,0)+01_Parametres!$B$5*IF(E798&gt;0,E798,0)+01_Parametres!$B$6*IF(F798&gt;0,F798,0))/(01_Parametres!$B$4*(D798&gt;0)+01_Parametres!$B$5*(E798&gt;0)+01_Parametres!$B$6*(F798&gt;0))),IF(01_Parametres!$B$8=0,"",(01_Parametres!$B$4*D798+01_Parametres!$B$5*E798+01_Parametres!$B$6*F798)/01_Parametres!$B$8)))</x:f>
      </x:c>
      <x:c r="H798">
        <x:f>IFERROR(VLOOKUP(C798,02_Referentiels!$A$20:$D$99,3,FALSE),"")</x:f>
      </x:c>
      <x:c r="I798">
        <x:f>IFERROR(VLOOKUP(B798,02_Referentiels!$A$5:$C$16,2,FALSE),"")</x:f>
      </x:c>
      <x:c r="J798">
        <x:f>IF(A798="","",IF(OR(D798="",E798="",F798=""),1,IF(OR(D798&lt;0,D798&gt;3,E798&lt;0,E798&gt;3,F798&lt;0,F798&gt;3),1,0)))</x:f>
      </x:c>
      <x:c r="K798">
        <x:f>IF(A798="","",IF(G798="",1,0))</x:f>
      </x:c>
      <x:c r="L798">
        <x:f>IF(A798="","",IF(COUNTIFS($A$5:$A$2004,A798,$C$5:$C$2004,C798)&gt;1,1,0))</x:f>
      </x:c>
    </x:row>
    <x:row r="799">
      <x:c r="A799" s="8" t="n"/>
      <x:c r="B799" s="8" t="n"/>
      <x:c r="C799" s="8" t="n"/>
      <x:c r="D799" s="8" t="n"/>
      <x:c r="E799" s="8" t="n"/>
      <x:c r="F799" s="8" t="n"/>
      <x:c r="G799" s="7">
        <x:f>IF(A799="","",IF(01_Parametres!$B$11="Oui",IF((01_Parametres!$B$4*(D799&gt;0)+01_Parametres!$B$5*(E799&gt;0)+01_Parametres!$B$6*(F799&gt;0))=0,"",(01_Parametres!$B$4*IF(D799&gt;0,D799,0)+01_Parametres!$B$5*IF(E799&gt;0,E799,0)+01_Parametres!$B$6*IF(F799&gt;0,F799,0))/(01_Parametres!$B$4*(D799&gt;0)+01_Parametres!$B$5*(E799&gt;0)+01_Parametres!$B$6*(F799&gt;0))),IF(01_Parametres!$B$8=0,"",(01_Parametres!$B$4*D799+01_Parametres!$B$5*E799+01_Parametres!$B$6*F799)/01_Parametres!$B$8)))</x:f>
      </x:c>
      <x:c r="H799">
        <x:f>IFERROR(VLOOKUP(C799,02_Referentiels!$A$20:$D$99,3,FALSE),"")</x:f>
      </x:c>
      <x:c r="I799">
        <x:f>IFERROR(VLOOKUP(B799,02_Referentiels!$A$5:$C$16,2,FALSE),"")</x:f>
      </x:c>
      <x:c r="J799">
        <x:f>IF(A799="","",IF(OR(D799="",E799="",F799=""),1,IF(OR(D799&lt;0,D799&gt;3,E799&lt;0,E799&gt;3,F799&lt;0,F799&gt;3),1,0)))</x:f>
      </x:c>
      <x:c r="K799">
        <x:f>IF(A799="","",IF(G799="",1,0))</x:f>
      </x:c>
      <x:c r="L799">
        <x:f>IF(A799="","",IF(COUNTIFS($A$5:$A$2004,A799,$C$5:$C$2004,C799)&gt;1,1,0))</x:f>
      </x:c>
    </x:row>
    <x:row r="800">
      <x:c r="A800" s="8" t="n"/>
      <x:c r="B800" s="8" t="n"/>
      <x:c r="C800" s="8" t="n"/>
      <x:c r="D800" s="8" t="n"/>
      <x:c r="E800" s="8" t="n"/>
      <x:c r="F800" s="8" t="n"/>
      <x:c r="G800" s="7">
        <x:f>IF(A800="","",IF(01_Parametres!$B$11="Oui",IF((01_Parametres!$B$4*(D800&gt;0)+01_Parametres!$B$5*(E800&gt;0)+01_Parametres!$B$6*(F800&gt;0))=0,"",(01_Parametres!$B$4*IF(D800&gt;0,D800,0)+01_Parametres!$B$5*IF(E800&gt;0,E800,0)+01_Parametres!$B$6*IF(F800&gt;0,F800,0))/(01_Parametres!$B$4*(D800&gt;0)+01_Parametres!$B$5*(E800&gt;0)+01_Parametres!$B$6*(F800&gt;0))),IF(01_Parametres!$B$8=0,"",(01_Parametres!$B$4*D800+01_Parametres!$B$5*E800+01_Parametres!$B$6*F800)/01_Parametres!$B$8)))</x:f>
      </x:c>
      <x:c r="H800">
        <x:f>IFERROR(VLOOKUP(C800,02_Referentiels!$A$20:$D$99,3,FALSE),"")</x:f>
      </x:c>
      <x:c r="I800">
        <x:f>IFERROR(VLOOKUP(B800,02_Referentiels!$A$5:$C$16,2,FALSE),"")</x:f>
      </x:c>
      <x:c r="J800">
        <x:f>IF(A800="","",IF(OR(D800="",E800="",F800=""),1,IF(OR(D800&lt;0,D800&gt;3,E800&lt;0,E800&gt;3,F800&lt;0,F800&gt;3),1,0)))</x:f>
      </x:c>
      <x:c r="K800">
        <x:f>IF(A800="","",IF(G800="",1,0))</x:f>
      </x:c>
      <x:c r="L800">
        <x:f>IF(A800="","",IF(COUNTIFS($A$5:$A$2004,A800,$C$5:$C$2004,C800)&gt;1,1,0))</x:f>
      </x:c>
    </x:row>
    <x:row r="801">
      <x:c r="A801" s="8" t="n"/>
      <x:c r="B801" s="8" t="n"/>
      <x:c r="C801" s="8" t="n"/>
      <x:c r="D801" s="8" t="n"/>
      <x:c r="E801" s="8" t="n"/>
      <x:c r="F801" s="8" t="n"/>
      <x:c r="G801" s="7">
        <x:f>IF(A801="","",IF(01_Parametres!$B$11="Oui",IF((01_Parametres!$B$4*(D801&gt;0)+01_Parametres!$B$5*(E801&gt;0)+01_Parametres!$B$6*(F801&gt;0))=0,"",(01_Parametres!$B$4*IF(D801&gt;0,D801,0)+01_Parametres!$B$5*IF(E801&gt;0,E801,0)+01_Parametres!$B$6*IF(F801&gt;0,F801,0))/(01_Parametres!$B$4*(D801&gt;0)+01_Parametres!$B$5*(E801&gt;0)+01_Parametres!$B$6*(F801&gt;0))),IF(01_Parametres!$B$8=0,"",(01_Parametres!$B$4*D801+01_Parametres!$B$5*E801+01_Parametres!$B$6*F801)/01_Parametres!$B$8)))</x:f>
      </x:c>
      <x:c r="H801">
        <x:f>IFERROR(VLOOKUP(C801,02_Referentiels!$A$20:$D$99,3,FALSE),"")</x:f>
      </x:c>
      <x:c r="I801">
        <x:f>IFERROR(VLOOKUP(B801,02_Referentiels!$A$5:$C$16,2,FALSE),"")</x:f>
      </x:c>
      <x:c r="J801">
        <x:f>IF(A801="","",IF(OR(D801="",E801="",F801=""),1,IF(OR(D801&lt;0,D801&gt;3,E801&lt;0,E801&gt;3,F801&lt;0,F801&gt;3),1,0)))</x:f>
      </x:c>
      <x:c r="K801">
        <x:f>IF(A801="","",IF(G801="",1,0))</x:f>
      </x:c>
      <x:c r="L801">
        <x:f>IF(A801="","",IF(COUNTIFS($A$5:$A$2004,A801,$C$5:$C$2004,C801)&gt;1,1,0))</x:f>
      </x:c>
    </x:row>
    <x:row r="802">
      <x:c r="A802" s="8" t="n"/>
      <x:c r="B802" s="8" t="n"/>
      <x:c r="C802" s="8" t="n"/>
      <x:c r="D802" s="8" t="n"/>
      <x:c r="E802" s="8" t="n"/>
      <x:c r="F802" s="8" t="n"/>
      <x:c r="G802" s="7">
        <x:f>IF(A802="","",IF(01_Parametres!$B$11="Oui",IF((01_Parametres!$B$4*(D802&gt;0)+01_Parametres!$B$5*(E802&gt;0)+01_Parametres!$B$6*(F802&gt;0))=0,"",(01_Parametres!$B$4*IF(D802&gt;0,D802,0)+01_Parametres!$B$5*IF(E802&gt;0,E802,0)+01_Parametres!$B$6*IF(F802&gt;0,F802,0))/(01_Parametres!$B$4*(D802&gt;0)+01_Parametres!$B$5*(E802&gt;0)+01_Parametres!$B$6*(F802&gt;0))),IF(01_Parametres!$B$8=0,"",(01_Parametres!$B$4*D802+01_Parametres!$B$5*E802+01_Parametres!$B$6*F802)/01_Parametres!$B$8)))</x:f>
      </x:c>
      <x:c r="H802">
        <x:f>IFERROR(VLOOKUP(C802,02_Referentiels!$A$20:$D$99,3,FALSE),"")</x:f>
      </x:c>
      <x:c r="I802">
        <x:f>IFERROR(VLOOKUP(B802,02_Referentiels!$A$5:$C$16,2,FALSE),"")</x:f>
      </x:c>
      <x:c r="J802">
        <x:f>IF(A802="","",IF(OR(D802="",E802="",F802=""),1,IF(OR(D802&lt;0,D802&gt;3,E802&lt;0,E802&gt;3,F802&lt;0,F802&gt;3),1,0)))</x:f>
      </x:c>
      <x:c r="K802">
        <x:f>IF(A802="","",IF(G802="",1,0))</x:f>
      </x:c>
      <x:c r="L802">
        <x:f>IF(A802="","",IF(COUNTIFS($A$5:$A$2004,A802,$C$5:$C$2004,C802)&gt;1,1,0))</x:f>
      </x:c>
    </x:row>
    <x:row r="803">
      <x:c r="A803" s="8" t="n"/>
      <x:c r="B803" s="8" t="n"/>
      <x:c r="C803" s="8" t="n"/>
      <x:c r="D803" s="8" t="n"/>
      <x:c r="E803" s="8" t="n"/>
      <x:c r="F803" s="8" t="n"/>
      <x:c r="G803" s="7">
        <x:f>IF(A803="","",IF(01_Parametres!$B$11="Oui",IF((01_Parametres!$B$4*(D803&gt;0)+01_Parametres!$B$5*(E803&gt;0)+01_Parametres!$B$6*(F803&gt;0))=0,"",(01_Parametres!$B$4*IF(D803&gt;0,D803,0)+01_Parametres!$B$5*IF(E803&gt;0,E803,0)+01_Parametres!$B$6*IF(F803&gt;0,F803,0))/(01_Parametres!$B$4*(D803&gt;0)+01_Parametres!$B$5*(E803&gt;0)+01_Parametres!$B$6*(F803&gt;0))),IF(01_Parametres!$B$8=0,"",(01_Parametres!$B$4*D803+01_Parametres!$B$5*E803+01_Parametres!$B$6*F803)/01_Parametres!$B$8)))</x:f>
      </x:c>
      <x:c r="H803">
        <x:f>IFERROR(VLOOKUP(C803,02_Referentiels!$A$20:$D$99,3,FALSE),"")</x:f>
      </x:c>
      <x:c r="I803">
        <x:f>IFERROR(VLOOKUP(B803,02_Referentiels!$A$5:$C$16,2,FALSE),"")</x:f>
      </x:c>
      <x:c r="J803">
        <x:f>IF(A803="","",IF(OR(D803="",E803="",F803=""),1,IF(OR(D803&lt;0,D803&gt;3,E803&lt;0,E803&gt;3,F803&lt;0,F803&gt;3),1,0)))</x:f>
      </x:c>
      <x:c r="K803">
        <x:f>IF(A803="","",IF(G803="",1,0))</x:f>
      </x:c>
      <x:c r="L803">
        <x:f>IF(A803="","",IF(COUNTIFS($A$5:$A$2004,A803,$C$5:$C$2004,C803)&gt;1,1,0))</x:f>
      </x:c>
    </x:row>
    <x:row r="804">
      <x:c r="A804" s="8" t="n"/>
      <x:c r="B804" s="8" t="n"/>
      <x:c r="C804" s="8" t="n"/>
      <x:c r="D804" s="8" t="n"/>
      <x:c r="E804" s="8" t="n"/>
      <x:c r="F804" s="8" t="n"/>
      <x:c r="G804" s="7">
        <x:f>IF(A804="","",IF(01_Parametres!$B$11="Oui",IF((01_Parametres!$B$4*(D804&gt;0)+01_Parametres!$B$5*(E804&gt;0)+01_Parametres!$B$6*(F804&gt;0))=0,"",(01_Parametres!$B$4*IF(D804&gt;0,D804,0)+01_Parametres!$B$5*IF(E804&gt;0,E804,0)+01_Parametres!$B$6*IF(F804&gt;0,F804,0))/(01_Parametres!$B$4*(D804&gt;0)+01_Parametres!$B$5*(E804&gt;0)+01_Parametres!$B$6*(F804&gt;0))),IF(01_Parametres!$B$8=0,"",(01_Parametres!$B$4*D804+01_Parametres!$B$5*E804+01_Parametres!$B$6*F804)/01_Parametres!$B$8)))</x:f>
      </x:c>
      <x:c r="H804">
        <x:f>IFERROR(VLOOKUP(C804,02_Referentiels!$A$20:$D$99,3,FALSE),"")</x:f>
      </x:c>
      <x:c r="I804">
        <x:f>IFERROR(VLOOKUP(B804,02_Referentiels!$A$5:$C$16,2,FALSE),"")</x:f>
      </x:c>
      <x:c r="J804">
        <x:f>IF(A804="","",IF(OR(D804="",E804="",F804=""),1,IF(OR(D804&lt;0,D804&gt;3,E804&lt;0,E804&gt;3,F804&lt;0,F804&gt;3),1,0)))</x:f>
      </x:c>
      <x:c r="K804">
        <x:f>IF(A804="","",IF(G804="",1,0))</x:f>
      </x:c>
      <x:c r="L804">
        <x:f>IF(A804="","",IF(COUNTIFS($A$5:$A$2004,A804,$C$5:$C$2004,C804)&gt;1,1,0))</x:f>
      </x:c>
    </x:row>
    <x:row r="805">
      <x:c r="A805" s="8" t="n"/>
      <x:c r="B805" s="8" t="n"/>
      <x:c r="C805" s="8" t="n"/>
      <x:c r="D805" s="8" t="n"/>
      <x:c r="E805" s="8" t="n"/>
      <x:c r="F805" s="8" t="n"/>
      <x:c r="G805" s="7">
        <x:f>IF(A805="","",IF(01_Parametres!$B$11="Oui",IF((01_Parametres!$B$4*(D805&gt;0)+01_Parametres!$B$5*(E805&gt;0)+01_Parametres!$B$6*(F805&gt;0))=0,"",(01_Parametres!$B$4*IF(D805&gt;0,D805,0)+01_Parametres!$B$5*IF(E805&gt;0,E805,0)+01_Parametres!$B$6*IF(F805&gt;0,F805,0))/(01_Parametres!$B$4*(D805&gt;0)+01_Parametres!$B$5*(E805&gt;0)+01_Parametres!$B$6*(F805&gt;0))),IF(01_Parametres!$B$8=0,"",(01_Parametres!$B$4*D805+01_Parametres!$B$5*E805+01_Parametres!$B$6*F805)/01_Parametres!$B$8)))</x:f>
      </x:c>
      <x:c r="H805">
        <x:f>IFERROR(VLOOKUP(C805,02_Referentiels!$A$20:$D$99,3,FALSE),"")</x:f>
      </x:c>
      <x:c r="I805">
        <x:f>IFERROR(VLOOKUP(B805,02_Referentiels!$A$5:$C$16,2,FALSE),"")</x:f>
      </x:c>
      <x:c r="J805">
        <x:f>IF(A805="","",IF(OR(D805="",E805="",F805=""),1,IF(OR(D805&lt;0,D805&gt;3,E805&lt;0,E805&gt;3,F805&lt;0,F805&gt;3),1,0)))</x:f>
      </x:c>
      <x:c r="K805">
        <x:f>IF(A805="","",IF(G805="",1,0))</x:f>
      </x:c>
      <x:c r="L805">
        <x:f>IF(A805="","",IF(COUNTIFS($A$5:$A$2004,A805,$C$5:$C$2004,C805)&gt;1,1,0))</x:f>
      </x:c>
    </x:row>
    <x:row r="806">
      <x:c r="A806" s="8" t="n"/>
      <x:c r="B806" s="8" t="n"/>
      <x:c r="C806" s="8" t="n"/>
      <x:c r="D806" s="8" t="n"/>
      <x:c r="E806" s="8" t="n"/>
      <x:c r="F806" s="8" t="n"/>
      <x:c r="G806" s="7">
        <x:f>IF(A806="","",IF(01_Parametres!$B$11="Oui",IF((01_Parametres!$B$4*(D806&gt;0)+01_Parametres!$B$5*(E806&gt;0)+01_Parametres!$B$6*(F806&gt;0))=0,"",(01_Parametres!$B$4*IF(D806&gt;0,D806,0)+01_Parametres!$B$5*IF(E806&gt;0,E806,0)+01_Parametres!$B$6*IF(F806&gt;0,F806,0))/(01_Parametres!$B$4*(D806&gt;0)+01_Parametres!$B$5*(E806&gt;0)+01_Parametres!$B$6*(F806&gt;0))),IF(01_Parametres!$B$8=0,"",(01_Parametres!$B$4*D806+01_Parametres!$B$5*E806+01_Parametres!$B$6*F806)/01_Parametres!$B$8)))</x:f>
      </x:c>
      <x:c r="H806">
        <x:f>IFERROR(VLOOKUP(C806,02_Referentiels!$A$20:$D$99,3,FALSE),"")</x:f>
      </x:c>
      <x:c r="I806">
        <x:f>IFERROR(VLOOKUP(B806,02_Referentiels!$A$5:$C$16,2,FALSE),"")</x:f>
      </x:c>
      <x:c r="J806">
        <x:f>IF(A806="","",IF(OR(D806="",E806="",F806=""),1,IF(OR(D806&lt;0,D806&gt;3,E806&lt;0,E806&gt;3,F806&lt;0,F806&gt;3),1,0)))</x:f>
      </x:c>
      <x:c r="K806">
        <x:f>IF(A806="","",IF(G806="",1,0))</x:f>
      </x:c>
      <x:c r="L806">
        <x:f>IF(A806="","",IF(COUNTIFS($A$5:$A$2004,A806,$C$5:$C$2004,C806)&gt;1,1,0))</x:f>
      </x:c>
    </x:row>
    <x:row r="807">
      <x:c r="A807" s="8" t="n"/>
      <x:c r="B807" s="8" t="n"/>
      <x:c r="C807" s="8" t="n"/>
      <x:c r="D807" s="8" t="n"/>
      <x:c r="E807" s="8" t="n"/>
      <x:c r="F807" s="8" t="n"/>
      <x:c r="G807" s="7">
        <x:f>IF(A807="","",IF(01_Parametres!$B$11="Oui",IF((01_Parametres!$B$4*(D807&gt;0)+01_Parametres!$B$5*(E807&gt;0)+01_Parametres!$B$6*(F807&gt;0))=0,"",(01_Parametres!$B$4*IF(D807&gt;0,D807,0)+01_Parametres!$B$5*IF(E807&gt;0,E807,0)+01_Parametres!$B$6*IF(F807&gt;0,F807,0))/(01_Parametres!$B$4*(D807&gt;0)+01_Parametres!$B$5*(E807&gt;0)+01_Parametres!$B$6*(F807&gt;0))),IF(01_Parametres!$B$8=0,"",(01_Parametres!$B$4*D807+01_Parametres!$B$5*E807+01_Parametres!$B$6*F807)/01_Parametres!$B$8)))</x:f>
      </x:c>
      <x:c r="H807">
        <x:f>IFERROR(VLOOKUP(C807,02_Referentiels!$A$20:$D$99,3,FALSE),"")</x:f>
      </x:c>
      <x:c r="I807">
        <x:f>IFERROR(VLOOKUP(B807,02_Referentiels!$A$5:$C$16,2,FALSE),"")</x:f>
      </x:c>
      <x:c r="J807">
        <x:f>IF(A807="","",IF(OR(D807="",E807="",F807=""),1,IF(OR(D807&lt;0,D807&gt;3,E807&lt;0,E807&gt;3,F807&lt;0,F807&gt;3),1,0)))</x:f>
      </x:c>
      <x:c r="K807">
        <x:f>IF(A807="","",IF(G807="",1,0))</x:f>
      </x:c>
      <x:c r="L807">
        <x:f>IF(A807="","",IF(COUNTIFS($A$5:$A$2004,A807,$C$5:$C$2004,C807)&gt;1,1,0))</x:f>
      </x:c>
    </x:row>
    <x:row r="808">
      <x:c r="A808" s="8" t="n"/>
      <x:c r="B808" s="8" t="n"/>
      <x:c r="C808" s="8" t="n"/>
      <x:c r="D808" s="8" t="n"/>
      <x:c r="E808" s="8" t="n"/>
      <x:c r="F808" s="8" t="n"/>
      <x:c r="G808" s="7">
        <x:f>IF(A808="","",IF(01_Parametres!$B$11="Oui",IF((01_Parametres!$B$4*(D808&gt;0)+01_Parametres!$B$5*(E808&gt;0)+01_Parametres!$B$6*(F808&gt;0))=0,"",(01_Parametres!$B$4*IF(D808&gt;0,D808,0)+01_Parametres!$B$5*IF(E808&gt;0,E808,0)+01_Parametres!$B$6*IF(F808&gt;0,F808,0))/(01_Parametres!$B$4*(D808&gt;0)+01_Parametres!$B$5*(E808&gt;0)+01_Parametres!$B$6*(F808&gt;0))),IF(01_Parametres!$B$8=0,"",(01_Parametres!$B$4*D808+01_Parametres!$B$5*E808+01_Parametres!$B$6*F808)/01_Parametres!$B$8)))</x:f>
      </x:c>
      <x:c r="H808">
        <x:f>IFERROR(VLOOKUP(C808,02_Referentiels!$A$20:$D$99,3,FALSE),"")</x:f>
      </x:c>
      <x:c r="I808">
        <x:f>IFERROR(VLOOKUP(B808,02_Referentiels!$A$5:$C$16,2,FALSE),"")</x:f>
      </x:c>
      <x:c r="J808">
        <x:f>IF(A808="","",IF(OR(D808="",E808="",F808=""),1,IF(OR(D808&lt;0,D808&gt;3,E808&lt;0,E808&gt;3,F808&lt;0,F808&gt;3),1,0)))</x:f>
      </x:c>
      <x:c r="K808">
        <x:f>IF(A808="","",IF(G808="",1,0))</x:f>
      </x:c>
      <x:c r="L808">
        <x:f>IF(A808="","",IF(COUNTIFS($A$5:$A$2004,A808,$C$5:$C$2004,C808)&gt;1,1,0))</x:f>
      </x:c>
    </x:row>
    <x:row r="809">
      <x:c r="A809" s="8" t="n"/>
      <x:c r="B809" s="8" t="n"/>
      <x:c r="C809" s="8" t="n"/>
      <x:c r="D809" s="8" t="n"/>
      <x:c r="E809" s="8" t="n"/>
      <x:c r="F809" s="8" t="n"/>
      <x:c r="G809" s="7">
        <x:f>IF(A809="","",IF(01_Parametres!$B$11="Oui",IF((01_Parametres!$B$4*(D809&gt;0)+01_Parametres!$B$5*(E809&gt;0)+01_Parametres!$B$6*(F809&gt;0))=0,"",(01_Parametres!$B$4*IF(D809&gt;0,D809,0)+01_Parametres!$B$5*IF(E809&gt;0,E809,0)+01_Parametres!$B$6*IF(F809&gt;0,F809,0))/(01_Parametres!$B$4*(D809&gt;0)+01_Parametres!$B$5*(E809&gt;0)+01_Parametres!$B$6*(F809&gt;0))),IF(01_Parametres!$B$8=0,"",(01_Parametres!$B$4*D809+01_Parametres!$B$5*E809+01_Parametres!$B$6*F809)/01_Parametres!$B$8)))</x:f>
      </x:c>
      <x:c r="H809">
        <x:f>IFERROR(VLOOKUP(C809,02_Referentiels!$A$20:$D$99,3,FALSE),"")</x:f>
      </x:c>
      <x:c r="I809">
        <x:f>IFERROR(VLOOKUP(B809,02_Referentiels!$A$5:$C$16,2,FALSE),"")</x:f>
      </x:c>
      <x:c r="J809">
        <x:f>IF(A809="","",IF(OR(D809="",E809="",F809=""),1,IF(OR(D809&lt;0,D809&gt;3,E809&lt;0,E809&gt;3,F809&lt;0,F809&gt;3),1,0)))</x:f>
      </x:c>
      <x:c r="K809">
        <x:f>IF(A809="","",IF(G809="",1,0))</x:f>
      </x:c>
      <x:c r="L809">
        <x:f>IF(A809="","",IF(COUNTIFS($A$5:$A$2004,A809,$C$5:$C$2004,C809)&gt;1,1,0))</x:f>
      </x:c>
    </x:row>
    <x:row r="810">
      <x:c r="A810" s="8" t="n"/>
      <x:c r="B810" s="8" t="n"/>
      <x:c r="C810" s="8" t="n"/>
      <x:c r="D810" s="8" t="n"/>
      <x:c r="E810" s="8" t="n"/>
      <x:c r="F810" s="8" t="n"/>
      <x:c r="G810" s="7">
        <x:f>IF(A810="","",IF(01_Parametres!$B$11="Oui",IF((01_Parametres!$B$4*(D810&gt;0)+01_Parametres!$B$5*(E810&gt;0)+01_Parametres!$B$6*(F810&gt;0))=0,"",(01_Parametres!$B$4*IF(D810&gt;0,D810,0)+01_Parametres!$B$5*IF(E810&gt;0,E810,0)+01_Parametres!$B$6*IF(F810&gt;0,F810,0))/(01_Parametres!$B$4*(D810&gt;0)+01_Parametres!$B$5*(E810&gt;0)+01_Parametres!$B$6*(F810&gt;0))),IF(01_Parametres!$B$8=0,"",(01_Parametres!$B$4*D810+01_Parametres!$B$5*E810+01_Parametres!$B$6*F810)/01_Parametres!$B$8)))</x:f>
      </x:c>
      <x:c r="H810">
        <x:f>IFERROR(VLOOKUP(C810,02_Referentiels!$A$20:$D$99,3,FALSE),"")</x:f>
      </x:c>
      <x:c r="I810">
        <x:f>IFERROR(VLOOKUP(B810,02_Referentiels!$A$5:$C$16,2,FALSE),"")</x:f>
      </x:c>
      <x:c r="J810">
        <x:f>IF(A810="","",IF(OR(D810="",E810="",F810=""),1,IF(OR(D810&lt;0,D810&gt;3,E810&lt;0,E810&gt;3,F810&lt;0,F810&gt;3),1,0)))</x:f>
      </x:c>
      <x:c r="K810">
        <x:f>IF(A810="","",IF(G810="",1,0))</x:f>
      </x:c>
      <x:c r="L810">
        <x:f>IF(A810="","",IF(COUNTIFS($A$5:$A$2004,A810,$C$5:$C$2004,C810)&gt;1,1,0))</x:f>
      </x:c>
    </x:row>
    <x:row r="811">
      <x:c r="A811" s="8" t="n"/>
      <x:c r="B811" s="8" t="n"/>
      <x:c r="C811" s="8" t="n"/>
      <x:c r="D811" s="8" t="n"/>
      <x:c r="E811" s="8" t="n"/>
      <x:c r="F811" s="8" t="n"/>
      <x:c r="G811" s="7">
        <x:f>IF(A811="","",IF(01_Parametres!$B$11="Oui",IF((01_Parametres!$B$4*(D811&gt;0)+01_Parametres!$B$5*(E811&gt;0)+01_Parametres!$B$6*(F811&gt;0))=0,"",(01_Parametres!$B$4*IF(D811&gt;0,D811,0)+01_Parametres!$B$5*IF(E811&gt;0,E811,0)+01_Parametres!$B$6*IF(F811&gt;0,F811,0))/(01_Parametres!$B$4*(D811&gt;0)+01_Parametres!$B$5*(E811&gt;0)+01_Parametres!$B$6*(F811&gt;0))),IF(01_Parametres!$B$8=0,"",(01_Parametres!$B$4*D811+01_Parametres!$B$5*E811+01_Parametres!$B$6*F811)/01_Parametres!$B$8)))</x:f>
      </x:c>
      <x:c r="H811">
        <x:f>IFERROR(VLOOKUP(C811,02_Referentiels!$A$20:$D$99,3,FALSE),"")</x:f>
      </x:c>
      <x:c r="I811">
        <x:f>IFERROR(VLOOKUP(B811,02_Referentiels!$A$5:$C$16,2,FALSE),"")</x:f>
      </x:c>
      <x:c r="J811">
        <x:f>IF(A811="","",IF(OR(D811="",E811="",F811=""),1,IF(OR(D811&lt;0,D811&gt;3,E811&lt;0,E811&gt;3,F811&lt;0,F811&gt;3),1,0)))</x:f>
      </x:c>
      <x:c r="K811">
        <x:f>IF(A811="","",IF(G811="",1,0))</x:f>
      </x:c>
      <x:c r="L811">
        <x:f>IF(A811="","",IF(COUNTIFS($A$5:$A$2004,A811,$C$5:$C$2004,C811)&gt;1,1,0))</x:f>
      </x:c>
    </x:row>
    <x:row r="812">
      <x:c r="A812" s="8" t="n"/>
      <x:c r="B812" s="8" t="n"/>
      <x:c r="C812" s="8" t="n"/>
      <x:c r="D812" s="8" t="n"/>
      <x:c r="E812" s="8" t="n"/>
      <x:c r="F812" s="8" t="n"/>
      <x:c r="G812" s="7">
        <x:f>IF(A812="","",IF(01_Parametres!$B$11="Oui",IF((01_Parametres!$B$4*(D812&gt;0)+01_Parametres!$B$5*(E812&gt;0)+01_Parametres!$B$6*(F812&gt;0))=0,"",(01_Parametres!$B$4*IF(D812&gt;0,D812,0)+01_Parametres!$B$5*IF(E812&gt;0,E812,0)+01_Parametres!$B$6*IF(F812&gt;0,F812,0))/(01_Parametres!$B$4*(D812&gt;0)+01_Parametres!$B$5*(E812&gt;0)+01_Parametres!$B$6*(F812&gt;0))),IF(01_Parametres!$B$8=0,"",(01_Parametres!$B$4*D812+01_Parametres!$B$5*E812+01_Parametres!$B$6*F812)/01_Parametres!$B$8)))</x:f>
      </x:c>
      <x:c r="H812">
        <x:f>IFERROR(VLOOKUP(C812,02_Referentiels!$A$20:$D$99,3,FALSE),"")</x:f>
      </x:c>
      <x:c r="I812">
        <x:f>IFERROR(VLOOKUP(B812,02_Referentiels!$A$5:$C$16,2,FALSE),"")</x:f>
      </x:c>
      <x:c r="J812">
        <x:f>IF(A812="","",IF(OR(D812="",E812="",F812=""),1,IF(OR(D812&lt;0,D812&gt;3,E812&lt;0,E812&gt;3,F812&lt;0,F812&gt;3),1,0)))</x:f>
      </x:c>
      <x:c r="K812">
        <x:f>IF(A812="","",IF(G812="",1,0))</x:f>
      </x:c>
      <x:c r="L812">
        <x:f>IF(A812="","",IF(COUNTIFS($A$5:$A$2004,A812,$C$5:$C$2004,C812)&gt;1,1,0))</x:f>
      </x:c>
    </x:row>
    <x:row r="813">
      <x:c r="A813" s="8" t="n"/>
      <x:c r="B813" s="8" t="n"/>
      <x:c r="C813" s="8" t="n"/>
      <x:c r="D813" s="8" t="n"/>
      <x:c r="E813" s="8" t="n"/>
      <x:c r="F813" s="8" t="n"/>
      <x:c r="G813" s="7">
        <x:f>IF(A813="","",IF(01_Parametres!$B$11="Oui",IF((01_Parametres!$B$4*(D813&gt;0)+01_Parametres!$B$5*(E813&gt;0)+01_Parametres!$B$6*(F813&gt;0))=0,"",(01_Parametres!$B$4*IF(D813&gt;0,D813,0)+01_Parametres!$B$5*IF(E813&gt;0,E813,0)+01_Parametres!$B$6*IF(F813&gt;0,F813,0))/(01_Parametres!$B$4*(D813&gt;0)+01_Parametres!$B$5*(E813&gt;0)+01_Parametres!$B$6*(F813&gt;0))),IF(01_Parametres!$B$8=0,"",(01_Parametres!$B$4*D813+01_Parametres!$B$5*E813+01_Parametres!$B$6*F813)/01_Parametres!$B$8)))</x:f>
      </x:c>
      <x:c r="H813">
        <x:f>IFERROR(VLOOKUP(C813,02_Referentiels!$A$20:$D$99,3,FALSE),"")</x:f>
      </x:c>
      <x:c r="I813">
        <x:f>IFERROR(VLOOKUP(B813,02_Referentiels!$A$5:$C$16,2,FALSE),"")</x:f>
      </x:c>
      <x:c r="J813">
        <x:f>IF(A813="","",IF(OR(D813="",E813="",F813=""),1,IF(OR(D813&lt;0,D813&gt;3,E813&lt;0,E813&gt;3,F813&lt;0,F813&gt;3),1,0)))</x:f>
      </x:c>
      <x:c r="K813">
        <x:f>IF(A813="","",IF(G813="",1,0))</x:f>
      </x:c>
      <x:c r="L813">
        <x:f>IF(A813="","",IF(COUNTIFS($A$5:$A$2004,A813,$C$5:$C$2004,C813)&gt;1,1,0))</x:f>
      </x:c>
    </x:row>
    <x:row r="814">
      <x:c r="A814" s="8" t="n"/>
      <x:c r="B814" s="8" t="n"/>
      <x:c r="C814" s="8" t="n"/>
      <x:c r="D814" s="8" t="n"/>
      <x:c r="E814" s="8" t="n"/>
      <x:c r="F814" s="8" t="n"/>
      <x:c r="G814" s="7">
        <x:f>IF(A814="","",IF(01_Parametres!$B$11="Oui",IF((01_Parametres!$B$4*(D814&gt;0)+01_Parametres!$B$5*(E814&gt;0)+01_Parametres!$B$6*(F814&gt;0))=0,"",(01_Parametres!$B$4*IF(D814&gt;0,D814,0)+01_Parametres!$B$5*IF(E814&gt;0,E814,0)+01_Parametres!$B$6*IF(F814&gt;0,F814,0))/(01_Parametres!$B$4*(D814&gt;0)+01_Parametres!$B$5*(E814&gt;0)+01_Parametres!$B$6*(F814&gt;0))),IF(01_Parametres!$B$8=0,"",(01_Parametres!$B$4*D814+01_Parametres!$B$5*E814+01_Parametres!$B$6*F814)/01_Parametres!$B$8)))</x:f>
      </x:c>
      <x:c r="H814">
        <x:f>IFERROR(VLOOKUP(C814,02_Referentiels!$A$20:$D$99,3,FALSE),"")</x:f>
      </x:c>
      <x:c r="I814">
        <x:f>IFERROR(VLOOKUP(B814,02_Referentiels!$A$5:$C$16,2,FALSE),"")</x:f>
      </x:c>
      <x:c r="J814">
        <x:f>IF(A814="","",IF(OR(D814="",E814="",F814=""),1,IF(OR(D814&lt;0,D814&gt;3,E814&lt;0,E814&gt;3,F814&lt;0,F814&gt;3),1,0)))</x:f>
      </x:c>
      <x:c r="K814">
        <x:f>IF(A814="","",IF(G814="",1,0))</x:f>
      </x:c>
      <x:c r="L814">
        <x:f>IF(A814="","",IF(COUNTIFS($A$5:$A$2004,A814,$C$5:$C$2004,C814)&gt;1,1,0))</x:f>
      </x:c>
    </x:row>
    <x:row r="815">
      <x:c r="A815" s="8" t="n"/>
      <x:c r="B815" s="8" t="n"/>
      <x:c r="C815" s="8" t="n"/>
      <x:c r="D815" s="8" t="n"/>
      <x:c r="E815" s="8" t="n"/>
      <x:c r="F815" s="8" t="n"/>
      <x:c r="G815" s="7">
        <x:f>IF(A815="","",IF(01_Parametres!$B$11="Oui",IF((01_Parametres!$B$4*(D815&gt;0)+01_Parametres!$B$5*(E815&gt;0)+01_Parametres!$B$6*(F815&gt;0))=0,"",(01_Parametres!$B$4*IF(D815&gt;0,D815,0)+01_Parametres!$B$5*IF(E815&gt;0,E815,0)+01_Parametres!$B$6*IF(F815&gt;0,F815,0))/(01_Parametres!$B$4*(D815&gt;0)+01_Parametres!$B$5*(E815&gt;0)+01_Parametres!$B$6*(F815&gt;0))),IF(01_Parametres!$B$8=0,"",(01_Parametres!$B$4*D815+01_Parametres!$B$5*E815+01_Parametres!$B$6*F815)/01_Parametres!$B$8)))</x:f>
      </x:c>
      <x:c r="H815">
        <x:f>IFERROR(VLOOKUP(C815,02_Referentiels!$A$20:$D$99,3,FALSE),"")</x:f>
      </x:c>
      <x:c r="I815">
        <x:f>IFERROR(VLOOKUP(B815,02_Referentiels!$A$5:$C$16,2,FALSE),"")</x:f>
      </x:c>
      <x:c r="J815">
        <x:f>IF(A815="","",IF(OR(D815="",E815="",F815=""),1,IF(OR(D815&lt;0,D815&gt;3,E815&lt;0,E815&gt;3,F815&lt;0,F815&gt;3),1,0)))</x:f>
      </x:c>
      <x:c r="K815">
        <x:f>IF(A815="","",IF(G815="",1,0))</x:f>
      </x:c>
      <x:c r="L815">
        <x:f>IF(A815="","",IF(COUNTIFS($A$5:$A$2004,A815,$C$5:$C$2004,C815)&gt;1,1,0))</x:f>
      </x:c>
    </x:row>
    <x:row r="816">
      <x:c r="A816" s="8" t="n"/>
      <x:c r="B816" s="8" t="n"/>
      <x:c r="C816" s="8" t="n"/>
      <x:c r="D816" s="8" t="n"/>
      <x:c r="E816" s="8" t="n"/>
      <x:c r="F816" s="8" t="n"/>
      <x:c r="G816" s="7">
        <x:f>IF(A816="","",IF(01_Parametres!$B$11="Oui",IF((01_Parametres!$B$4*(D816&gt;0)+01_Parametres!$B$5*(E816&gt;0)+01_Parametres!$B$6*(F816&gt;0))=0,"",(01_Parametres!$B$4*IF(D816&gt;0,D816,0)+01_Parametres!$B$5*IF(E816&gt;0,E816,0)+01_Parametres!$B$6*IF(F816&gt;0,F816,0))/(01_Parametres!$B$4*(D816&gt;0)+01_Parametres!$B$5*(E816&gt;0)+01_Parametres!$B$6*(F816&gt;0))),IF(01_Parametres!$B$8=0,"",(01_Parametres!$B$4*D816+01_Parametres!$B$5*E816+01_Parametres!$B$6*F816)/01_Parametres!$B$8)))</x:f>
      </x:c>
      <x:c r="H816">
        <x:f>IFERROR(VLOOKUP(C816,02_Referentiels!$A$20:$D$99,3,FALSE),"")</x:f>
      </x:c>
      <x:c r="I816">
        <x:f>IFERROR(VLOOKUP(B816,02_Referentiels!$A$5:$C$16,2,FALSE),"")</x:f>
      </x:c>
      <x:c r="J816">
        <x:f>IF(A816="","",IF(OR(D816="",E816="",F816=""),1,IF(OR(D816&lt;0,D816&gt;3,E816&lt;0,E816&gt;3,F816&lt;0,F816&gt;3),1,0)))</x:f>
      </x:c>
      <x:c r="K816">
        <x:f>IF(A816="","",IF(G816="",1,0))</x:f>
      </x:c>
      <x:c r="L816">
        <x:f>IF(A816="","",IF(COUNTIFS($A$5:$A$2004,A816,$C$5:$C$2004,C816)&gt;1,1,0))</x:f>
      </x:c>
    </x:row>
    <x:row r="817">
      <x:c r="A817" s="8" t="n"/>
      <x:c r="B817" s="8" t="n"/>
      <x:c r="C817" s="8" t="n"/>
      <x:c r="D817" s="8" t="n"/>
      <x:c r="E817" s="8" t="n"/>
      <x:c r="F817" s="8" t="n"/>
      <x:c r="G817" s="7">
        <x:f>IF(A817="","",IF(01_Parametres!$B$11="Oui",IF((01_Parametres!$B$4*(D817&gt;0)+01_Parametres!$B$5*(E817&gt;0)+01_Parametres!$B$6*(F817&gt;0))=0,"",(01_Parametres!$B$4*IF(D817&gt;0,D817,0)+01_Parametres!$B$5*IF(E817&gt;0,E817,0)+01_Parametres!$B$6*IF(F817&gt;0,F817,0))/(01_Parametres!$B$4*(D817&gt;0)+01_Parametres!$B$5*(E817&gt;0)+01_Parametres!$B$6*(F817&gt;0))),IF(01_Parametres!$B$8=0,"",(01_Parametres!$B$4*D817+01_Parametres!$B$5*E817+01_Parametres!$B$6*F817)/01_Parametres!$B$8)))</x:f>
      </x:c>
      <x:c r="H817">
        <x:f>IFERROR(VLOOKUP(C817,02_Referentiels!$A$20:$D$99,3,FALSE),"")</x:f>
      </x:c>
      <x:c r="I817">
        <x:f>IFERROR(VLOOKUP(B817,02_Referentiels!$A$5:$C$16,2,FALSE),"")</x:f>
      </x:c>
      <x:c r="J817">
        <x:f>IF(A817="","",IF(OR(D817="",E817="",F817=""),1,IF(OR(D817&lt;0,D817&gt;3,E817&lt;0,E817&gt;3,F817&lt;0,F817&gt;3),1,0)))</x:f>
      </x:c>
      <x:c r="K817">
        <x:f>IF(A817="","",IF(G817="",1,0))</x:f>
      </x:c>
      <x:c r="L817">
        <x:f>IF(A817="","",IF(COUNTIFS($A$5:$A$2004,A817,$C$5:$C$2004,C817)&gt;1,1,0))</x:f>
      </x:c>
    </x:row>
    <x:row r="818">
      <x:c r="A818" s="8" t="n"/>
      <x:c r="B818" s="8" t="n"/>
      <x:c r="C818" s="8" t="n"/>
      <x:c r="D818" s="8" t="n"/>
      <x:c r="E818" s="8" t="n"/>
      <x:c r="F818" s="8" t="n"/>
      <x:c r="G818" s="7">
        <x:f>IF(A818="","",IF(01_Parametres!$B$11="Oui",IF((01_Parametres!$B$4*(D818&gt;0)+01_Parametres!$B$5*(E818&gt;0)+01_Parametres!$B$6*(F818&gt;0))=0,"",(01_Parametres!$B$4*IF(D818&gt;0,D818,0)+01_Parametres!$B$5*IF(E818&gt;0,E818,0)+01_Parametres!$B$6*IF(F818&gt;0,F818,0))/(01_Parametres!$B$4*(D818&gt;0)+01_Parametres!$B$5*(E818&gt;0)+01_Parametres!$B$6*(F818&gt;0))),IF(01_Parametres!$B$8=0,"",(01_Parametres!$B$4*D818+01_Parametres!$B$5*E818+01_Parametres!$B$6*F818)/01_Parametres!$B$8)))</x:f>
      </x:c>
      <x:c r="H818">
        <x:f>IFERROR(VLOOKUP(C818,02_Referentiels!$A$20:$D$99,3,FALSE),"")</x:f>
      </x:c>
      <x:c r="I818">
        <x:f>IFERROR(VLOOKUP(B818,02_Referentiels!$A$5:$C$16,2,FALSE),"")</x:f>
      </x:c>
      <x:c r="J818">
        <x:f>IF(A818="","",IF(OR(D818="",E818="",F818=""),1,IF(OR(D818&lt;0,D818&gt;3,E818&lt;0,E818&gt;3,F818&lt;0,F818&gt;3),1,0)))</x:f>
      </x:c>
      <x:c r="K818">
        <x:f>IF(A818="","",IF(G818="",1,0))</x:f>
      </x:c>
      <x:c r="L818">
        <x:f>IF(A818="","",IF(COUNTIFS($A$5:$A$2004,A818,$C$5:$C$2004,C818)&gt;1,1,0))</x:f>
      </x:c>
    </x:row>
    <x:row r="819">
      <x:c r="A819" s="8" t="n"/>
      <x:c r="B819" s="8" t="n"/>
      <x:c r="C819" s="8" t="n"/>
      <x:c r="D819" s="8" t="n"/>
      <x:c r="E819" s="8" t="n"/>
      <x:c r="F819" s="8" t="n"/>
      <x:c r="G819" s="7">
        <x:f>IF(A819="","",IF(01_Parametres!$B$11="Oui",IF((01_Parametres!$B$4*(D819&gt;0)+01_Parametres!$B$5*(E819&gt;0)+01_Parametres!$B$6*(F819&gt;0))=0,"",(01_Parametres!$B$4*IF(D819&gt;0,D819,0)+01_Parametres!$B$5*IF(E819&gt;0,E819,0)+01_Parametres!$B$6*IF(F819&gt;0,F819,0))/(01_Parametres!$B$4*(D819&gt;0)+01_Parametres!$B$5*(E819&gt;0)+01_Parametres!$B$6*(F819&gt;0))),IF(01_Parametres!$B$8=0,"",(01_Parametres!$B$4*D819+01_Parametres!$B$5*E819+01_Parametres!$B$6*F819)/01_Parametres!$B$8)))</x:f>
      </x:c>
      <x:c r="H819">
        <x:f>IFERROR(VLOOKUP(C819,02_Referentiels!$A$20:$D$99,3,FALSE),"")</x:f>
      </x:c>
      <x:c r="I819">
        <x:f>IFERROR(VLOOKUP(B819,02_Referentiels!$A$5:$C$16,2,FALSE),"")</x:f>
      </x:c>
      <x:c r="J819">
        <x:f>IF(A819="","",IF(OR(D819="",E819="",F819=""),1,IF(OR(D819&lt;0,D819&gt;3,E819&lt;0,E819&gt;3,F819&lt;0,F819&gt;3),1,0)))</x:f>
      </x:c>
      <x:c r="K819">
        <x:f>IF(A819="","",IF(G819="",1,0))</x:f>
      </x:c>
      <x:c r="L819">
        <x:f>IF(A819="","",IF(COUNTIFS($A$5:$A$2004,A819,$C$5:$C$2004,C819)&gt;1,1,0))</x:f>
      </x:c>
    </x:row>
    <x:row r="820">
      <x:c r="A820" s="8" t="n"/>
      <x:c r="B820" s="8" t="n"/>
      <x:c r="C820" s="8" t="n"/>
      <x:c r="D820" s="8" t="n"/>
      <x:c r="E820" s="8" t="n"/>
      <x:c r="F820" s="8" t="n"/>
      <x:c r="G820" s="7">
        <x:f>IF(A820="","",IF(01_Parametres!$B$11="Oui",IF((01_Parametres!$B$4*(D820&gt;0)+01_Parametres!$B$5*(E820&gt;0)+01_Parametres!$B$6*(F820&gt;0))=0,"",(01_Parametres!$B$4*IF(D820&gt;0,D820,0)+01_Parametres!$B$5*IF(E820&gt;0,E820,0)+01_Parametres!$B$6*IF(F820&gt;0,F820,0))/(01_Parametres!$B$4*(D820&gt;0)+01_Parametres!$B$5*(E820&gt;0)+01_Parametres!$B$6*(F820&gt;0))),IF(01_Parametres!$B$8=0,"",(01_Parametres!$B$4*D820+01_Parametres!$B$5*E820+01_Parametres!$B$6*F820)/01_Parametres!$B$8)))</x:f>
      </x:c>
      <x:c r="H820">
        <x:f>IFERROR(VLOOKUP(C820,02_Referentiels!$A$20:$D$99,3,FALSE),"")</x:f>
      </x:c>
      <x:c r="I820">
        <x:f>IFERROR(VLOOKUP(B820,02_Referentiels!$A$5:$C$16,2,FALSE),"")</x:f>
      </x:c>
      <x:c r="J820">
        <x:f>IF(A820="","",IF(OR(D820="",E820="",F820=""),1,IF(OR(D820&lt;0,D820&gt;3,E820&lt;0,E820&gt;3,F820&lt;0,F820&gt;3),1,0)))</x:f>
      </x:c>
      <x:c r="K820">
        <x:f>IF(A820="","",IF(G820="",1,0))</x:f>
      </x:c>
      <x:c r="L820">
        <x:f>IF(A820="","",IF(COUNTIFS($A$5:$A$2004,A820,$C$5:$C$2004,C820)&gt;1,1,0))</x:f>
      </x:c>
    </x:row>
    <x:row r="821">
      <x:c r="A821" s="8" t="n"/>
      <x:c r="B821" s="8" t="n"/>
      <x:c r="C821" s="8" t="n"/>
      <x:c r="D821" s="8" t="n"/>
      <x:c r="E821" s="8" t="n"/>
      <x:c r="F821" s="8" t="n"/>
      <x:c r="G821" s="7">
        <x:f>IF(A821="","",IF(01_Parametres!$B$11="Oui",IF((01_Parametres!$B$4*(D821&gt;0)+01_Parametres!$B$5*(E821&gt;0)+01_Parametres!$B$6*(F821&gt;0))=0,"",(01_Parametres!$B$4*IF(D821&gt;0,D821,0)+01_Parametres!$B$5*IF(E821&gt;0,E821,0)+01_Parametres!$B$6*IF(F821&gt;0,F821,0))/(01_Parametres!$B$4*(D821&gt;0)+01_Parametres!$B$5*(E821&gt;0)+01_Parametres!$B$6*(F821&gt;0))),IF(01_Parametres!$B$8=0,"",(01_Parametres!$B$4*D821+01_Parametres!$B$5*E821+01_Parametres!$B$6*F821)/01_Parametres!$B$8)))</x:f>
      </x:c>
      <x:c r="H821">
        <x:f>IFERROR(VLOOKUP(C821,02_Referentiels!$A$20:$D$99,3,FALSE),"")</x:f>
      </x:c>
      <x:c r="I821">
        <x:f>IFERROR(VLOOKUP(B821,02_Referentiels!$A$5:$C$16,2,FALSE),"")</x:f>
      </x:c>
      <x:c r="J821">
        <x:f>IF(A821="","",IF(OR(D821="",E821="",F821=""),1,IF(OR(D821&lt;0,D821&gt;3,E821&lt;0,E821&gt;3,F821&lt;0,F821&gt;3),1,0)))</x:f>
      </x:c>
      <x:c r="K821">
        <x:f>IF(A821="","",IF(G821="",1,0))</x:f>
      </x:c>
      <x:c r="L821">
        <x:f>IF(A821="","",IF(COUNTIFS($A$5:$A$2004,A821,$C$5:$C$2004,C821)&gt;1,1,0))</x:f>
      </x:c>
    </x:row>
    <x:row r="822">
      <x:c r="A822" s="8" t="n"/>
      <x:c r="B822" s="8" t="n"/>
      <x:c r="C822" s="8" t="n"/>
      <x:c r="D822" s="8" t="n"/>
      <x:c r="E822" s="8" t="n"/>
      <x:c r="F822" s="8" t="n"/>
      <x:c r="G822" s="7">
        <x:f>IF(A822="","",IF(01_Parametres!$B$11="Oui",IF((01_Parametres!$B$4*(D822&gt;0)+01_Parametres!$B$5*(E822&gt;0)+01_Parametres!$B$6*(F822&gt;0))=0,"",(01_Parametres!$B$4*IF(D822&gt;0,D822,0)+01_Parametres!$B$5*IF(E822&gt;0,E822,0)+01_Parametres!$B$6*IF(F822&gt;0,F822,0))/(01_Parametres!$B$4*(D822&gt;0)+01_Parametres!$B$5*(E822&gt;0)+01_Parametres!$B$6*(F822&gt;0))),IF(01_Parametres!$B$8=0,"",(01_Parametres!$B$4*D822+01_Parametres!$B$5*E822+01_Parametres!$B$6*F822)/01_Parametres!$B$8)))</x:f>
      </x:c>
      <x:c r="H822">
        <x:f>IFERROR(VLOOKUP(C822,02_Referentiels!$A$20:$D$99,3,FALSE),"")</x:f>
      </x:c>
      <x:c r="I822">
        <x:f>IFERROR(VLOOKUP(B822,02_Referentiels!$A$5:$C$16,2,FALSE),"")</x:f>
      </x:c>
      <x:c r="J822">
        <x:f>IF(A822="","",IF(OR(D822="",E822="",F822=""),1,IF(OR(D822&lt;0,D822&gt;3,E822&lt;0,E822&gt;3,F822&lt;0,F822&gt;3),1,0)))</x:f>
      </x:c>
      <x:c r="K822">
        <x:f>IF(A822="","",IF(G822="",1,0))</x:f>
      </x:c>
      <x:c r="L822">
        <x:f>IF(A822="","",IF(COUNTIFS($A$5:$A$2004,A822,$C$5:$C$2004,C822)&gt;1,1,0))</x:f>
      </x:c>
    </x:row>
    <x:row r="823">
      <x:c r="A823" s="8" t="n"/>
      <x:c r="B823" s="8" t="n"/>
      <x:c r="C823" s="8" t="n"/>
      <x:c r="D823" s="8" t="n"/>
      <x:c r="E823" s="8" t="n"/>
      <x:c r="F823" s="8" t="n"/>
      <x:c r="G823" s="7">
        <x:f>IF(A823="","",IF(01_Parametres!$B$11="Oui",IF((01_Parametres!$B$4*(D823&gt;0)+01_Parametres!$B$5*(E823&gt;0)+01_Parametres!$B$6*(F823&gt;0))=0,"",(01_Parametres!$B$4*IF(D823&gt;0,D823,0)+01_Parametres!$B$5*IF(E823&gt;0,E823,0)+01_Parametres!$B$6*IF(F823&gt;0,F823,0))/(01_Parametres!$B$4*(D823&gt;0)+01_Parametres!$B$5*(E823&gt;0)+01_Parametres!$B$6*(F823&gt;0))),IF(01_Parametres!$B$8=0,"",(01_Parametres!$B$4*D823+01_Parametres!$B$5*E823+01_Parametres!$B$6*F823)/01_Parametres!$B$8)))</x:f>
      </x:c>
      <x:c r="H823">
        <x:f>IFERROR(VLOOKUP(C823,02_Referentiels!$A$20:$D$99,3,FALSE),"")</x:f>
      </x:c>
      <x:c r="I823">
        <x:f>IFERROR(VLOOKUP(B823,02_Referentiels!$A$5:$C$16,2,FALSE),"")</x:f>
      </x:c>
      <x:c r="J823">
        <x:f>IF(A823="","",IF(OR(D823="",E823="",F823=""),1,IF(OR(D823&lt;0,D823&gt;3,E823&lt;0,E823&gt;3,F823&lt;0,F823&gt;3),1,0)))</x:f>
      </x:c>
      <x:c r="K823">
        <x:f>IF(A823="","",IF(G823="",1,0))</x:f>
      </x:c>
      <x:c r="L823">
        <x:f>IF(A823="","",IF(COUNTIFS($A$5:$A$2004,A823,$C$5:$C$2004,C823)&gt;1,1,0))</x:f>
      </x:c>
    </x:row>
    <x:row r="824">
      <x:c r="A824" s="8" t="n"/>
      <x:c r="B824" s="8" t="n"/>
      <x:c r="C824" s="8" t="n"/>
      <x:c r="D824" s="8" t="n"/>
      <x:c r="E824" s="8" t="n"/>
      <x:c r="F824" s="8" t="n"/>
      <x:c r="G824" s="7">
        <x:f>IF(A824="","",IF(01_Parametres!$B$11="Oui",IF((01_Parametres!$B$4*(D824&gt;0)+01_Parametres!$B$5*(E824&gt;0)+01_Parametres!$B$6*(F824&gt;0))=0,"",(01_Parametres!$B$4*IF(D824&gt;0,D824,0)+01_Parametres!$B$5*IF(E824&gt;0,E824,0)+01_Parametres!$B$6*IF(F824&gt;0,F824,0))/(01_Parametres!$B$4*(D824&gt;0)+01_Parametres!$B$5*(E824&gt;0)+01_Parametres!$B$6*(F824&gt;0))),IF(01_Parametres!$B$8=0,"",(01_Parametres!$B$4*D824+01_Parametres!$B$5*E824+01_Parametres!$B$6*F824)/01_Parametres!$B$8)))</x:f>
      </x:c>
      <x:c r="H824">
        <x:f>IFERROR(VLOOKUP(C824,02_Referentiels!$A$20:$D$99,3,FALSE),"")</x:f>
      </x:c>
      <x:c r="I824">
        <x:f>IFERROR(VLOOKUP(B824,02_Referentiels!$A$5:$C$16,2,FALSE),"")</x:f>
      </x:c>
      <x:c r="J824">
        <x:f>IF(A824="","",IF(OR(D824="",E824="",F824=""),1,IF(OR(D824&lt;0,D824&gt;3,E824&lt;0,E824&gt;3,F824&lt;0,F824&gt;3),1,0)))</x:f>
      </x:c>
      <x:c r="K824">
        <x:f>IF(A824="","",IF(G824="",1,0))</x:f>
      </x:c>
      <x:c r="L824">
        <x:f>IF(A824="","",IF(COUNTIFS($A$5:$A$2004,A824,$C$5:$C$2004,C824)&gt;1,1,0))</x:f>
      </x:c>
    </x:row>
    <x:row r="825">
      <x:c r="A825" s="8" t="n"/>
      <x:c r="B825" s="8" t="n"/>
      <x:c r="C825" s="8" t="n"/>
      <x:c r="D825" s="8" t="n"/>
      <x:c r="E825" s="8" t="n"/>
      <x:c r="F825" s="8" t="n"/>
      <x:c r="G825" s="7">
        <x:f>IF(A825="","",IF(01_Parametres!$B$11="Oui",IF((01_Parametres!$B$4*(D825&gt;0)+01_Parametres!$B$5*(E825&gt;0)+01_Parametres!$B$6*(F825&gt;0))=0,"",(01_Parametres!$B$4*IF(D825&gt;0,D825,0)+01_Parametres!$B$5*IF(E825&gt;0,E825,0)+01_Parametres!$B$6*IF(F825&gt;0,F825,0))/(01_Parametres!$B$4*(D825&gt;0)+01_Parametres!$B$5*(E825&gt;0)+01_Parametres!$B$6*(F825&gt;0))),IF(01_Parametres!$B$8=0,"",(01_Parametres!$B$4*D825+01_Parametres!$B$5*E825+01_Parametres!$B$6*F825)/01_Parametres!$B$8)))</x:f>
      </x:c>
      <x:c r="H825">
        <x:f>IFERROR(VLOOKUP(C825,02_Referentiels!$A$20:$D$99,3,FALSE),"")</x:f>
      </x:c>
      <x:c r="I825">
        <x:f>IFERROR(VLOOKUP(B825,02_Referentiels!$A$5:$C$16,2,FALSE),"")</x:f>
      </x:c>
      <x:c r="J825">
        <x:f>IF(A825="","",IF(OR(D825="",E825="",F825=""),1,IF(OR(D825&lt;0,D825&gt;3,E825&lt;0,E825&gt;3,F825&lt;0,F825&gt;3),1,0)))</x:f>
      </x:c>
      <x:c r="K825">
        <x:f>IF(A825="","",IF(G825="",1,0))</x:f>
      </x:c>
      <x:c r="L825">
        <x:f>IF(A825="","",IF(COUNTIFS($A$5:$A$2004,A825,$C$5:$C$2004,C825)&gt;1,1,0))</x:f>
      </x:c>
    </x:row>
    <x:row r="826">
      <x:c r="A826" s="8" t="n"/>
      <x:c r="B826" s="8" t="n"/>
      <x:c r="C826" s="8" t="n"/>
      <x:c r="D826" s="8" t="n"/>
      <x:c r="E826" s="8" t="n"/>
      <x:c r="F826" s="8" t="n"/>
      <x:c r="G826" s="7">
        <x:f>IF(A826="","",IF(01_Parametres!$B$11="Oui",IF((01_Parametres!$B$4*(D826&gt;0)+01_Parametres!$B$5*(E826&gt;0)+01_Parametres!$B$6*(F826&gt;0))=0,"",(01_Parametres!$B$4*IF(D826&gt;0,D826,0)+01_Parametres!$B$5*IF(E826&gt;0,E826,0)+01_Parametres!$B$6*IF(F826&gt;0,F826,0))/(01_Parametres!$B$4*(D826&gt;0)+01_Parametres!$B$5*(E826&gt;0)+01_Parametres!$B$6*(F826&gt;0))),IF(01_Parametres!$B$8=0,"",(01_Parametres!$B$4*D826+01_Parametres!$B$5*E826+01_Parametres!$B$6*F826)/01_Parametres!$B$8)))</x:f>
      </x:c>
      <x:c r="H826">
        <x:f>IFERROR(VLOOKUP(C826,02_Referentiels!$A$20:$D$99,3,FALSE),"")</x:f>
      </x:c>
      <x:c r="I826">
        <x:f>IFERROR(VLOOKUP(B826,02_Referentiels!$A$5:$C$16,2,FALSE),"")</x:f>
      </x:c>
      <x:c r="J826">
        <x:f>IF(A826="","",IF(OR(D826="",E826="",F826=""),1,IF(OR(D826&lt;0,D826&gt;3,E826&lt;0,E826&gt;3,F826&lt;0,F826&gt;3),1,0)))</x:f>
      </x:c>
      <x:c r="K826">
        <x:f>IF(A826="","",IF(G826="",1,0))</x:f>
      </x:c>
      <x:c r="L826">
        <x:f>IF(A826="","",IF(COUNTIFS($A$5:$A$2004,A826,$C$5:$C$2004,C826)&gt;1,1,0))</x:f>
      </x:c>
    </x:row>
    <x:row r="827">
      <x:c r="A827" s="8" t="n"/>
      <x:c r="B827" s="8" t="n"/>
      <x:c r="C827" s="8" t="n"/>
      <x:c r="D827" s="8" t="n"/>
      <x:c r="E827" s="8" t="n"/>
      <x:c r="F827" s="8" t="n"/>
      <x:c r="G827" s="7">
        <x:f>IF(A827="","",IF(01_Parametres!$B$11="Oui",IF((01_Parametres!$B$4*(D827&gt;0)+01_Parametres!$B$5*(E827&gt;0)+01_Parametres!$B$6*(F827&gt;0))=0,"",(01_Parametres!$B$4*IF(D827&gt;0,D827,0)+01_Parametres!$B$5*IF(E827&gt;0,E827,0)+01_Parametres!$B$6*IF(F827&gt;0,F827,0))/(01_Parametres!$B$4*(D827&gt;0)+01_Parametres!$B$5*(E827&gt;0)+01_Parametres!$B$6*(F827&gt;0))),IF(01_Parametres!$B$8=0,"",(01_Parametres!$B$4*D827+01_Parametres!$B$5*E827+01_Parametres!$B$6*F827)/01_Parametres!$B$8)))</x:f>
      </x:c>
      <x:c r="H827">
        <x:f>IFERROR(VLOOKUP(C827,02_Referentiels!$A$20:$D$99,3,FALSE),"")</x:f>
      </x:c>
      <x:c r="I827">
        <x:f>IFERROR(VLOOKUP(B827,02_Referentiels!$A$5:$C$16,2,FALSE),"")</x:f>
      </x:c>
      <x:c r="J827">
        <x:f>IF(A827="","",IF(OR(D827="",E827="",F827=""),1,IF(OR(D827&lt;0,D827&gt;3,E827&lt;0,E827&gt;3,F827&lt;0,F827&gt;3),1,0)))</x:f>
      </x:c>
      <x:c r="K827">
        <x:f>IF(A827="","",IF(G827="",1,0))</x:f>
      </x:c>
      <x:c r="L827">
        <x:f>IF(A827="","",IF(COUNTIFS($A$5:$A$2004,A827,$C$5:$C$2004,C827)&gt;1,1,0))</x:f>
      </x:c>
    </x:row>
    <x:row r="828">
      <x:c r="A828" s="8" t="n"/>
      <x:c r="B828" s="8" t="n"/>
      <x:c r="C828" s="8" t="n"/>
      <x:c r="D828" s="8" t="n"/>
      <x:c r="E828" s="8" t="n"/>
      <x:c r="F828" s="8" t="n"/>
      <x:c r="G828" s="7">
        <x:f>IF(A828="","",IF(01_Parametres!$B$11="Oui",IF((01_Parametres!$B$4*(D828&gt;0)+01_Parametres!$B$5*(E828&gt;0)+01_Parametres!$B$6*(F828&gt;0))=0,"",(01_Parametres!$B$4*IF(D828&gt;0,D828,0)+01_Parametres!$B$5*IF(E828&gt;0,E828,0)+01_Parametres!$B$6*IF(F828&gt;0,F828,0))/(01_Parametres!$B$4*(D828&gt;0)+01_Parametres!$B$5*(E828&gt;0)+01_Parametres!$B$6*(F828&gt;0))),IF(01_Parametres!$B$8=0,"",(01_Parametres!$B$4*D828+01_Parametres!$B$5*E828+01_Parametres!$B$6*F828)/01_Parametres!$B$8)))</x:f>
      </x:c>
      <x:c r="H828">
        <x:f>IFERROR(VLOOKUP(C828,02_Referentiels!$A$20:$D$99,3,FALSE),"")</x:f>
      </x:c>
      <x:c r="I828">
        <x:f>IFERROR(VLOOKUP(B828,02_Referentiels!$A$5:$C$16,2,FALSE),"")</x:f>
      </x:c>
      <x:c r="J828">
        <x:f>IF(A828="","",IF(OR(D828="",E828="",F828=""),1,IF(OR(D828&lt;0,D828&gt;3,E828&lt;0,E828&gt;3,F828&lt;0,F828&gt;3),1,0)))</x:f>
      </x:c>
      <x:c r="K828">
        <x:f>IF(A828="","",IF(G828="",1,0))</x:f>
      </x:c>
      <x:c r="L828">
        <x:f>IF(A828="","",IF(COUNTIFS($A$5:$A$2004,A828,$C$5:$C$2004,C828)&gt;1,1,0))</x:f>
      </x:c>
    </x:row>
    <x:row r="829">
      <x:c r="A829" s="8" t="n"/>
      <x:c r="B829" s="8" t="n"/>
      <x:c r="C829" s="8" t="n"/>
      <x:c r="D829" s="8" t="n"/>
      <x:c r="E829" s="8" t="n"/>
      <x:c r="F829" s="8" t="n"/>
      <x:c r="G829" s="7">
        <x:f>IF(A829="","",IF(01_Parametres!$B$11="Oui",IF((01_Parametres!$B$4*(D829&gt;0)+01_Parametres!$B$5*(E829&gt;0)+01_Parametres!$B$6*(F829&gt;0))=0,"",(01_Parametres!$B$4*IF(D829&gt;0,D829,0)+01_Parametres!$B$5*IF(E829&gt;0,E829,0)+01_Parametres!$B$6*IF(F829&gt;0,F829,0))/(01_Parametres!$B$4*(D829&gt;0)+01_Parametres!$B$5*(E829&gt;0)+01_Parametres!$B$6*(F829&gt;0))),IF(01_Parametres!$B$8=0,"",(01_Parametres!$B$4*D829+01_Parametres!$B$5*E829+01_Parametres!$B$6*F829)/01_Parametres!$B$8)))</x:f>
      </x:c>
      <x:c r="H829">
        <x:f>IFERROR(VLOOKUP(C829,02_Referentiels!$A$20:$D$99,3,FALSE),"")</x:f>
      </x:c>
      <x:c r="I829">
        <x:f>IFERROR(VLOOKUP(B829,02_Referentiels!$A$5:$C$16,2,FALSE),"")</x:f>
      </x:c>
      <x:c r="J829">
        <x:f>IF(A829="","",IF(OR(D829="",E829="",F829=""),1,IF(OR(D829&lt;0,D829&gt;3,E829&lt;0,E829&gt;3,F829&lt;0,F829&gt;3),1,0)))</x:f>
      </x:c>
      <x:c r="K829">
        <x:f>IF(A829="","",IF(G829="",1,0))</x:f>
      </x:c>
      <x:c r="L829">
        <x:f>IF(A829="","",IF(COUNTIFS($A$5:$A$2004,A829,$C$5:$C$2004,C829)&gt;1,1,0))</x:f>
      </x:c>
    </x:row>
    <x:row r="830">
      <x:c r="A830" s="8" t="n"/>
      <x:c r="B830" s="8" t="n"/>
      <x:c r="C830" s="8" t="n"/>
      <x:c r="D830" s="8" t="n"/>
      <x:c r="E830" s="8" t="n"/>
      <x:c r="F830" s="8" t="n"/>
      <x:c r="G830" s="7">
        <x:f>IF(A830="","",IF(01_Parametres!$B$11="Oui",IF((01_Parametres!$B$4*(D830&gt;0)+01_Parametres!$B$5*(E830&gt;0)+01_Parametres!$B$6*(F830&gt;0))=0,"",(01_Parametres!$B$4*IF(D830&gt;0,D830,0)+01_Parametres!$B$5*IF(E830&gt;0,E830,0)+01_Parametres!$B$6*IF(F830&gt;0,F830,0))/(01_Parametres!$B$4*(D830&gt;0)+01_Parametres!$B$5*(E830&gt;0)+01_Parametres!$B$6*(F830&gt;0))),IF(01_Parametres!$B$8=0,"",(01_Parametres!$B$4*D830+01_Parametres!$B$5*E830+01_Parametres!$B$6*F830)/01_Parametres!$B$8)))</x:f>
      </x:c>
      <x:c r="H830">
        <x:f>IFERROR(VLOOKUP(C830,02_Referentiels!$A$20:$D$99,3,FALSE),"")</x:f>
      </x:c>
      <x:c r="I830">
        <x:f>IFERROR(VLOOKUP(B830,02_Referentiels!$A$5:$C$16,2,FALSE),"")</x:f>
      </x:c>
      <x:c r="J830">
        <x:f>IF(A830="","",IF(OR(D830="",E830="",F830=""),1,IF(OR(D830&lt;0,D830&gt;3,E830&lt;0,E830&gt;3,F830&lt;0,F830&gt;3),1,0)))</x:f>
      </x:c>
      <x:c r="K830">
        <x:f>IF(A830="","",IF(G830="",1,0))</x:f>
      </x:c>
      <x:c r="L830">
        <x:f>IF(A830="","",IF(COUNTIFS($A$5:$A$2004,A830,$C$5:$C$2004,C830)&gt;1,1,0))</x:f>
      </x:c>
    </x:row>
    <x:row r="831">
      <x:c r="A831" s="8" t="n"/>
      <x:c r="B831" s="8" t="n"/>
      <x:c r="C831" s="8" t="n"/>
      <x:c r="D831" s="8" t="n"/>
      <x:c r="E831" s="8" t="n"/>
      <x:c r="F831" s="8" t="n"/>
      <x:c r="G831" s="7">
        <x:f>IF(A831="","",IF(01_Parametres!$B$11="Oui",IF((01_Parametres!$B$4*(D831&gt;0)+01_Parametres!$B$5*(E831&gt;0)+01_Parametres!$B$6*(F831&gt;0))=0,"",(01_Parametres!$B$4*IF(D831&gt;0,D831,0)+01_Parametres!$B$5*IF(E831&gt;0,E831,0)+01_Parametres!$B$6*IF(F831&gt;0,F831,0))/(01_Parametres!$B$4*(D831&gt;0)+01_Parametres!$B$5*(E831&gt;0)+01_Parametres!$B$6*(F831&gt;0))),IF(01_Parametres!$B$8=0,"",(01_Parametres!$B$4*D831+01_Parametres!$B$5*E831+01_Parametres!$B$6*F831)/01_Parametres!$B$8)))</x:f>
      </x:c>
      <x:c r="H831">
        <x:f>IFERROR(VLOOKUP(C831,02_Referentiels!$A$20:$D$99,3,FALSE),"")</x:f>
      </x:c>
      <x:c r="I831">
        <x:f>IFERROR(VLOOKUP(B831,02_Referentiels!$A$5:$C$16,2,FALSE),"")</x:f>
      </x:c>
      <x:c r="J831">
        <x:f>IF(A831="","",IF(OR(D831="",E831="",F831=""),1,IF(OR(D831&lt;0,D831&gt;3,E831&lt;0,E831&gt;3,F831&lt;0,F831&gt;3),1,0)))</x:f>
      </x:c>
      <x:c r="K831">
        <x:f>IF(A831="","",IF(G831="",1,0))</x:f>
      </x:c>
      <x:c r="L831">
        <x:f>IF(A831="","",IF(COUNTIFS($A$5:$A$2004,A831,$C$5:$C$2004,C831)&gt;1,1,0))</x:f>
      </x:c>
    </x:row>
    <x:row r="832">
      <x:c r="A832" s="8" t="n"/>
      <x:c r="B832" s="8" t="n"/>
      <x:c r="C832" s="8" t="n"/>
      <x:c r="D832" s="8" t="n"/>
      <x:c r="E832" s="8" t="n"/>
      <x:c r="F832" s="8" t="n"/>
      <x:c r="G832" s="7">
        <x:f>IF(A832="","",IF(01_Parametres!$B$11="Oui",IF((01_Parametres!$B$4*(D832&gt;0)+01_Parametres!$B$5*(E832&gt;0)+01_Parametres!$B$6*(F832&gt;0))=0,"",(01_Parametres!$B$4*IF(D832&gt;0,D832,0)+01_Parametres!$B$5*IF(E832&gt;0,E832,0)+01_Parametres!$B$6*IF(F832&gt;0,F832,0))/(01_Parametres!$B$4*(D832&gt;0)+01_Parametres!$B$5*(E832&gt;0)+01_Parametres!$B$6*(F832&gt;0))),IF(01_Parametres!$B$8=0,"",(01_Parametres!$B$4*D832+01_Parametres!$B$5*E832+01_Parametres!$B$6*F832)/01_Parametres!$B$8)))</x:f>
      </x:c>
      <x:c r="H832">
        <x:f>IFERROR(VLOOKUP(C832,02_Referentiels!$A$20:$D$99,3,FALSE),"")</x:f>
      </x:c>
      <x:c r="I832">
        <x:f>IFERROR(VLOOKUP(B832,02_Referentiels!$A$5:$C$16,2,FALSE),"")</x:f>
      </x:c>
      <x:c r="J832">
        <x:f>IF(A832="","",IF(OR(D832="",E832="",F832=""),1,IF(OR(D832&lt;0,D832&gt;3,E832&lt;0,E832&gt;3,F832&lt;0,F832&gt;3),1,0)))</x:f>
      </x:c>
      <x:c r="K832">
        <x:f>IF(A832="","",IF(G832="",1,0))</x:f>
      </x:c>
      <x:c r="L832">
        <x:f>IF(A832="","",IF(COUNTIFS($A$5:$A$2004,A832,$C$5:$C$2004,C832)&gt;1,1,0))</x:f>
      </x:c>
    </x:row>
    <x:row r="833">
      <x:c r="A833" s="8" t="n"/>
      <x:c r="B833" s="8" t="n"/>
      <x:c r="C833" s="8" t="n"/>
      <x:c r="D833" s="8" t="n"/>
      <x:c r="E833" s="8" t="n"/>
      <x:c r="F833" s="8" t="n"/>
      <x:c r="G833" s="7">
        <x:f>IF(A833="","",IF(01_Parametres!$B$11="Oui",IF((01_Parametres!$B$4*(D833&gt;0)+01_Parametres!$B$5*(E833&gt;0)+01_Parametres!$B$6*(F833&gt;0))=0,"",(01_Parametres!$B$4*IF(D833&gt;0,D833,0)+01_Parametres!$B$5*IF(E833&gt;0,E833,0)+01_Parametres!$B$6*IF(F833&gt;0,F833,0))/(01_Parametres!$B$4*(D833&gt;0)+01_Parametres!$B$5*(E833&gt;0)+01_Parametres!$B$6*(F833&gt;0))),IF(01_Parametres!$B$8=0,"",(01_Parametres!$B$4*D833+01_Parametres!$B$5*E833+01_Parametres!$B$6*F833)/01_Parametres!$B$8)))</x:f>
      </x:c>
      <x:c r="H833">
        <x:f>IFERROR(VLOOKUP(C833,02_Referentiels!$A$20:$D$99,3,FALSE),"")</x:f>
      </x:c>
      <x:c r="I833">
        <x:f>IFERROR(VLOOKUP(B833,02_Referentiels!$A$5:$C$16,2,FALSE),"")</x:f>
      </x:c>
      <x:c r="J833">
        <x:f>IF(A833="","",IF(OR(D833="",E833="",F833=""),1,IF(OR(D833&lt;0,D833&gt;3,E833&lt;0,E833&gt;3,F833&lt;0,F833&gt;3),1,0)))</x:f>
      </x:c>
      <x:c r="K833">
        <x:f>IF(A833="","",IF(G833="",1,0))</x:f>
      </x:c>
      <x:c r="L833">
        <x:f>IF(A833="","",IF(COUNTIFS($A$5:$A$2004,A833,$C$5:$C$2004,C833)&gt;1,1,0))</x:f>
      </x:c>
    </x:row>
    <x:row r="834">
      <x:c r="A834" s="8" t="n"/>
      <x:c r="B834" s="8" t="n"/>
      <x:c r="C834" s="8" t="n"/>
      <x:c r="D834" s="8" t="n"/>
      <x:c r="E834" s="8" t="n"/>
      <x:c r="F834" s="8" t="n"/>
      <x:c r="G834" s="7">
        <x:f>IF(A834="","",IF(01_Parametres!$B$11="Oui",IF((01_Parametres!$B$4*(D834&gt;0)+01_Parametres!$B$5*(E834&gt;0)+01_Parametres!$B$6*(F834&gt;0))=0,"",(01_Parametres!$B$4*IF(D834&gt;0,D834,0)+01_Parametres!$B$5*IF(E834&gt;0,E834,0)+01_Parametres!$B$6*IF(F834&gt;0,F834,0))/(01_Parametres!$B$4*(D834&gt;0)+01_Parametres!$B$5*(E834&gt;0)+01_Parametres!$B$6*(F834&gt;0))),IF(01_Parametres!$B$8=0,"",(01_Parametres!$B$4*D834+01_Parametres!$B$5*E834+01_Parametres!$B$6*F834)/01_Parametres!$B$8)))</x:f>
      </x:c>
      <x:c r="H834">
        <x:f>IFERROR(VLOOKUP(C834,02_Referentiels!$A$20:$D$99,3,FALSE),"")</x:f>
      </x:c>
      <x:c r="I834">
        <x:f>IFERROR(VLOOKUP(B834,02_Referentiels!$A$5:$C$16,2,FALSE),"")</x:f>
      </x:c>
      <x:c r="J834">
        <x:f>IF(A834="","",IF(OR(D834="",E834="",F834=""),1,IF(OR(D834&lt;0,D834&gt;3,E834&lt;0,E834&gt;3,F834&lt;0,F834&gt;3),1,0)))</x:f>
      </x:c>
      <x:c r="K834">
        <x:f>IF(A834="","",IF(G834="",1,0))</x:f>
      </x:c>
      <x:c r="L834">
        <x:f>IF(A834="","",IF(COUNTIFS($A$5:$A$2004,A834,$C$5:$C$2004,C834)&gt;1,1,0))</x:f>
      </x:c>
    </x:row>
    <x:row r="835">
      <x:c r="A835" s="8" t="n"/>
      <x:c r="B835" s="8" t="n"/>
      <x:c r="C835" s="8" t="n"/>
      <x:c r="D835" s="8" t="n"/>
      <x:c r="E835" s="8" t="n"/>
      <x:c r="F835" s="8" t="n"/>
      <x:c r="G835" s="7">
        <x:f>IF(A835="","",IF(01_Parametres!$B$11="Oui",IF((01_Parametres!$B$4*(D835&gt;0)+01_Parametres!$B$5*(E835&gt;0)+01_Parametres!$B$6*(F835&gt;0))=0,"",(01_Parametres!$B$4*IF(D835&gt;0,D835,0)+01_Parametres!$B$5*IF(E835&gt;0,E835,0)+01_Parametres!$B$6*IF(F835&gt;0,F835,0))/(01_Parametres!$B$4*(D835&gt;0)+01_Parametres!$B$5*(E835&gt;0)+01_Parametres!$B$6*(F835&gt;0))),IF(01_Parametres!$B$8=0,"",(01_Parametres!$B$4*D835+01_Parametres!$B$5*E835+01_Parametres!$B$6*F835)/01_Parametres!$B$8)))</x:f>
      </x:c>
      <x:c r="H835">
        <x:f>IFERROR(VLOOKUP(C835,02_Referentiels!$A$20:$D$99,3,FALSE),"")</x:f>
      </x:c>
      <x:c r="I835">
        <x:f>IFERROR(VLOOKUP(B835,02_Referentiels!$A$5:$C$16,2,FALSE),"")</x:f>
      </x:c>
      <x:c r="J835">
        <x:f>IF(A835="","",IF(OR(D835="",E835="",F835=""),1,IF(OR(D835&lt;0,D835&gt;3,E835&lt;0,E835&gt;3,F835&lt;0,F835&gt;3),1,0)))</x:f>
      </x:c>
      <x:c r="K835">
        <x:f>IF(A835="","",IF(G835="",1,0))</x:f>
      </x:c>
      <x:c r="L835">
        <x:f>IF(A835="","",IF(COUNTIFS($A$5:$A$2004,A835,$C$5:$C$2004,C835)&gt;1,1,0))</x:f>
      </x:c>
    </x:row>
    <x:row r="836">
      <x:c r="A836" s="8" t="n"/>
      <x:c r="B836" s="8" t="n"/>
      <x:c r="C836" s="8" t="n"/>
      <x:c r="D836" s="8" t="n"/>
      <x:c r="E836" s="8" t="n"/>
      <x:c r="F836" s="8" t="n"/>
      <x:c r="G836" s="7">
        <x:f>IF(A836="","",IF(01_Parametres!$B$11="Oui",IF((01_Parametres!$B$4*(D836&gt;0)+01_Parametres!$B$5*(E836&gt;0)+01_Parametres!$B$6*(F836&gt;0))=0,"",(01_Parametres!$B$4*IF(D836&gt;0,D836,0)+01_Parametres!$B$5*IF(E836&gt;0,E836,0)+01_Parametres!$B$6*IF(F836&gt;0,F836,0))/(01_Parametres!$B$4*(D836&gt;0)+01_Parametres!$B$5*(E836&gt;0)+01_Parametres!$B$6*(F836&gt;0))),IF(01_Parametres!$B$8=0,"",(01_Parametres!$B$4*D836+01_Parametres!$B$5*E836+01_Parametres!$B$6*F836)/01_Parametres!$B$8)))</x:f>
      </x:c>
      <x:c r="H836">
        <x:f>IFERROR(VLOOKUP(C836,02_Referentiels!$A$20:$D$99,3,FALSE),"")</x:f>
      </x:c>
      <x:c r="I836">
        <x:f>IFERROR(VLOOKUP(B836,02_Referentiels!$A$5:$C$16,2,FALSE),"")</x:f>
      </x:c>
      <x:c r="J836">
        <x:f>IF(A836="","",IF(OR(D836="",E836="",F836=""),1,IF(OR(D836&lt;0,D836&gt;3,E836&lt;0,E836&gt;3,F836&lt;0,F836&gt;3),1,0)))</x:f>
      </x:c>
      <x:c r="K836">
        <x:f>IF(A836="","",IF(G836="",1,0))</x:f>
      </x:c>
      <x:c r="L836">
        <x:f>IF(A836="","",IF(COUNTIFS($A$5:$A$2004,A836,$C$5:$C$2004,C836)&gt;1,1,0))</x:f>
      </x:c>
    </x:row>
    <x:row r="837">
      <x:c r="A837" s="8" t="n"/>
      <x:c r="B837" s="8" t="n"/>
      <x:c r="C837" s="8" t="n"/>
      <x:c r="D837" s="8" t="n"/>
      <x:c r="E837" s="8" t="n"/>
      <x:c r="F837" s="8" t="n"/>
      <x:c r="G837" s="7">
        <x:f>IF(A837="","",IF(01_Parametres!$B$11="Oui",IF((01_Parametres!$B$4*(D837&gt;0)+01_Parametres!$B$5*(E837&gt;0)+01_Parametres!$B$6*(F837&gt;0))=0,"",(01_Parametres!$B$4*IF(D837&gt;0,D837,0)+01_Parametres!$B$5*IF(E837&gt;0,E837,0)+01_Parametres!$B$6*IF(F837&gt;0,F837,0))/(01_Parametres!$B$4*(D837&gt;0)+01_Parametres!$B$5*(E837&gt;0)+01_Parametres!$B$6*(F837&gt;0))),IF(01_Parametres!$B$8=0,"",(01_Parametres!$B$4*D837+01_Parametres!$B$5*E837+01_Parametres!$B$6*F837)/01_Parametres!$B$8)))</x:f>
      </x:c>
      <x:c r="H837">
        <x:f>IFERROR(VLOOKUP(C837,02_Referentiels!$A$20:$D$99,3,FALSE),"")</x:f>
      </x:c>
      <x:c r="I837">
        <x:f>IFERROR(VLOOKUP(B837,02_Referentiels!$A$5:$C$16,2,FALSE),"")</x:f>
      </x:c>
      <x:c r="J837">
        <x:f>IF(A837="","",IF(OR(D837="",E837="",F837=""),1,IF(OR(D837&lt;0,D837&gt;3,E837&lt;0,E837&gt;3,F837&lt;0,F837&gt;3),1,0)))</x:f>
      </x:c>
      <x:c r="K837">
        <x:f>IF(A837="","",IF(G837="",1,0))</x:f>
      </x:c>
      <x:c r="L837">
        <x:f>IF(A837="","",IF(COUNTIFS($A$5:$A$2004,A837,$C$5:$C$2004,C837)&gt;1,1,0))</x:f>
      </x:c>
    </x:row>
    <x:row r="838">
      <x:c r="A838" s="8" t="n"/>
      <x:c r="B838" s="8" t="n"/>
      <x:c r="C838" s="8" t="n"/>
      <x:c r="D838" s="8" t="n"/>
      <x:c r="E838" s="8" t="n"/>
      <x:c r="F838" s="8" t="n"/>
      <x:c r="G838" s="7">
        <x:f>IF(A838="","",IF(01_Parametres!$B$11="Oui",IF((01_Parametres!$B$4*(D838&gt;0)+01_Parametres!$B$5*(E838&gt;0)+01_Parametres!$B$6*(F838&gt;0))=0,"",(01_Parametres!$B$4*IF(D838&gt;0,D838,0)+01_Parametres!$B$5*IF(E838&gt;0,E838,0)+01_Parametres!$B$6*IF(F838&gt;0,F838,0))/(01_Parametres!$B$4*(D838&gt;0)+01_Parametres!$B$5*(E838&gt;0)+01_Parametres!$B$6*(F838&gt;0))),IF(01_Parametres!$B$8=0,"",(01_Parametres!$B$4*D838+01_Parametres!$B$5*E838+01_Parametres!$B$6*F838)/01_Parametres!$B$8)))</x:f>
      </x:c>
      <x:c r="H838">
        <x:f>IFERROR(VLOOKUP(C838,02_Referentiels!$A$20:$D$99,3,FALSE),"")</x:f>
      </x:c>
      <x:c r="I838">
        <x:f>IFERROR(VLOOKUP(B838,02_Referentiels!$A$5:$C$16,2,FALSE),"")</x:f>
      </x:c>
      <x:c r="J838">
        <x:f>IF(A838="","",IF(OR(D838="",E838="",F838=""),1,IF(OR(D838&lt;0,D838&gt;3,E838&lt;0,E838&gt;3,F838&lt;0,F838&gt;3),1,0)))</x:f>
      </x:c>
      <x:c r="K838">
        <x:f>IF(A838="","",IF(G838="",1,0))</x:f>
      </x:c>
      <x:c r="L838">
        <x:f>IF(A838="","",IF(COUNTIFS($A$5:$A$2004,A838,$C$5:$C$2004,C838)&gt;1,1,0))</x:f>
      </x:c>
    </x:row>
    <x:row r="839">
      <x:c r="A839" s="8" t="n"/>
      <x:c r="B839" s="8" t="n"/>
      <x:c r="C839" s="8" t="n"/>
      <x:c r="D839" s="8" t="n"/>
      <x:c r="E839" s="8" t="n"/>
      <x:c r="F839" s="8" t="n"/>
      <x:c r="G839" s="7">
        <x:f>IF(A839="","",IF(01_Parametres!$B$11="Oui",IF((01_Parametres!$B$4*(D839&gt;0)+01_Parametres!$B$5*(E839&gt;0)+01_Parametres!$B$6*(F839&gt;0))=0,"",(01_Parametres!$B$4*IF(D839&gt;0,D839,0)+01_Parametres!$B$5*IF(E839&gt;0,E839,0)+01_Parametres!$B$6*IF(F839&gt;0,F839,0))/(01_Parametres!$B$4*(D839&gt;0)+01_Parametres!$B$5*(E839&gt;0)+01_Parametres!$B$6*(F839&gt;0))),IF(01_Parametres!$B$8=0,"",(01_Parametres!$B$4*D839+01_Parametres!$B$5*E839+01_Parametres!$B$6*F839)/01_Parametres!$B$8)))</x:f>
      </x:c>
      <x:c r="H839">
        <x:f>IFERROR(VLOOKUP(C839,02_Referentiels!$A$20:$D$99,3,FALSE),"")</x:f>
      </x:c>
      <x:c r="I839">
        <x:f>IFERROR(VLOOKUP(B839,02_Referentiels!$A$5:$C$16,2,FALSE),"")</x:f>
      </x:c>
      <x:c r="J839">
        <x:f>IF(A839="","",IF(OR(D839="",E839="",F839=""),1,IF(OR(D839&lt;0,D839&gt;3,E839&lt;0,E839&gt;3,F839&lt;0,F839&gt;3),1,0)))</x:f>
      </x:c>
      <x:c r="K839">
        <x:f>IF(A839="","",IF(G839="",1,0))</x:f>
      </x:c>
      <x:c r="L839">
        <x:f>IF(A839="","",IF(COUNTIFS($A$5:$A$2004,A839,$C$5:$C$2004,C839)&gt;1,1,0))</x:f>
      </x:c>
    </x:row>
    <x:row r="840">
      <x:c r="A840" s="8" t="n"/>
      <x:c r="B840" s="8" t="n"/>
      <x:c r="C840" s="8" t="n"/>
      <x:c r="D840" s="8" t="n"/>
      <x:c r="E840" s="8" t="n"/>
      <x:c r="F840" s="8" t="n"/>
      <x:c r="G840" s="7">
        <x:f>IF(A840="","",IF(01_Parametres!$B$11="Oui",IF((01_Parametres!$B$4*(D840&gt;0)+01_Parametres!$B$5*(E840&gt;0)+01_Parametres!$B$6*(F840&gt;0))=0,"",(01_Parametres!$B$4*IF(D840&gt;0,D840,0)+01_Parametres!$B$5*IF(E840&gt;0,E840,0)+01_Parametres!$B$6*IF(F840&gt;0,F840,0))/(01_Parametres!$B$4*(D840&gt;0)+01_Parametres!$B$5*(E840&gt;0)+01_Parametres!$B$6*(F840&gt;0))),IF(01_Parametres!$B$8=0,"",(01_Parametres!$B$4*D840+01_Parametres!$B$5*E840+01_Parametres!$B$6*F840)/01_Parametres!$B$8)))</x:f>
      </x:c>
      <x:c r="H840">
        <x:f>IFERROR(VLOOKUP(C840,02_Referentiels!$A$20:$D$99,3,FALSE),"")</x:f>
      </x:c>
      <x:c r="I840">
        <x:f>IFERROR(VLOOKUP(B840,02_Referentiels!$A$5:$C$16,2,FALSE),"")</x:f>
      </x:c>
      <x:c r="J840">
        <x:f>IF(A840="","",IF(OR(D840="",E840="",F840=""),1,IF(OR(D840&lt;0,D840&gt;3,E840&lt;0,E840&gt;3,F840&lt;0,F840&gt;3),1,0)))</x:f>
      </x:c>
      <x:c r="K840">
        <x:f>IF(A840="","",IF(G840="",1,0))</x:f>
      </x:c>
      <x:c r="L840">
        <x:f>IF(A840="","",IF(COUNTIFS($A$5:$A$2004,A840,$C$5:$C$2004,C840)&gt;1,1,0))</x:f>
      </x:c>
    </x:row>
    <x:row r="841">
      <x:c r="A841" s="8" t="n"/>
      <x:c r="B841" s="8" t="n"/>
      <x:c r="C841" s="8" t="n"/>
      <x:c r="D841" s="8" t="n"/>
      <x:c r="E841" s="8" t="n"/>
      <x:c r="F841" s="8" t="n"/>
      <x:c r="G841" s="7">
        <x:f>IF(A841="","",IF(01_Parametres!$B$11="Oui",IF((01_Parametres!$B$4*(D841&gt;0)+01_Parametres!$B$5*(E841&gt;0)+01_Parametres!$B$6*(F841&gt;0))=0,"",(01_Parametres!$B$4*IF(D841&gt;0,D841,0)+01_Parametres!$B$5*IF(E841&gt;0,E841,0)+01_Parametres!$B$6*IF(F841&gt;0,F841,0))/(01_Parametres!$B$4*(D841&gt;0)+01_Parametres!$B$5*(E841&gt;0)+01_Parametres!$B$6*(F841&gt;0))),IF(01_Parametres!$B$8=0,"",(01_Parametres!$B$4*D841+01_Parametres!$B$5*E841+01_Parametres!$B$6*F841)/01_Parametres!$B$8)))</x:f>
      </x:c>
      <x:c r="H841">
        <x:f>IFERROR(VLOOKUP(C841,02_Referentiels!$A$20:$D$99,3,FALSE),"")</x:f>
      </x:c>
      <x:c r="I841">
        <x:f>IFERROR(VLOOKUP(B841,02_Referentiels!$A$5:$C$16,2,FALSE),"")</x:f>
      </x:c>
      <x:c r="J841">
        <x:f>IF(A841="","",IF(OR(D841="",E841="",F841=""),1,IF(OR(D841&lt;0,D841&gt;3,E841&lt;0,E841&gt;3,F841&lt;0,F841&gt;3),1,0)))</x:f>
      </x:c>
      <x:c r="K841">
        <x:f>IF(A841="","",IF(G841="",1,0))</x:f>
      </x:c>
      <x:c r="L841">
        <x:f>IF(A841="","",IF(COUNTIFS($A$5:$A$2004,A841,$C$5:$C$2004,C841)&gt;1,1,0))</x:f>
      </x:c>
    </x:row>
    <x:row r="842">
      <x:c r="A842" s="8" t="n"/>
      <x:c r="B842" s="8" t="n"/>
      <x:c r="C842" s="8" t="n"/>
      <x:c r="D842" s="8" t="n"/>
      <x:c r="E842" s="8" t="n"/>
      <x:c r="F842" s="8" t="n"/>
      <x:c r="G842" s="7">
        <x:f>IF(A842="","",IF(01_Parametres!$B$11="Oui",IF((01_Parametres!$B$4*(D842&gt;0)+01_Parametres!$B$5*(E842&gt;0)+01_Parametres!$B$6*(F842&gt;0))=0,"",(01_Parametres!$B$4*IF(D842&gt;0,D842,0)+01_Parametres!$B$5*IF(E842&gt;0,E842,0)+01_Parametres!$B$6*IF(F842&gt;0,F842,0))/(01_Parametres!$B$4*(D842&gt;0)+01_Parametres!$B$5*(E842&gt;0)+01_Parametres!$B$6*(F842&gt;0))),IF(01_Parametres!$B$8=0,"",(01_Parametres!$B$4*D842+01_Parametres!$B$5*E842+01_Parametres!$B$6*F842)/01_Parametres!$B$8)))</x:f>
      </x:c>
      <x:c r="H842">
        <x:f>IFERROR(VLOOKUP(C842,02_Referentiels!$A$20:$D$99,3,FALSE),"")</x:f>
      </x:c>
      <x:c r="I842">
        <x:f>IFERROR(VLOOKUP(B842,02_Referentiels!$A$5:$C$16,2,FALSE),"")</x:f>
      </x:c>
      <x:c r="J842">
        <x:f>IF(A842="","",IF(OR(D842="",E842="",F842=""),1,IF(OR(D842&lt;0,D842&gt;3,E842&lt;0,E842&gt;3,F842&lt;0,F842&gt;3),1,0)))</x:f>
      </x:c>
      <x:c r="K842">
        <x:f>IF(A842="","",IF(G842="",1,0))</x:f>
      </x:c>
      <x:c r="L842">
        <x:f>IF(A842="","",IF(COUNTIFS($A$5:$A$2004,A842,$C$5:$C$2004,C842)&gt;1,1,0))</x:f>
      </x:c>
    </x:row>
    <x:row r="843">
      <x:c r="A843" s="8" t="n"/>
      <x:c r="B843" s="8" t="n"/>
      <x:c r="C843" s="8" t="n"/>
      <x:c r="D843" s="8" t="n"/>
      <x:c r="E843" s="8" t="n"/>
      <x:c r="F843" s="8" t="n"/>
      <x:c r="G843" s="7">
        <x:f>IF(A843="","",IF(01_Parametres!$B$11="Oui",IF((01_Parametres!$B$4*(D843&gt;0)+01_Parametres!$B$5*(E843&gt;0)+01_Parametres!$B$6*(F843&gt;0))=0,"",(01_Parametres!$B$4*IF(D843&gt;0,D843,0)+01_Parametres!$B$5*IF(E843&gt;0,E843,0)+01_Parametres!$B$6*IF(F843&gt;0,F843,0))/(01_Parametres!$B$4*(D843&gt;0)+01_Parametres!$B$5*(E843&gt;0)+01_Parametres!$B$6*(F843&gt;0))),IF(01_Parametres!$B$8=0,"",(01_Parametres!$B$4*D843+01_Parametres!$B$5*E843+01_Parametres!$B$6*F843)/01_Parametres!$B$8)))</x:f>
      </x:c>
      <x:c r="H843">
        <x:f>IFERROR(VLOOKUP(C843,02_Referentiels!$A$20:$D$99,3,FALSE),"")</x:f>
      </x:c>
      <x:c r="I843">
        <x:f>IFERROR(VLOOKUP(B843,02_Referentiels!$A$5:$C$16,2,FALSE),"")</x:f>
      </x:c>
      <x:c r="J843">
        <x:f>IF(A843="","",IF(OR(D843="",E843="",F843=""),1,IF(OR(D843&lt;0,D843&gt;3,E843&lt;0,E843&gt;3,F843&lt;0,F843&gt;3),1,0)))</x:f>
      </x:c>
      <x:c r="K843">
        <x:f>IF(A843="","",IF(G843="",1,0))</x:f>
      </x:c>
      <x:c r="L843">
        <x:f>IF(A843="","",IF(COUNTIFS($A$5:$A$2004,A843,$C$5:$C$2004,C843)&gt;1,1,0))</x:f>
      </x:c>
    </x:row>
    <x:row r="844">
      <x:c r="A844" s="8" t="n"/>
      <x:c r="B844" s="8" t="n"/>
      <x:c r="C844" s="8" t="n"/>
      <x:c r="D844" s="8" t="n"/>
      <x:c r="E844" s="8" t="n"/>
      <x:c r="F844" s="8" t="n"/>
      <x:c r="G844" s="7">
        <x:f>IF(A844="","",IF(01_Parametres!$B$11="Oui",IF((01_Parametres!$B$4*(D844&gt;0)+01_Parametres!$B$5*(E844&gt;0)+01_Parametres!$B$6*(F844&gt;0))=0,"",(01_Parametres!$B$4*IF(D844&gt;0,D844,0)+01_Parametres!$B$5*IF(E844&gt;0,E844,0)+01_Parametres!$B$6*IF(F844&gt;0,F844,0))/(01_Parametres!$B$4*(D844&gt;0)+01_Parametres!$B$5*(E844&gt;0)+01_Parametres!$B$6*(F844&gt;0))),IF(01_Parametres!$B$8=0,"",(01_Parametres!$B$4*D844+01_Parametres!$B$5*E844+01_Parametres!$B$6*F844)/01_Parametres!$B$8)))</x:f>
      </x:c>
      <x:c r="H844">
        <x:f>IFERROR(VLOOKUP(C844,02_Referentiels!$A$20:$D$99,3,FALSE),"")</x:f>
      </x:c>
      <x:c r="I844">
        <x:f>IFERROR(VLOOKUP(B844,02_Referentiels!$A$5:$C$16,2,FALSE),"")</x:f>
      </x:c>
      <x:c r="J844">
        <x:f>IF(A844="","",IF(OR(D844="",E844="",F844=""),1,IF(OR(D844&lt;0,D844&gt;3,E844&lt;0,E844&gt;3,F844&lt;0,F844&gt;3),1,0)))</x:f>
      </x:c>
      <x:c r="K844">
        <x:f>IF(A844="","",IF(G844="",1,0))</x:f>
      </x:c>
      <x:c r="L844">
        <x:f>IF(A844="","",IF(COUNTIFS($A$5:$A$2004,A844,$C$5:$C$2004,C844)&gt;1,1,0))</x:f>
      </x:c>
    </x:row>
    <x:row r="845">
      <x:c r="A845" s="8" t="n"/>
      <x:c r="B845" s="8" t="n"/>
      <x:c r="C845" s="8" t="n"/>
      <x:c r="D845" s="8" t="n"/>
      <x:c r="E845" s="8" t="n"/>
      <x:c r="F845" s="8" t="n"/>
      <x:c r="G845" s="7">
        <x:f>IF(A845="","",IF(01_Parametres!$B$11="Oui",IF((01_Parametres!$B$4*(D845&gt;0)+01_Parametres!$B$5*(E845&gt;0)+01_Parametres!$B$6*(F845&gt;0))=0,"",(01_Parametres!$B$4*IF(D845&gt;0,D845,0)+01_Parametres!$B$5*IF(E845&gt;0,E845,0)+01_Parametres!$B$6*IF(F845&gt;0,F845,0))/(01_Parametres!$B$4*(D845&gt;0)+01_Parametres!$B$5*(E845&gt;0)+01_Parametres!$B$6*(F845&gt;0))),IF(01_Parametres!$B$8=0,"",(01_Parametres!$B$4*D845+01_Parametres!$B$5*E845+01_Parametres!$B$6*F845)/01_Parametres!$B$8)))</x:f>
      </x:c>
      <x:c r="H845">
        <x:f>IFERROR(VLOOKUP(C845,02_Referentiels!$A$20:$D$99,3,FALSE),"")</x:f>
      </x:c>
      <x:c r="I845">
        <x:f>IFERROR(VLOOKUP(B845,02_Referentiels!$A$5:$C$16,2,FALSE),"")</x:f>
      </x:c>
      <x:c r="J845">
        <x:f>IF(A845="","",IF(OR(D845="",E845="",F845=""),1,IF(OR(D845&lt;0,D845&gt;3,E845&lt;0,E845&gt;3,F845&lt;0,F845&gt;3),1,0)))</x:f>
      </x:c>
      <x:c r="K845">
        <x:f>IF(A845="","",IF(G845="",1,0))</x:f>
      </x:c>
      <x:c r="L845">
        <x:f>IF(A845="","",IF(COUNTIFS($A$5:$A$2004,A845,$C$5:$C$2004,C845)&gt;1,1,0))</x:f>
      </x:c>
    </x:row>
    <x:row r="846">
      <x:c r="A846" s="8" t="n"/>
      <x:c r="B846" s="8" t="n"/>
      <x:c r="C846" s="8" t="n"/>
      <x:c r="D846" s="8" t="n"/>
      <x:c r="E846" s="8" t="n"/>
      <x:c r="F846" s="8" t="n"/>
      <x:c r="G846" s="7">
        <x:f>IF(A846="","",IF(01_Parametres!$B$11="Oui",IF((01_Parametres!$B$4*(D846&gt;0)+01_Parametres!$B$5*(E846&gt;0)+01_Parametres!$B$6*(F846&gt;0))=0,"",(01_Parametres!$B$4*IF(D846&gt;0,D846,0)+01_Parametres!$B$5*IF(E846&gt;0,E846,0)+01_Parametres!$B$6*IF(F846&gt;0,F846,0))/(01_Parametres!$B$4*(D846&gt;0)+01_Parametres!$B$5*(E846&gt;0)+01_Parametres!$B$6*(F846&gt;0))),IF(01_Parametres!$B$8=0,"",(01_Parametres!$B$4*D846+01_Parametres!$B$5*E846+01_Parametres!$B$6*F846)/01_Parametres!$B$8)))</x:f>
      </x:c>
      <x:c r="H846">
        <x:f>IFERROR(VLOOKUP(C846,02_Referentiels!$A$20:$D$99,3,FALSE),"")</x:f>
      </x:c>
      <x:c r="I846">
        <x:f>IFERROR(VLOOKUP(B846,02_Referentiels!$A$5:$C$16,2,FALSE),"")</x:f>
      </x:c>
      <x:c r="J846">
        <x:f>IF(A846="","",IF(OR(D846="",E846="",F846=""),1,IF(OR(D846&lt;0,D846&gt;3,E846&lt;0,E846&gt;3,F846&lt;0,F846&gt;3),1,0)))</x:f>
      </x:c>
      <x:c r="K846">
        <x:f>IF(A846="","",IF(G846="",1,0))</x:f>
      </x:c>
      <x:c r="L846">
        <x:f>IF(A846="","",IF(COUNTIFS($A$5:$A$2004,A846,$C$5:$C$2004,C846)&gt;1,1,0))</x:f>
      </x:c>
    </x:row>
    <x:row r="847">
      <x:c r="A847" s="8" t="n"/>
      <x:c r="B847" s="8" t="n"/>
      <x:c r="C847" s="8" t="n"/>
      <x:c r="D847" s="8" t="n"/>
      <x:c r="E847" s="8" t="n"/>
      <x:c r="F847" s="8" t="n"/>
      <x:c r="G847" s="7">
        <x:f>IF(A847="","",IF(01_Parametres!$B$11="Oui",IF((01_Parametres!$B$4*(D847&gt;0)+01_Parametres!$B$5*(E847&gt;0)+01_Parametres!$B$6*(F847&gt;0))=0,"",(01_Parametres!$B$4*IF(D847&gt;0,D847,0)+01_Parametres!$B$5*IF(E847&gt;0,E847,0)+01_Parametres!$B$6*IF(F847&gt;0,F847,0))/(01_Parametres!$B$4*(D847&gt;0)+01_Parametres!$B$5*(E847&gt;0)+01_Parametres!$B$6*(F847&gt;0))),IF(01_Parametres!$B$8=0,"",(01_Parametres!$B$4*D847+01_Parametres!$B$5*E847+01_Parametres!$B$6*F847)/01_Parametres!$B$8)))</x:f>
      </x:c>
      <x:c r="H847">
        <x:f>IFERROR(VLOOKUP(C847,02_Referentiels!$A$20:$D$99,3,FALSE),"")</x:f>
      </x:c>
      <x:c r="I847">
        <x:f>IFERROR(VLOOKUP(B847,02_Referentiels!$A$5:$C$16,2,FALSE),"")</x:f>
      </x:c>
      <x:c r="J847">
        <x:f>IF(A847="","",IF(OR(D847="",E847="",F847=""),1,IF(OR(D847&lt;0,D847&gt;3,E847&lt;0,E847&gt;3,F847&lt;0,F847&gt;3),1,0)))</x:f>
      </x:c>
      <x:c r="K847">
        <x:f>IF(A847="","",IF(G847="",1,0))</x:f>
      </x:c>
      <x:c r="L847">
        <x:f>IF(A847="","",IF(COUNTIFS($A$5:$A$2004,A847,$C$5:$C$2004,C847)&gt;1,1,0))</x:f>
      </x:c>
    </x:row>
    <x:row r="848">
      <x:c r="A848" s="8" t="n"/>
      <x:c r="B848" s="8" t="n"/>
      <x:c r="C848" s="8" t="n"/>
      <x:c r="D848" s="8" t="n"/>
      <x:c r="E848" s="8" t="n"/>
      <x:c r="F848" s="8" t="n"/>
      <x:c r="G848" s="7">
        <x:f>IF(A848="","",IF(01_Parametres!$B$11="Oui",IF((01_Parametres!$B$4*(D848&gt;0)+01_Parametres!$B$5*(E848&gt;0)+01_Parametres!$B$6*(F848&gt;0))=0,"",(01_Parametres!$B$4*IF(D848&gt;0,D848,0)+01_Parametres!$B$5*IF(E848&gt;0,E848,0)+01_Parametres!$B$6*IF(F848&gt;0,F848,0))/(01_Parametres!$B$4*(D848&gt;0)+01_Parametres!$B$5*(E848&gt;0)+01_Parametres!$B$6*(F848&gt;0))),IF(01_Parametres!$B$8=0,"",(01_Parametres!$B$4*D848+01_Parametres!$B$5*E848+01_Parametres!$B$6*F848)/01_Parametres!$B$8)))</x:f>
      </x:c>
      <x:c r="H848">
        <x:f>IFERROR(VLOOKUP(C848,02_Referentiels!$A$20:$D$99,3,FALSE),"")</x:f>
      </x:c>
      <x:c r="I848">
        <x:f>IFERROR(VLOOKUP(B848,02_Referentiels!$A$5:$C$16,2,FALSE),"")</x:f>
      </x:c>
      <x:c r="J848">
        <x:f>IF(A848="","",IF(OR(D848="",E848="",F848=""),1,IF(OR(D848&lt;0,D848&gt;3,E848&lt;0,E848&gt;3,F848&lt;0,F848&gt;3),1,0)))</x:f>
      </x:c>
      <x:c r="K848">
        <x:f>IF(A848="","",IF(G848="",1,0))</x:f>
      </x:c>
      <x:c r="L848">
        <x:f>IF(A848="","",IF(COUNTIFS($A$5:$A$2004,A848,$C$5:$C$2004,C848)&gt;1,1,0))</x:f>
      </x:c>
    </x:row>
    <x:row r="849">
      <x:c r="A849" s="8" t="n"/>
      <x:c r="B849" s="8" t="n"/>
      <x:c r="C849" s="8" t="n"/>
      <x:c r="D849" s="8" t="n"/>
      <x:c r="E849" s="8" t="n"/>
      <x:c r="F849" s="8" t="n"/>
      <x:c r="G849" s="7">
        <x:f>IF(A849="","",IF(01_Parametres!$B$11="Oui",IF((01_Parametres!$B$4*(D849&gt;0)+01_Parametres!$B$5*(E849&gt;0)+01_Parametres!$B$6*(F849&gt;0))=0,"",(01_Parametres!$B$4*IF(D849&gt;0,D849,0)+01_Parametres!$B$5*IF(E849&gt;0,E849,0)+01_Parametres!$B$6*IF(F849&gt;0,F849,0))/(01_Parametres!$B$4*(D849&gt;0)+01_Parametres!$B$5*(E849&gt;0)+01_Parametres!$B$6*(F849&gt;0))),IF(01_Parametres!$B$8=0,"",(01_Parametres!$B$4*D849+01_Parametres!$B$5*E849+01_Parametres!$B$6*F849)/01_Parametres!$B$8)))</x:f>
      </x:c>
      <x:c r="H849">
        <x:f>IFERROR(VLOOKUP(C849,02_Referentiels!$A$20:$D$99,3,FALSE),"")</x:f>
      </x:c>
      <x:c r="I849">
        <x:f>IFERROR(VLOOKUP(B849,02_Referentiels!$A$5:$C$16,2,FALSE),"")</x:f>
      </x:c>
      <x:c r="J849">
        <x:f>IF(A849="","",IF(OR(D849="",E849="",F849=""),1,IF(OR(D849&lt;0,D849&gt;3,E849&lt;0,E849&gt;3,F849&lt;0,F849&gt;3),1,0)))</x:f>
      </x:c>
      <x:c r="K849">
        <x:f>IF(A849="","",IF(G849="",1,0))</x:f>
      </x:c>
      <x:c r="L849">
        <x:f>IF(A849="","",IF(COUNTIFS($A$5:$A$2004,A849,$C$5:$C$2004,C849)&gt;1,1,0))</x:f>
      </x:c>
    </x:row>
    <x:row r="850">
      <x:c r="A850" s="8" t="n"/>
      <x:c r="B850" s="8" t="n"/>
      <x:c r="C850" s="8" t="n"/>
      <x:c r="D850" s="8" t="n"/>
      <x:c r="E850" s="8" t="n"/>
      <x:c r="F850" s="8" t="n"/>
      <x:c r="G850" s="7">
        <x:f>IF(A850="","",IF(01_Parametres!$B$11="Oui",IF((01_Parametres!$B$4*(D850&gt;0)+01_Parametres!$B$5*(E850&gt;0)+01_Parametres!$B$6*(F850&gt;0))=0,"",(01_Parametres!$B$4*IF(D850&gt;0,D850,0)+01_Parametres!$B$5*IF(E850&gt;0,E850,0)+01_Parametres!$B$6*IF(F850&gt;0,F850,0))/(01_Parametres!$B$4*(D850&gt;0)+01_Parametres!$B$5*(E850&gt;0)+01_Parametres!$B$6*(F850&gt;0))),IF(01_Parametres!$B$8=0,"",(01_Parametres!$B$4*D850+01_Parametres!$B$5*E850+01_Parametres!$B$6*F850)/01_Parametres!$B$8)))</x:f>
      </x:c>
      <x:c r="H850">
        <x:f>IFERROR(VLOOKUP(C850,02_Referentiels!$A$20:$D$99,3,FALSE),"")</x:f>
      </x:c>
      <x:c r="I850">
        <x:f>IFERROR(VLOOKUP(B850,02_Referentiels!$A$5:$C$16,2,FALSE),"")</x:f>
      </x:c>
      <x:c r="J850">
        <x:f>IF(A850="","",IF(OR(D850="",E850="",F850=""),1,IF(OR(D850&lt;0,D850&gt;3,E850&lt;0,E850&gt;3,F850&lt;0,F850&gt;3),1,0)))</x:f>
      </x:c>
      <x:c r="K850">
        <x:f>IF(A850="","",IF(G850="",1,0))</x:f>
      </x:c>
      <x:c r="L850">
        <x:f>IF(A850="","",IF(COUNTIFS($A$5:$A$2004,A850,$C$5:$C$2004,C850)&gt;1,1,0))</x:f>
      </x:c>
    </x:row>
    <x:row r="851">
      <x:c r="A851" s="8" t="n"/>
      <x:c r="B851" s="8" t="n"/>
      <x:c r="C851" s="8" t="n"/>
      <x:c r="D851" s="8" t="n"/>
      <x:c r="E851" s="8" t="n"/>
      <x:c r="F851" s="8" t="n"/>
      <x:c r="G851" s="7">
        <x:f>IF(A851="","",IF(01_Parametres!$B$11="Oui",IF((01_Parametres!$B$4*(D851&gt;0)+01_Parametres!$B$5*(E851&gt;0)+01_Parametres!$B$6*(F851&gt;0))=0,"",(01_Parametres!$B$4*IF(D851&gt;0,D851,0)+01_Parametres!$B$5*IF(E851&gt;0,E851,0)+01_Parametres!$B$6*IF(F851&gt;0,F851,0))/(01_Parametres!$B$4*(D851&gt;0)+01_Parametres!$B$5*(E851&gt;0)+01_Parametres!$B$6*(F851&gt;0))),IF(01_Parametres!$B$8=0,"",(01_Parametres!$B$4*D851+01_Parametres!$B$5*E851+01_Parametres!$B$6*F851)/01_Parametres!$B$8)))</x:f>
      </x:c>
      <x:c r="H851">
        <x:f>IFERROR(VLOOKUP(C851,02_Referentiels!$A$20:$D$99,3,FALSE),"")</x:f>
      </x:c>
      <x:c r="I851">
        <x:f>IFERROR(VLOOKUP(B851,02_Referentiels!$A$5:$C$16,2,FALSE),"")</x:f>
      </x:c>
      <x:c r="J851">
        <x:f>IF(A851="","",IF(OR(D851="",E851="",F851=""),1,IF(OR(D851&lt;0,D851&gt;3,E851&lt;0,E851&gt;3,F851&lt;0,F851&gt;3),1,0)))</x:f>
      </x:c>
      <x:c r="K851">
        <x:f>IF(A851="","",IF(G851="",1,0))</x:f>
      </x:c>
      <x:c r="L851">
        <x:f>IF(A851="","",IF(COUNTIFS($A$5:$A$2004,A851,$C$5:$C$2004,C851)&gt;1,1,0))</x:f>
      </x:c>
    </x:row>
    <x:row r="852">
      <x:c r="A852" s="8" t="n"/>
      <x:c r="B852" s="8" t="n"/>
      <x:c r="C852" s="8" t="n"/>
      <x:c r="D852" s="8" t="n"/>
      <x:c r="E852" s="8" t="n"/>
      <x:c r="F852" s="8" t="n"/>
      <x:c r="G852" s="7">
        <x:f>IF(A852="","",IF(01_Parametres!$B$11="Oui",IF((01_Parametres!$B$4*(D852&gt;0)+01_Parametres!$B$5*(E852&gt;0)+01_Parametres!$B$6*(F852&gt;0))=0,"",(01_Parametres!$B$4*IF(D852&gt;0,D852,0)+01_Parametres!$B$5*IF(E852&gt;0,E852,0)+01_Parametres!$B$6*IF(F852&gt;0,F852,0))/(01_Parametres!$B$4*(D852&gt;0)+01_Parametres!$B$5*(E852&gt;0)+01_Parametres!$B$6*(F852&gt;0))),IF(01_Parametres!$B$8=0,"",(01_Parametres!$B$4*D852+01_Parametres!$B$5*E852+01_Parametres!$B$6*F852)/01_Parametres!$B$8)))</x:f>
      </x:c>
      <x:c r="H852">
        <x:f>IFERROR(VLOOKUP(C852,02_Referentiels!$A$20:$D$99,3,FALSE),"")</x:f>
      </x:c>
      <x:c r="I852">
        <x:f>IFERROR(VLOOKUP(B852,02_Referentiels!$A$5:$C$16,2,FALSE),"")</x:f>
      </x:c>
      <x:c r="J852">
        <x:f>IF(A852="","",IF(OR(D852="",E852="",F852=""),1,IF(OR(D852&lt;0,D852&gt;3,E852&lt;0,E852&gt;3,F852&lt;0,F852&gt;3),1,0)))</x:f>
      </x:c>
      <x:c r="K852">
        <x:f>IF(A852="","",IF(G852="",1,0))</x:f>
      </x:c>
      <x:c r="L852">
        <x:f>IF(A852="","",IF(COUNTIFS($A$5:$A$2004,A852,$C$5:$C$2004,C852)&gt;1,1,0))</x:f>
      </x:c>
    </x:row>
    <x:row r="853">
      <x:c r="A853" s="8" t="n"/>
      <x:c r="B853" s="8" t="n"/>
      <x:c r="C853" s="8" t="n"/>
      <x:c r="D853" s="8" t="n"/>
      <x:c r="E853" s="8" t="n"/>
      <x:c r="F853" s="8" t="n"/>
      <x:c r="G853" s="7">
        <x:f>IF(A853="","",IF(01_Parametres!$B$11="Oui",IF((01_Parametres!$B$4*(D853&gt;0)+01_Parametres!$B$5*(E853&gt;0)+01_Parametres!$B$6*(F853&gt;0))=0,"",(01_Parametres!$B$4*IF(D853&gt;0,D853,0)+01_Parametres!$B$5*IF(E853&gt;0,E853,0)+01_Parametres!$B$6*IF(F853&gt;0,F853,0))/(01_Parametres!$B$4*(D853&gt;0)+01_Parametres!$B$5*(E853&gt;0)+01_Parametres!$B$6*(F853&gt;0))),IF(01_Parametres!$B$8=0,"",(01_Parametres!$B$4*D853+01_Parametres!$B$5*E853+01_Parametres!$B$6*F853)/01_Parametres!$B$8)))</x:f>
      </x:c>
      <x:c r="H853">
        <x:f>IFERROR(VLOOKUP(C853,02_Referentiels!$A$20:$D$99,3,FALSE),"")</x:f>
      </x:c>
      <x:c r="I853">
        <x:f>IFERROR(VLOOKUP(B853,02_Referentiels!$A$5:$C$16,2,FALSE),"")</x:f>
      </x:c>
      <x:c r="J853">
        <x:f>IF(A853="","",IF(OR(D853="",E853="",F853=""),1,IF(OR(D853&lt;0,D853&gt;3,E853&lt;0,E853&gt;3,F853&lt;0,F853&gt;3),1,0)))</x:f>
      </x:c>
      <x:c r="K853">
        <x:f>IF(A853="","",IF(G853="",1,0))</x:f>
      </x:c>
      <x:c r="L853">
        <x:f>IF(A853="","",IF(COUNTIFS($A$5:$A$2004,A853,$C$5:$C$2004,C853)&gt;1,1,0))</x:f>
      </x:c>
    </x:row>
    <x:row r="854">
      <x:c r="A854" s="8" t="n"/>
      <x:c r="B854" s="8" t="n"/>
      <x:c r="C854" s="8" t="n"/>
      <x:c r="D854" s="8" t="n"/>
      <x:c r="E854" s="8" t="n"/>
      <x:c r="F854" s="8" t="n"/>
      <x:c r="G854" s="7">
        <x:f>IF(A854="","",IF(01_Parametres!$B$11="Oui",IF((01_Parametres!$B$4*(D854&gt;0)+01_Parametres!$B$5*(E854&gt;0)+01_Parametres!$B$6*(F854&gt;0))=0,"",(01_Parametres!$B$4*IF(D854&gt;0,D854,0)+01_Parametres!$B$5*IF(E854&gt;0,E854,0)+01_Parametres!$B$6*IF(F854&gt;0,F854,0))/(01_Parametres!$B$4*(D854&gt;0)+01_Parametres!$B$5*(E854&gt;0)+01_Parametres!$B$6*(F854&gt;0))),IF(01_Parametres!$B$8=0,"",(01_Parametres!$B$4*D854+01_Parametres!$B$5*E854+01_Parametres!$B$6*F854)/01_Parametres!$B$8)))</x:f>
      </x:c>
      <x:c r="H854">
        <x:f>IFERROR(VLOOKUP(C854,02_Referentiels!$A$20:$D$99,3,FALSE),"")</x:f>
      </x:c>
      <x:c r="I854">
        <x:f>IFERROR(VLOOKUP(B854,02_Referentiels!$A$5:$C$16,2,FALSE),"")</x:f>
      </x:c>
      <x:c r="J854">
        <x:f>IF(A854="","",IF(OR(D854="",E854="",F854=""),1,IF(OR(D854&lt;0,D854&gt;3,E854&lt;0,E854&gt;3,F854&lt;0,F854&gt;3),1,0)))</x:f>
      </x:c>
      <x:c r="K854">
        <x:f>IF(A854="","",IF(G854="",1,0))</x:f>
      </x:c>
      <x:c r="L854">
        <x:f>IF(A854="","",IF(COUNTIFS($A$5:$A$2004,A854,$C$5:$C$2004,C854)&gt;1,1,0))</x:f>
      </x:c>
    </x:row>
    <x:row r="855">
      <x:c r="A855" s="8" t="n"/>
      <x:c r="B855" s="8" t="n"/>
      <x:c r="C855" s="8" t="n"/>
      <x:c r="D855" s="8" t="n"/>
      <x:c r="E855" s="8" t="n"/>
      <x:c r="F855" s="8" t="n"/>
      <x:c r="G855" s="7">
        <x:f>IF(A855="","",IF(01_Parametres!$B$11="Oui",IF((01_Parametres!$B$4*(D855&gt;0)+01_Parametres!$B$5*(E855&gt;0)+01_Parametres!$B$6*(F855&gt;0))=0,"",(01_Parametres!$B$4*IF(D855&gt;0,D855,0)+01_Parametres!$B$5*IF(E855&gt;0,E855,0)+01_Parametres!$B$6*IF(F855&gt;0,F855,0))/(01_Parametres!$B$4*(D855&gt;0)+01_Parametres!$B$5*(E855&gt;0)+01_Parametres!$B$6*(F855&gt;0))),IF(01_Parametres!$B$8=0,"",(01_Parametres!$B$4*D855+01_Parametres!$B$5*E855+01_Parametres!$B$6*F855)/01_Parametres!$B$8)))</x:f>
      </x:c>
      <x:c r="H855">
        <x:f>IFERROR(VLOOKUP(C855,02_Referentiels!$A$20:$D$99,3,FALSE),"")</x:f>
      </x:c>
      <x:c r="I855">
        <x:f>IFERROR(VLOOKUP(B855,02_Referentiels!$A$5:$C$16,2,FALSE),"")</x:f>
      </x:c>
      <x:c r="J855">
        <x:f>IF(A855="","",IF(OR(D855="",E855="",F855=""),1,IF(OR(D855&lt;0,D855&gt;3,E855&lt;0,E855&gt;3,F855&lt;0,F855&gt;3),1,0)))</x:f>
      </x:c>
      <x:c r="K855">
        <x:f>IF(A855="","",IF(G855="",1,0))</x:f>
      </x:c>
      <x:c r="L855">
        <x:f>IF(A855="","",IF(COUNTIFS($A$5:$A$2004,A855,$C$5:$C$2004,C855)&gt;1,1,0))</x:f>
      </x:c>
    </x:row>
    <x:row r="856">
      <x:c r="A856" s="8" t="n"/>
      <x:c r="B856" s="8" t="n"/>
      <x:c r="C856" s="8" t="n"/>
      <x:c r="D856" s="8" t="n"/>
      <x:c r="E856" s="8" t="n"/>
      <x:c r="F856" s="8" t="n"/>
      <x:c r="G856" s="7">
        <x:f>IF(A856="","",IF(01_Parametres!$B$11="Oui",IF((01_Parametres!$B$4*(D856&gt;0)+01_Parametres!$B$5*(E856&gt;0)+01_Parametres!$B$6*(F856&gt;0))=0,"",(01_Parametres!$B$4*IF(D856&gt;0,D856,0)+01_Parametres!$B$5*IF(E856&gt;0,E856,0)+01_Parametres!$B$6*IF(F856&gt;0,F856,0))/(01_Parametres!$B$4*(D856&gt;0)+01_Parametres!$B$5*(E856&gt;0)+01_Parametres!$B$6*(F856&gt;0))),IF(01_Parametres!$B$8=0,"",(01_Parametres!$B$4*D856+01_Parametres!$B$5*E856+01_Parametres!$B$6*F856)/01_Parametres!$B$8)))</x:f>
      </x:c>
      <x:c r="H856">
        <x:f>IFERROR(VLOOKUP(C856,02_Referentiels!$A$20:$D$99,3,FALSE),"")</x:f>
      </x:c>
      <x:c r="I856">
        <x:f>IFERROR(VLOOKUP(B856,02_Referentiels!$A$5:$C$16,2,FALSE),"")</x:f>
      </x:c>
      <x:c r="J856">
        <x:f>IF(A856="","",IF(OR(D856="",E856="",F856=""),1,IF(OR(D856&lt;0,D856&gt;3,E856&lt;0,E856&gt;3,F856&lt;0,F856&gt;3),1,0)))</x:f>
      </x:c>
      <x:c r="K856">
        <x:f>IF(A856="","",IF(G856="",1,0))</x:f>
      </x:c>
      <x:c r="L856">
        <x:f>IF(A856="","",IF(COUNTIFS($A$5:$A$2004,A856,$C$5:$C$2004,C856)&gt;1,1,0))</x:f>
      </x:c>
    </x:row>
    <x:row r="857">
      <x:c r="A857" s="8" t="n"/>
      <x:c r="B857" s="8" t="n"/>
      <x:c r="C857" s="8" t="n"/>
      <x:c r="D857" s="8" t="n"/>
      <x:c r="E857" s="8" t="n"/>
      <x:c r="F857" s="8" t="n"/>
      <x:c r="G857" s="7">
        <x:f>IF(A857="","",IF(01_Parametres!$B$11="Oui",IF((01_Parametres!$B$4*(D857&gt;0)+01_Parametres!$B$5*(E857&gt;0)+01_Parametres!$B$6*(F857&gt;0))=0,"",(01_Parametres!$B$4*IF(D857&gt;0,D857,0)+01_Parametres!$B$5*IF(E857&gt;0,E857,0)+01_Parametres!$B$6*IF(F857&gt;0,F857,0))/(01_Parametres!$B$4*(D857&gt;0)+01_Parametres!$B$5*(E857&gt;0)+01_Parametres!$B$6*(F857&gt;0))),IF(01_Parametres!$B$8=0,"",(01_Parametres!$B$4*D857+01_Parametres!$B$5*E857+01_Parametres!$B$6*F857)/01_Parametres!$B$8)))</x:f>
      </x:c>
      <x:c r="H857">
        <x:f>IFERROR(VLOOKUP(C857,02_Referentiels!$A$20:$D$99,3,FALSE),"")</x:f>
      </x:c>
      <x:c r="I857">
        <x:f>IFERROR(VLOOKUP(B857,02_Referentiels!$A$5:$C$16,2,FALSE),"")</x:f>
      </x:c>
      <x:c r="J857">
        <x:f>IF(A857="","",IF(OR(D857="",E857="",F857=""),1,IF(OR(D857&lt;0,D857&gt;3,E857&lt;0,E857&gt;3,F857&lt;0,F857&gt;3),1,0)))</x:f>
      </x:c>
      <x:c r="K857">
        <x:f>IF(A857="","",IF(G857="",1,0))</x:f>
      </x:c>
      <x:c r="L857">
        <x:f>IF(A857="","",IF(COUNTIFS($A$5:$A$2004,A857,$C$5:$C$2004,C857)&gt;1,1,0))</x:f>
      </x:c>
    </x:row>
    <x:row r="858">
      <x:c r="A858" s="8" t="n"/>
      <x:c r="B858" s="8" t="n"/>
      <x:c r="C858" s="8" t="n"/>
      <x:c r="D858" s="8" t="n"/>
      <x:c r="E858" s="8" t="n"/>
      <x:c r="F858" s="8" t="n"/>
      <x:c r="G858" s="7">
        <x:f>IF(A858="","",IF(01_Parametres!$B$11="Oui",IF((01_Parametres!$B$4*(D858&gt;0)+01_Parametres!$B$5*(E858&gt;0)+01_Parametres!$B$6*(F858&gt;0))=0,"",(01_Parametres!$B$4*IF(D858&gt;0,D858,0)+01_Parametres!$B$5*IF(E858&gt;0,E858,0)+01_Parametres!$B$6*IF(F858&gt;0,F858,0))/(01_Parametres!$B$4*(D858&gt;0)+01_Parametres!$B$5*(E858&gt;0)+01_Parametres!$B$6*(F858&gt;0))),IF(01_Parametres!$B$8=0,"",(01_Parametres!$B$4*D858+01_Parametres!$B$5*E858+01_Parametres!$B$6*F858)/01_Parametres!$B$8)))</x:f>
      </x:c>
      <x:c r="H858">
        <x:f>IFERROR(VLOOKUP(C858,02_Referentiels!$A$20:$D$99,3,FALSE),"")</x:f>
      </x:c>
      <x:c r="I858">
        <x:f>IFERROR(VLOOKUP(B858,02_Referentiels!$A$5:$C$16,2,FALSE),"")</x:f>
      </x:c>
      <x:c r="J858">
        <x:f>IF(A858="","",IF(OR(D858="",E858="",F858=""),1,IF(OR(D858&lt;0,D858&gt;3,E858&lt;0,E858&gt;3,F858&lt;0,F858&gt;3),1,0)))</x:f>
      </x:c>
      <x:c r="K858">
        <x:f>IF(A858="","",IF(G858="",1,0))</x:f>
      </x:c>
      <x:c r="L858">
        <x:f>IF(A858="","",IF(COUNTIFS($A$5:$A$2004,A858,$C$5:$C$2004,C858)&gt;1,1,0))</x:f>
      </x:c>
    </x:row>
    <x:row r="859">
      <x:c r="A859" s="8" t="n"/>
      <x:c r="B859" s="8" t="n"/>
      <x:c r="C859" s="8" t="n"/>
      <x:c r="D859" s="8" t="n"/>
      <x:c r="E859" s="8" t="n"/>
      <x:c r="F859" s="8" t="n"/>
      <x:c r="G859" s="7">
        <x:f>IF(A859="","",IF(01_Parametres!$B$11="Oui",IF((01_Parametres!$B$4*(D859&gt;0)+01_Parametres!$B$5*(E859&gt;0)+01_Parametres!$B$6*(F859&gt;0))=0,"",(01_Parametres!$B$4*IF(D859&gt;0,D859,0)+01_Parametres!$B$5*IF(E859&gt;0,E859,0)+01_Parametres!$B$6*IF(F859&gt;0,F859,0))/(01_Parametres!$B$4*(D859&gt;0)+01_Parametres!$B$5*(E859&gt;0)+01_Parametres!$B$6*(F859&gt;0))),IF(01_Parametres!$B$8=0,"",(01_Parametres!$B$4*D859+01_Parametres!$B$5*E859+01_Parametres!$B$6*F859)/01_Parametres!$B$8)))</x:f>
      </x:c>
      <x:c r="H859">
        <x:f>IFERROR(VLOOKUP(C859,02_Referentiels!$A$20:$D$99,3,FALSE),"")</x:f>
      </x:c>
      <x:c r="I859">
        <x:f>IFERROR(VLOOKUP(B859,02_Referentiels!$A$5:$C$16,2,FALSE),"")</x:f>
      </x:c>
      <x:c r="J859">
        <x:f>IF(A859="","",IF(OR(D859="",E859="",F859=""),1,IF(OR(D859&lt;0,D859&gt;3,E859&lt;0,E859&gt;3,F859&lt;0,F859&gt;3),1,0)))</x:f>
      </x:c>
      <x:c r="K859">
        <x:f>IF(A859="","",IF(G859="",1,0))</x:f>
      </x:c>
      <x:c r="L859">
        <x:f>IF(A859="","",IF(COUNTIFS($A$5:$A$2004,A859,$C$5:$C$2004,C859)&gt;1,1,0))</x:f>
      </x:c>
    </x:row>
    <x:row r="860">
      <x:c r="A860" s="8" t="n"/>
      <x:c r="B860" s="8" t="n"/>
      <x:c r="C860" s="8" t="n"/>
      <x:c r="D860" s="8" t="n"/>
      <x:c r="E860" s="8" t="n"/>
      <x:c r="F860" s="8" t="n"/>
      <x:c r="G860" s="7">
        <x:f>IF(A860="","",IF(01_Parametres!$B$11="Oui",IF((01_Parametres!$B$4*(D860&gt;0)+01_Parametres!$B$5*(E860&gt;0)+01_Parametres!$B$6*(F860&gt;0))=0,"",(01_Parametres!$B$4*IF(D860&gt;0,D860,0)+01_Parametres!$B$5*IF(E860&gt;0,E860,0)+01_Parametres!$B$6*IF(F860&gt;0,F860,0))/(01_Parametres!$B$4*(D860&gt;0)+01_Parametres!$B$5*(E860&gt;0)+01_Parametres!$B$6*(F860&gt;0))),IF(01_Parametres!$B$8=0,"",(01_Parametres!$B$4*D860+01_Parametres!$B$5*E860+01_Parametres!$B$6*F860)/01_Parametres!$B$8)))</x:f>
      </x:c>
      <x:c r="H860">
        <x:f>IFERROR(VLOOKUP(C860,02_Referentiels!$A$20:$D$99,3,FALSE),"")</x:f>
      </x:c>
      <x:c r="I860">
        <x:f>IFERROR(VLOOKUP(B860,02_Referentiels!$A$5:$C$16,2,FALSE),"")</x:f>
      </x:c>
      <x:c r="J860">
        <x:f>IF(A860="","",IF(OR(D860="",E860="",F860=""),1,IF(OR(D860&lt;0,D860&gt;3,E860&lt;0,E860&gt;3,F860&lt;0,F860&gt;3),1,0)))</x:f>
      </x:c>
      <x:c r="K860">
        <x:f>IF(A860="","",IF(G860="",1,0))</x:f>
      </x:c>
      <x:c r="L860">
        <x:f>IF(A860="","",IF(COUNTIFS($A$5:$A$2004,A860,$C$5:$C$2004,C860)&gt;1,1,0))</x:f>
      </x:c>
    </x:row>
    <x:row r="861">
      <x:c r="A861" s="8" t="n"/>
      <x:c r="B861" s="8" t="n"/>
      <x:c r="C861" s="8" t="n"/>
      <x:c r="D861" s="8" t="n"/>
      <x:c r="E861" s="8" t="n"/>
      <x:c r="F861" s="8" t="n"/>
      <x:c r="G861" s="7">
        <x:f>IF(A861="","",IF(01_Parametres!$B$11="Oui",IF((01_Parametres!$B$4*(D861&gt;0)+01_Parametres!$B$5*(E861&gt;0)+01_Parametres!$B$6*(F861&gt;0))=0,"",(01_Parametres!$B$4*IF(D861&gt;0,D861,0)+01_Parametres!$B$5*IF(E861&gt;0,E861,0)+01_Parametres!$B$6*IF(F861&gt;0,F861,0))/(01_Parametres!$B$4*(D861&gt;0)+01_Parametres!$B$5*(E861&gt;0)+01_Parametres!$B$6*(F861&gt;0))),IF(01_Parametres!$B$8=0,"",(01_Parametres!$B$4*D861+01_Parametres!$B$5*E861+01_Parametres!$B$6*F861)/01_Parametres!$B$8)))</x:f>
      </x:c>
      <x:c r="H861">
        <x:f>IFERROR(VLOOKUP(C861,02_Referentiels!$A$20:$D$99,3,FALSE),"")</x:f>
      </x:c>
      <x:c r="I861">
        <x:f>IFERROR(VLOOKUP(B861,02_Referentiels!$A$5:$C$16,2,FALSE),"")</x:f>
      </x:c>
      <x:c r="J861">
        <x:f>IF(A861="","",IF(OR(D861="",E861="",F861=""),1,IF(OR(D861&lt;0,D861&gt;3,E861&lt;0,E861&gt;3,F861&lt;0,F861&gt;3),1,0)))</x:f>
      </x:c>
      <x:c r="K861">
        <x:f>IF(A861="","",IF(G861="",1,0))</x:f>
      </x:c>
      <x:c r="L861">
        <x:f>IF(A861="","",IF(COUNTIFS($A$5:$A$2004,A861,$C$5:$C$2004,C861)&gt;1,1,0))</x:f>
      </x:c>
    </x:row>
    <x:row r="862">
      <x:c r="A862" s="8" t="n"/>
      <x:c r="B862" s="8" t="n"/>
      <x:c r="C862" s="8" t="n"/>
      <x:c r="D862" s="8" t="n"/>
      <x:c r="E862" s="8" t="n"/>
      <x:c r="F862" s="8" t="n"/>
      <x:c r="G862" s="7">
        <x:f>IF(A862="","",IF(01_Parametres!$B$11="Oui",IF((01_Parametres!$B$4*(D862&gt;0)+01_Parametres!$B$5*(E862&gt;0)+01_Parametres!$B$6*(F862&gt;0))=0,"",(01_Parametres!$B$4*IF(D862&gt;0,D862,0)+01_Parametres!$B$5*IF(E862&gt;0,E862,0)+01_Parametres!$B$6*IF(F862&gt;0,F862,0))/(01_Parametres!$B$4*(D862&gt;0)+01_Parametres!$B$5*(E862&gt;0)+01_Parametres!$B$6*(F862&gt;0))),IF(01_Parametres!$B$8=0,"",(01_Parametres!$B$4*D862+01_Parametres!$B$5*E862+01_Parametres!$B$6*F862)/01_Parametres!$B$8)))</x:f>
      </x:c>
      <x:c r="H862">
        <x:f>IFERROR(VLOOKUP(C862,02_Referentiels!$A$20:$D$99,3,FALSE),"")</x:f>
      </x:c>
      <x:c r="I862">
        <x:f>IFERROR(VLOOKUP(B862,02_Referentiels!$A$5:$C$16,2,FALSE),"")</x:f>
      </x:c>
      <x:c r="J862">
        <x:f>IF(A862="","",IF(OR(D862="",E862="",F862=""),1,IF(OR(D862&lt;0,D862&gt;3,E862&lt;0,E862&gt;3,F862&lt;0,F862&gt;3),1,0)))</x:f>
      </x:c>
      <x:c r="K862">
        <x:f>IF(A862="","",IF(G862="",1,0))</x:f>
      </x:c>
      <x:c r="L862">
        <x:f>IF(A862="","",IF(COUNTIFS($A$5:$A$2004,A862,$C$5:$C$2004,C862)&gt;1,1,0))</x:f>
      </x:c>
    </x:row>
    <x:row r="863">
      <x:c r="A863" s="8" t="n"/>
      <x:c r="B863" s="8" t="n"/>
      <x:c r="C863" s="8" t="n"/>
      <x:c r="D863" s="8" t="n"/>
      <x:c r="E863" s="8" t="n"/>
      <x:c r="F863" s="8" t="n"/>
      <x:c r="G863" s="7">
        <x:f>IF(A863="","",IF(01_Parametres!$B$11="Oui",IF((01_Parametres!$B$4*(D863&gt;0)+01_Parametres!$B$5*(E863&gt;0)+01_Parametres!$B$6*(F863&gt;0))=0,"",(01_Parametres!$B$4*IF(D863&gt;0,D863,0)+01_Parametres!$B$5*IF(E863&gt;0,E863,0)+01_Parametres!$B$6*IF(F863&gt;0,F863,0))/(01_Parametres!$B$4*(D863&gt;0)+01_Parametres!$B$5*(E863&gt;0)+01_Parametres!$B$6*(F863&gt;0))),IF(01_Parametres!$B$8=0,"",(01_Parametres!$B$4*D863+01_Parametres!$B$5*E863+01_Parametres!$B$6*F863)/01_Parametres!$B$8)))</x:f>
      </x:c>
      <x:c r="H863">
        <x:f>IFERROR(VLOOKUP(C863,02_Referentiels!$A$20:$D$99,3,FALSE),"")</x:f>
      </x:c>
      <x:c r="I863">
        <x:f>IFERROR(VLOOKUP(B863,02_Referentiels!$A$5:$C$16,2,FALSE),"")</x:f>
      </x:c>
      <x:c r="J863">
        <x:f>IF(A863="","",IF(OR(D863="",E863="",F863=""),1,IF(OR(D863&lt;0,D863&gt;3,E863&lt;0,E863&gt;3,F863&lt;0,F863&gt;3),1,0)))</x:f>
      </x:c>
      <x:c r="K863">
        <x:f>IF(A863="","",IF(G863="",1,0))</x:f>
      </x:c>
      <x:c r="L863">
        <x:f>IF(A863="","",IF(COUNTIFS($A$5:$A$2004,A863,$C$5:$C$2004,C863)&gt;1,1,0))</x:f>
      </x:c>
    </x:row>
    <x:row r="864">
      <x:c r="A864" s="8" t="n"/>
      <x:c r="B864" s="8" t="n"/>
      <x:c r="C864" s="8" t="n"/>
      <x:c r="D864" s="8" t="n"/>
      <x:c r="E864" s="8" t="n"/>
      <x:c r="F864" s="8" t="n"/>
      <x:c r="G864" s="7">
        <x:f>IF(A864="","",IF(01_Parametres!$B$11="Oui",IF((01_Parametres!$B$4*(D864&gt;0)+01_Parametres!$B$5*(E864&gt;0)+01_Parametres!$B$6*(F864&gt;0))=0,"",(01_Parametres!$B$4*IF(D864&gt;0,D864,0)+01_Parametres!$B$5*IF(E864&gt;0,E864,0)+01_Parametres!$B$6*IF(F864&gt;0,F864,0))/(01_Parametres!$B$4*(D864&gt;0)+01_Parametres!$B$5*(E864&gt;0)+01_Parametres!$B$6*(F864&gt;0))),IF(01_Parametres!$B$8=0,"",(01_Parametres!$B$4*D864+01_Parametres!$B$5*E864+01_Parametres!$B$6*F864)/01_Parametres!$B$8)))</x:f>
      </x:c>
      <x:c r="H864">
        <x:f>IFERROR(VLOOKUP(C864,02_Referentiels!$A$20:$D$99,3,FALSE),"")</x:f>
      </x:c>
      <x:c r="I864">
        <x:f>IFERROR(VLOOKUP(B864,02_Referentiels!$A$5:$C$16,2,FALSE),"")</x:f>
      </x:c>
      <x:c r="J864">
        <x:f>IF(A864="","",IF(OR(D864="",E864="",F864=""),1,IF(OR(D864&lt;0,D864&gt;3,E864&lt;0,E864&gt;3,F864&lt;0,F864&gt;3),1,0)))</x:f>
      </x:c>
      <x:c r="K864">
        <x:f>IF(A864="","",IF(G864="",1,0))</x:f>
      </x:c>
      <x:c r="L864">
        <x:f>IF(A864="","",IF(COUNTIFS($A$5:$A$2004,A864,$C$5:$C$2004,C864)&gt;1,1,0))</x:f>
      </x:c>
    </x:row>
    <x:row r="865">
      <x:c r="A865" s="8" t="n"/>
      <x:c r="B865" s="8" t="n"/>
      <x:c r="C865" s="8" t="n"/>
      <x:c r="D865" s="8" t="n"/>
      <x:c r="E865" s="8" t="n"/>
      <x:c r="F865" s="8" t="n"/>
      <x:c r="G865" s="7">
        <x:f>IF(A865="","",IF(01_Parametres!$B$11="Oui",IF((01_Parametres!$B$4*(D865&gt;0)+01_Parametres!$B$5*(E865&gt;0)+01_Parametres!$B$6*(F865&gt;0))=0,"",(01_Parametres!$B$4*IF(D865&gt;0,D865,0)+01_Parametres!$B$5*IF(E865&gt;0,E865,0)+01_Parametres!$B$6*IF(F865&gt;0,F865,0))/(01_Parametres!$B$4*(D865&gt;0)+01_Parametres!$B$5*(E865&gt;0)+01_Parametres!$B$6*(F865&gt;0))),IF(01_Parametres!$B$8=0,"",(01_Parametres!$B$4*D865+01_Parametres!$B$5*E865+01_Parametres!$B$6*F865)/01_Parametres!$B$8)))</x:f>
      </x:c>
      <x:c r="H865">
        <x:f>IFERROR(VLOOKUP(C865,02_Referentiels!$A$20:$D$99,3,FALSE),"")</x:f>
      </x:c>
      <x:c r="I865">
        <x:f>IFERROR(VLOOKUP(B865,02_Referentiels!$A$5:$C$16,2,FALSE),"")</x:f>
      </x:c>
      <x:c r="J865">
        <x:f>IF(A865="","",IF(OR(D865="",E865="",F865=""),1,IF(OR(D865&lt;0,D865&gt;3,E865&lt;0,E865&gt;3,F865&lt;0,F865&gt;3),1,0)))</x:f>
      </x:c>
      <x:c r="K865">
        <x:f>IF(A865="","",IF(G865="",1,0))</x:f>
      </x:c>
      <x:c r="L865">
        <x:f>IF(A865="","",IF(COUNTIFS($A$5:$A$2004,A865,$C$5:$C$2004,C865)&gt;1,1,0))</x:f>
      </x:c>
    </x:row>
    <x:row r="866">
      <x:c r="A866" s="8" t="n"/>
      <x:c r="B866" s="8" t="n"/>
      <x:c r="C866" s="8" t="n"/>
      <x:c r="D866" s="8" t="n"/>
      <x:c r="E866" s="8" t="n"/>
      <x:c r="F866" s="8" t="n"/>
      <x:c r="G866" s="7">
        <x:f>IF(A866="","",IF(01_Parametres!$B$11="Oui",IF((01_Parametres!$B$4*(D866&gt;0)+01_Parametres!$B$5*(E866&gt;0)+01_Parametres!$B$6*(F866&gt;0))=0,"",(01_Parametres!$B$4*IF(D866&gt;0,D866,0)+01_Parametres!$B$5*IF(E866&gt;0,E866,0)+01_Parametres!$B$6*IF(F866&gt;0,F866,0))/(01_Parametres!$B$4*(D866&gt;0)+01_Parametres!$B$5*(E866&gt;0)+01_Parametres!$B$6*(F866&gt;0))),IF(01_Parametres!$B$8=0,"",(01_Parametres!$B$4*D866+01_Parametres!$B$5*E866+01_Parametres!$B$6*F866)/01_Parametres!$B$8)))</x:f>
      </x:c>
      <x:c r="H866">
        <x:f>IFERROR(VLOOKUP(C866,02_Referentiels!$A$20:$D$99,3,FALSE),"")</x:f>
      </x:c>
      <x:c r="I866">
        <x:f>IFERROR(VLOOKUP(B866,02_Referentiels!$A$5:$C$16,2,FALSE),"")</x:f>
      </x:c>
      <x:c r="J866">
        <x:f>IF(A866="","",IF(OR(D866="",E866="",F866=""),1,IF(OR(D866&lt;0,D866&gt;3,E866&lt;0,E866&gt;3,F866&lt;0,F866&gt;3),1,0)))</x:f>
      </x:c>
      <x:c r="K866">
        <x:f>IF(A866="","",IF(G866="",1,0))</x:f>
      </x:c>
      <x:c r="L866">
        <x:f>IF(A866="","",IF(COUNTIFS($A$5:$A$2004,A866,$C$5:$C$2004,C866)&gt;1,1,0))</x:f>
      </x:c>
    </x:row>
    <x:row r="867">
      <x:c r="A867" s="8" t="n"/>
      <x:c r="B867" s="8" t="n"/>
      <x:c r="C867" s="8" t="n"/>
      <x:c r="D867" s="8" t="n"/>
      <x:c r="E867" s="8" t="n"/>
      <x:c r="F867" s="8" t="n"/>
      <x:c r="G867" s="7">
        <x:f>IF(A867="","",IF(01_Parametres!$B$11="Oui",IF((01_Parametres!$B$4*(D867&gt;0)+01_Parametres!$B$5*(E867&gt;0)+01_Parametres!$B$6*(F867&gt;0))=0,"",(01_Parametres!$B$4*IF(D867&gt;0,D867,0)+01_Parametres!$B$5*IF(E867&gt;0,E867,0)+01_Parametres!$B$6*IF(F867&gt;0,F867,0))/(01_Parametres!$B$4*(D867&gt;0)+01_Parametres!$B$5*(E867&gt;0)+01_Parametres!$B$6*(F867&gt;0))),IF(01_Parametres!$B$8=0,"",(01_Parametres!$B$4*D867+01_Parametres!$B$5*E867+01_Parametres!$B$6*F867)/01_Parametres!$B$8)))</x:f>
      </x:c>
      <x:c r="H867">
        <x:f>IFERROR(VLOOKUP(C867,02_Referentiels!$A$20:$D$99,3,FALSE),"")</x:f>
      </x:c>
      <x:c r="I867">
        <x:f>IFERROR(VLOOKUP(B867,02_Referentiels!$A$5:$C$16,2,FALSE),"")</x:f>
      </x:c>
      <x:c r="J867">
        <x:f>IF(A867="","",IF(OR(D867="",E867="",F867=""),1,IF(OR(D867&lt;0,D867&gt;3,E867&lt;0,E867&gt;3,F867&lt;0,F867&gt;3),1,0)))</x:f>
      </x:c>
      <x:c r="K867">
        <x:f>IF(A867="","",IF(G867="",1,0))</x:f>
      </x:c>
      <x:c r="L867">
        <x:f>IF(A867="","",IF(COUNTIFS($A$5:$A$2004,A867,$C$5:$C$2004,C867)&gt;1,1,0))</x:f>
      </x:c>
    </x:row>
    <x:row r="868">
      <x:c r="A868" s="8" t="n"/>
      <x:c r="B868" s="8" t="n"/>
      <x:c r="C868" s="8" t="n"/>
      <x:c r="D868" s="8" t="n"/>
      <x:c r="E868" s="8" t="n"/>
      <x:c r="F868" s="8" t="n"/>
      <x:c r="G868" s="7">
        <x:f>IF(A868="","",IF(01_Parametres!$B$11="Oui",IF((01_Parametres!$B$4*(D868&gt;0)+01_Parametres!$B$5*(E868&gt;0)+01_Parametres!$B$6*(F868&gt;0))=0,"",(01_Parametres!$B$4*IF(D868&gt;0,D868,0)+01_Parametres!$B$5*IF(E868&gt;0,E868,0)+01_Parametres!$B$6*IF(F868&gt;0,F868,0))/(01_Parametres!$B$4*(D868&gt;0)+01_Parametres!$B$5*(E868&gt;0)+01_Parametres!$B$6*(F868&gt;0))),IF(01_Parametres!$B$8=0,"",(01_Parametres!$B$4*D868+01_Parametres!$B$5*E868+01_Parametres!$B$6*F868)/01_Parametres!$B$8)))</x:f>
      </x:c>
      <x:c r="H868">
        <x:f>IFERROR(VLOOKUP(C868,02_Referentiels!$A$20:$D$99,3,FALSE),"")</x:f>
      </x:c>
      <x:c r="I868">
        <x:f>IFERROR(VLOOKUP(B868,02_Referentiels!$A$5:$C$16,2,FALSE),"")</x:f>
      </x:c>
      <x:c r="J868">
        <x:f>IF(A868="","",IF(OR(D868="",E868="",F868=""),1,IF(OR(D868&lt;0,D868&gt;3,E868&lt;0,E868&gt;3,F868&lt;0,F868&gt;3),1,0)))</x:f>
      </x:c>
      <x:c r="K868">
        <x:f>IF(A868="","",IF(G868="",1,0))</x:f>
      </x:c>
      <x:c r="L868">
        <x:f>IF(A868="","",IF(COUNTIFS($A$5:$A$2004,A868,$C$5:$C$2004,C868)&gt;1,1,0))</x:f>
      </x:c>
    </x:row>
    <x:row r="869">
      <x:c r="A869" s="8" t="n"/>
      <x:c r="B869" s="8" t="n"/>
      <x:c r="C869" s="8" t="n"/>
      <x:c r="D869" s="8" t="n"/>
      <x:c r="E869" s="8" t="n"/>
      <x:c r="F869" s="8" t="n"/>
      <x:c r="G869" s="7">
        <x:f>IF(A869="","",IF(01_Parametres!$B$11="Oui",IF((01_Parametres!$B$4*(D869&gt;0)+01_Parametres!$B$5*(E869&gt;0)+01_Parametres!$B$6*(F869&gt;0))=0,"",(01_Parametres!$B$4*IF(D869&gt;0,D869,0)+01_Parametres!$B$5*IF(E869&gt;0,E869,0)+01_Parametres!$B$6*IF(F869&gt;0,F869,0))/(01_Parametres!$B$4*(D869&gt;0)+01_Parametres!$B$5*(E869&gt;0)+01_Parametres!$B$6*(F869&gt;0))),IF(01_Parametres!$B$8=0,"",(01_Parametres!$B$4*D869+01_Parametres!$B$5*E869+01_Parametres!$B$6*F869)/01_Parametres!$B$8)))</x:f>
      </x:c>
      <x:c r="H869">
        <x:f>IFERROR(VLOOKUP(C869,02_Referentiels!$A$20:$D$99,3,FALSE),"")</x:f>
      </x:c>
      <x:c r="I869">
        <x:f>IFERROR(VLOOKUP(B869,02_Referentiels!$A$5:$C$16,2,FALSE),"")</x:f>
      </x:c>
      <x:c r="J869">
        <x:f>IF(A869="","",IF(OR(D869="",E869="",F869=""),1,IF(OR(D869&lt;0,D869&gt;3,E869&lt;0,E869&gt;3,F869&lt;0,F869&gt;3),1,0)))</x:f>
      </x:c>
      <x:c r="K869">
        <x:f>IF(A869="","",IF(G869="",1,0))</x:f>
      </x:c>
      <x:c r="L869">
        <x:f>IF(A869="","",IF(COUNTIFS($A$5:$A$2004,A869,$C$5:$C$2004,C869)&gt;1,1,0))</x:f>
      </x:c>
    </x:row>
    <x:row r="870">
      <x:c r="A870" s="8" t="n"/>
      <x:c r="B870" s="8" t="n"/>
      <x:c r="C870" s="8" t="n"/>
      <x:c r="D870" s="8" t="n"/>
      <x:c r="E870" s="8" t="n"/>
      <x:c r="F870" s="8" t="n"/>
      <x:c r="G870" s="7">
        <x:f>IF(A870="","",IF(01_Parametres!$B$11="Oui",IF((01_Parametres!$B$4*(D870&gt;0)+01_Parametres!$B$5*(E870&gt;0)+01_Parametres!$B$6*(F870&gt;0))=0,"",(01_Parametres!$B$4*IF(D870&gt;0,D870,0)+01_Parametres!$B$5*IF(E870&gt;0,E870,0)+01_Parametres!$B$6*IF(F870&gt;0,F870,0))/(01_Parametres!$B$4*(D870&gt;0)+01_Parametres!$B$5*(E870&gt;0)+01_Parametres!$B$6*(F870&gt;0))),IF(01_Parametres!$B$8=0,"",(01_Parametres!$B$4*D870+01_Parametres!$B$5*E870+01_Parametres!$B$6*F870)/01_Parametres!$B$8)))</x:f>
      </x:c>
      <x:c r="H870">
        <x:f>IFERROR(VLOOKUP(C870,02_Referentiels!$A$20:$D$99,3,FALSE),"")</x:f>
      </x:c>
      <x:c r="I870">
        <x:f>IFERROR(VLOOKUP(B870,02_Referentiels!$A$5:$C$16,2,FALSE),"")</x:f>
      </x:c>
      <x:c r="J870">
        <x:f>IF(A870="","",IF(OR(D870="",E870="",F870=""),1,IF(OR(D870&lt;0,D870&gt;3,E870&lt;0,E870&gt;3,F870&lt;0,F870&gt;3),1,0)))</x:f>
      </x:c>
      <x:c r="K870">
        <x:f>IF(A870="","",IF(G870="",1,0))</x:f>
      </x:c>
      <x:c r="L870">
        <x:f>IF(A870="","",IF(COUNTIFS($A$5:$A$2004,A870,$C$5:$C$2004,C870)&gt;1,1,0))</x:f>
      </x:c>
    </x:row>
    <x:row r="871">
      <x:c r="A871" s="8" t="n"/>
      <x:c r="B871" s="8" t="n"/>
      <x:c r="C871" s="8" t="n"/>
      <x:c r="D871" s="8" t="n"/>
      <x:c r="E871" s="8" t="n"/>
      <x:c r="F871" s="8" t="n"/>
      <x:c r="G871" s="7">
        <x:f>IF(A871="","",IF(01_Parametres!$B$11="Oui",IF((01_Parametres!$B$4*(D871&gt;0)+01_Parametres!$B$5*(E871&gt;0)+01_Parametres!$B$6*(F871&gt;0))=0,"",(01_Parametres!$B$4*IF(D871&gt;0,D871,0)+01_Parametres!$B$5*IF(E871&gt;0,E871,0)+01_Parametres!$B$6*IF(F871&gt;0,F871,0))/(01_Parametres!$B$4*(D871&gt;0)+01_Parametres!$B$5*(E871&gt;0)+01_Parametres!$B$6*(F871&gt;0))),IF(01_Parametres!$B$8=0,"",(01_Parametres!$B$4*D871+01_Parametres!$B$5*E871+01_Parametres!$B$6*F871)/01_Parametres!$B$8)))</x:f>
      </x:c>
      <x:c r="H871">
        <x:f>IFERROR(VLOOKUP(C871,02_Referentiels!$A$20:$D$99,3,FALSE),"")</x:f>
      </x:c>
      <x:c r="I871">
        <x:f>IFERROR(VLOOKUP(B871,02_Referentiels!$A$5:$C$16,2,FALSE),"")</x:f>
      </x:c>
      <x:c r="J871">
        <x:f>IF(A871="","",IF(OR(D871="",E871="",F871=""),1,IF(OR(D871&lt;0,D871&gt;3,E871&lt;0,E871&gt;3,F871&lt;0,F871&gt;3),1,0)))</x:f>
      </x:c>
      <x:c r="K871">
        <x:f>IF(A871="","",IF(G871="",1,0))</x:f>
      </x:c>
      <x:c r="L871">
        <x:f>IF(A871="","",IF(COUNTIFS($A$5:$A$2004,A871,$C$5:$C$2004,C871)&gt;1,1,0))</x:f>
      </x:c>
    </x:row>
    <x:row r="872">
      <x:c r="A872" s="8" t="n"/>
      <x:c r="B872" s="8" t="n"/>
      <x:c r="C872" s="8" t="n"/>
      <x:c r="D872" s="8" t="n"/>
      <x:c r="E872" s="8" t="n"/>
      <x:c r="F872" s="8" t="n"/>
      <x:c r="G872" s="7">
        <x:f>IF(A872="","",IF(01_Parametres!$B$11="Oui",IF((01_Parametres!$B$4*(D872&gt;0)+01_Parametres!$B$5*(E872&gt;0)+01_Parametres!$B$6*(F872&gt;0))=0,"",(01_Parametres!$B$4*IF(D872&gt;0,D872,0)+01_Parametres!$B$5*IF(E872&gt;0,E872,0)+01_Parametres!$B$6*IF(F872&gt;0,F872,0))/(01_Parametres!$B$4*(D872&gt;0)+01_Parametres!$B$5*(E872&gt;0)+01_Parametres!$B$6*(F872&gt;0))),IF(01_Parametres!$B$8=0,"",(01_Parametres!$B$4*D872+01_Parametres!$B$5*E872+01_Parametres!$B$6*F872)/01_Parametres!$B$8)))</x:f>
      </x:c>
      <x:c r="H872">
        <x:f>IFERROR(VLOOKUP(C872,02_Referentiels!$A$20:$D$99,3,FALSE),"")</x:f>
      </x:c>
      <x:c r="I872">
        <x:f>IFERROR(VLOOKUP(B872,02_Referentiels!$A$5:$C$16,2,FALSE),"")</x:f>
      </x:c>
      <x:c r="J872">
        <x:f>IF(A872="","",IF(OR(D872="",E872="",F872=""),1,IF(OR(D872&lt;0,D872&gt;3,E872&lt;0,E872&gt;3,F872&lt;0,F872&gt;3),1,0)))</x:f>
      </x:c>
      <x:c r="K872">
        <x:f>IF(A872="","",IF(G872="",1,0))</x:f>
      </x:c>
      <x:c r="L872">
        <x:f>IF(A872="","",IF(COUNTIFS($A$5:$A$2004,A872,$C$5:$C$2004,C872)&gt;1,1,0))</x:f>
      </x:c>
    </x:row>
    <x:row r="873">
      <x:c r="A873" s="8" t="n"/>
      <x:c r="B873" s="8" t="n"/>
      <x:c r="C873" s="8" t="n"/>
      <x:c r="D873" s="8" t="n"/>
      <x:c r="E873" s="8" t="n"/>
      <x:c r="F873" s="8" t="n"/>
      <x:c r="G873" s="7">
        <x:f>IF(A873="","",IF(01_Parametres!$B$11="Oui",IF((01_Parametres!$B$4*(D873&gt;0)+01_Parametres!$B$5*(E873&gt;0)+01_Parametres!$B$6*(F873&gt;0))=0,"",(01_Parametres!$B$4*IF(D873&gt;0,D873,0)+01_Parametres!$B$5*IF(E873&gt;0,E873,0)+01_Parametres!$B$6*IF(F873&gt;0,F873,0))/(01_Parametres!$B$4*(D873&gt;0)+01_Parametres!$B$5*(E873&gt;0)+01_Parametres!$B$6*(F873&gt;0))),IF(01_Parametres!$B$8=0,"",(01_Parametres!$B$4*D873+01_Parametres!$B$5*E873+01_Parametres!$B$6*F873)/01_Parametres!$B$8)))</x:f>
      </x:c>
      <x:c r="H873">
        <x:f>IFERROR(VLOOKUP(C873,02_Referentiels!$A$20:$D$99,3,FALSE),"")</x:f>
      </x:c>
      <x:c r="I873">
        <x:f>IFERROR(VLOOKUP(B873,02_Referentiels!$A$5:$C$16,2,FALSE),"")</x:f>
      </x:c>
      <x:c r="J873">
        <x:f>IF(A873="","",IF(OR(D873="",E873="",F873=""),1,IF(OR(D873&lt;0,D873&gt;3,E873&lt;0,E873&gt;3,F873&lt;0,F873&gt;3),1,0)))</x:f>
      </x:c>
      <x:c r="K873">
        <x:f>IF(A873="","",IF(G873="",1,0))</x:f>
      </x:c>
      <x:c r="L873">
        <x:f>IF(A873="","",IF(COUNTIFS($A$5:$A$2004,A873,$C$5:$C$2004,C873)&gt;1,1,0))</x:f>
      </x:c>
    </x:row>
    <x:row r="874">
      <x:c r="A874" s="8" t="n"/>
      <x:c r="B874" s="8" t="n"/>
      <x:c r="C874" s="8" t="n"/>
      <x:c r="D874" s="8" t="n"/>
      <x:c r="E874" s="8" t="n"/>
      <x:c r="F874" s="8" t="n"/>
      <x:c r="G874" s="7">
        <x:f>IF(A874="","",IF(01_Parametres!$B$11="Oui",IF((01_Parametres!$B$4*(D874&gt;0)+01_Parametres!$B$5*(E874&gt;0)+01_Parametres!$B$6*(F874&gt;0))=0,"",(01_Parametres!$B$4*IF(D874&gt;0,D874,0)+01_Parametres!$B$5*IF(E874&gt;0,E874,0)+01_Parametres!$B$6*IF(F874&gt;0,F874,0))/(01_Parametres!$B$4*(D874&gt;0)+01_Parametres!$B$5*(E874&gt;0)+01_Parametres!$B$6*(F874&gt;0))),IF(01_Parametres!$B$8=0,"",(01_Parametres!$B$4*D874+01_Parametres!$B$5*E874+01_Parametres!$B$6*F874)/01_Parametres!$B$8)))</x:f>
      </x:c>
      <x:c r="H874">
        <x:f>IFERROR(VLOOKUP(C874,02_Referentiels!$A$20:$D$99,3,FALSE),"")</x:f>
      </x:c>
      <x:c r="I874">
        <x:f>IFERROR(VLOOKUP(B874,02_Referentiels!$A$5:$C$16,2,FALSE),"")</x:f>
      </x:c>
      <x:c r="J874">
        <x:f>IF(A874="","",IF(OR(D874="",E874="",F874=""),1,IF(OR(D874&lt;0,D874&gt;3,E874&lt;0,E874&gt;3,F874&lt;0,F874&gt;3),1,0)))</x:f>
      </x:c>
      <x:c r="K874">
        <x:f>IF(A874="","",IF(G874="",1,0))</x:f>
      </x:c>
      <x:c r="L874">
        <x:f>IF(A874="","",IF(COUNTIFS($A$5:$A$2004,A874,$C$5:$C$2004,C874)&gt;1,1,0))</x:f>
      </x:c>
    </x:row>
    <x:row r="875">
      <x:c r="A875" s="8" t="n"/>
      <x:c r="B875" s="8" t="n"/>
      <x:c r="C875" s="8" t="n"/>
      <x:c r="D875" s="8" t="n"/>
      <x:c r="E875" s="8" t="n"/>
      <x:c r="F875" s="8" t="n"/>
      <x:c r="G875" s="7">
        <x:f>IF(A875="","",IF(01_Parametres!$B$11="Oui",IF((01_Parametres!$B$4*(D875&gt;0)+01_Parametres!$B$5*(E875&gt;0)+01_Parametres!$B$6*(F875&gt;0))=0,"",(01_Parametres!$B$4*IF(D875&gt;0,D875,0)+01_Parametres!$B$5*IF(E875&gt;0,E875,0)+01_Parametres!$B$6*IF(F875&gt;0,F875,0))/(01_Parametres!$B$4*(D875&gt;0)+01_Parametres!$B$5*(E875&gt;0)+01_Parametres!$B$6*(F875&gt;0))),IF(01_Parametres!$B$8=0,"",(01_Parametres!$B$4*D875+01_Parametres!$B$5*E875+01_Parametres!$B$6*F875)/01_Parametres!$B$8)))</x:f>
      </x:c>
      <x:c r="H875">
        <x:f>IFERROR(VLOOKUP(C875,02_Referentiels!$A$20:$D$99,3,FALSE),"")</x:f>
      </x:c>
      <x:c r="I875">
        <x:f>IFERROR(VLOOKUP(B875,02_Referentiels!$A$5:$C$16,2,FALSE),"")</x:f>
      </x:c>
      <x:c r="J875">
        <x:f>IF(A875="","",IF(OR(D875="",E875="",F875=""),1,IF(OR(D875&lt;0,D875&gt;3,E875&lt;0,E875&gt;3,F875&lt;0,F875&gt;3),1,0)))</x:f>
      </x:c>
      <x:c r="K875">
        <x:f>IF(A875="","",IF(G875="",1,0))</x:f>
      </x:c>
      <x:c r="L875">
        <x:f>IF(A875="","",IF(COUNTIFS($A$5:$A$2004,A875,$C$5:$C$2004,C875)&gt;1,1,0))</x:f>
      </x:c>
    </x:row>
    <x:row r="876">
      <x:c r="A876" s="8" t="n"/>
      <x:c r="B876" s="8" t="n"/>
      <x:c r="C876" s="8" t="n"/>
      <x:c r="D876" s="8" t="n"/>
      <x:c r="E876" s="8" t="n"/>
      <x:c r="F876" s="8" t="n"/>
      <x:c r="G876" s="7">
        <x:f>IF(A876="","",IF(01_Parametres!$B$11="Oui",IF((01_Parametres!$B$4*(D876&gt;0)+01_Parametres!$B$5*(E876&gt;0)+01_Parametres!$B$6*(F876&gt;0))=0,"",(01_Parametres!$B$4*IF(D876&gt;0,D876,0)+01_Parametres!$B$5*IF(E876&gt;0,E876,0)+01_Parametres!$B$6*IF(F876&gt;0,F876,0))/(01_Parametres!$B$4*(D876&gt;0)+01_Parametres!$B$5*(E876&gt;0)+01_Parametres!$B$6*(F876&gt;0))),IF(01_Parametres!$B$8=0,"",(01_Parametres!$B$4*D876+01_Parametres!$B$5*E876+01_Parametres!$B$6*F876)/01_Parametres!$B$8)))</x:f>
      </x:c>
      <x:c r="H876">
        <x:f>IFERROR(VLOOKUP(C876,02_Referentiels!$A$20:$D$99,3,FALSE),"")</x:f>
      </x:c>
      <x:c r="I876">
        <x:f>IFERROR(VLOOKUP(B876,02_Referentiels!$A$5:$C$16,2,FALSE),"")</x:f>
      </x:c>
      <x:c r="J876">
        <x:f>IF(A876="","",IF(OR(D876="",E876="",F876=""),1,IF(OR(D876&lt;0,D876&gt;3,E876&lt;0,E876&gt;3,F876&lt;0,F876&gt;3),1,0)))</x:f>
      </x:c>
      <x:c r="K876">
        <x:f>IF(A876="","",IF(G876="",1,0))</x:f>
      </x:c>
      <x:c r="L876">
        <x:f>IF(A876="","",IF(COUNTIFS($A$5:$A$2004,A876,$C$5:$C$2004,C876)&gt;1,1,0))</x:f>
      </x:c>
    </x:row>
    <x:row r="877">
      <x:c r="A877" s="8" t="n"/>
      <x:c r="B877" s="8" t="n"/>
      <x:c r="C877" s="8" t="n"/>
      <x:c r="D877" s="8" t="n"/>
      <x:c r="E877" s="8" t="n"/>
      <x:c r="F877" s="8" t="n"/>
      <x:c r="G877" s="7">
        <x:f>IF(A877="","",IF(01_Parametres!$B$11="Oui",IF((01_Parametres!$B$4*(D877&gt;0)+01_Parametres!$B$5*(E877&gt;0)+01_Parametres!$B$6*(F877&gt;0))=0,"",(01_Parametres!$B$4*IF(D877&gt;0,D877,0)+01_Parametres!$B$5*IF(E877&gt;0,E877,0)+01_Parametres!$B$6*IF(F877&gt;0,F877,0))/(01_Parametres!$B$4*(D877&gt;0)+01_Parametres!$B$5*(E877&gt;0)+01_Parametres!$B$6*(F877&gt;0))),IF(01_Parametres!$B$8=0,"",(01_Parametres!$B$4*D877+01_Parametres!$B$5*E877+01_Parametres!$B$6*F877)/01_Parametres!$B$8)))</x:f>
      </x:c>
      <x:c r="H877">
        <x:f>IFERROR(VLOOKUP(C877,02_Referentiels!$A$20:$D$99,3,FALSE),"")</x:f>
      </x:c>
      <x:c r="I877">
        <x:f>IFERROR(VLOOKUP(B877,02_Referentiels!$A$5:$C$16,2,FALSE),"")</x:f>
      </x:c>
      <x:c r="J877">
        <x:f>IF(A877="","",IF(OR(D877="",E877="",F877=""),1,IF(OR(D877&lt;0,D877&gt;3,E877&lt;0,E877&gt;3,F877&lt;0,F877&gt;3),1,0)))</x:f>
      </x:c>
      <x:c r="K877">
        <x:f>IF(A877="","",IF(G877="",1,0))</x:f>
      </x:c>
      <x:c r="L877">
        <x:f>IF(A877="","",IF(COUNTIFS($A$5:$A$2004,A877,$C$5:$C$2004,C877)&gt;1,1,0))</x:f>
      </x:c>
    </x:row>
    <x:row r="878">
      <x:c r="A878" s="8" t="n"/>
      <x:c r="B878" s="8" t="n"/>
      <x:c r="C878" s="8" t="n"/>
      <x:c r="D878" s="8" t="n"/>
      <x:c r="E878" s="8" t="n"/>
      <x:c r="F878" s="8" t="n"/>
      <x:c r="G878" s="7">
        <x:f>IF(A878="","",IF(01_Parametres!$B$11="Oui",IF((01_Parametres!$B$4*(D878&gt;0)+01_Parametres!$B$5*(E878&gt;0)+01_Parametres!$B$6*(F878&gt;0))=0,"",(01_Parametres!$B$4*IF(D878&gt;0,D878,0)+01_Parametres!$B$5*IF(E878&gt;0,E878,0)+01_Parametres!$B$6*IF(F878&gt;0,F878,0))/(01_Parametres!$B$4*(D878&gt;0)+01_Parametres!$B$5*(E878&gt;0)+01_Parametres!$B$6*(F878&gt;0))),IF(01_Parametres!$B$8=0,"",(01_Parametres!$B$4*D878+01_Parametres!$B$5*E878+01_Parametres!$B$6*F878)/01_Parametres!$B$8)))</x:f>
      </x:c>
      <x:c r="H878">
        <x:f>IFERROR(VLOOKUP(C878,02_Referentiels!$A$20:$D$99,3,FALSE),"")</x:f>
      </x:c>
      <x:c r="I878">
        <x:f>IFERROR(VLOOKUP(B878,02_Referentiels!$A$5:$C$16,2,FALSE),"")</x:f>
      </x:c>
      <x:c r="J878">
        <x:f>IF(A878="","",IF(OR(D878="",E878="",F878=""),1,IF(OR(D878&lt;0,D878&gt;3,E878&lt;0,E878&gt;3,F878&lt;0,F878&gt;3),1,0)))</x:f>
      </x:c>
      <x:c r="K878">
        <x:f>IF(A878="","",IF(G878="",1,0))</x:f>
      </x:c>
      <x:c r="L878">
        <x:f>IF(A878="","",IF(COUNTIFS($A$5:$A$2004,A878,$C$5:$C$2004,C878)&gt;1,1,0))</x:f>
      </x:c>
    </x:row>
    <x:row r="879">
      <x:c r="A879" s="8" t="n"/>
      <x:c r="B879" s="8" t="n"/>
      <x:c r="C879" s="8" t="n"/>
      <x:c r="D879" s="8" t="n"/>
      <x:c r="E879" s="8" t="n"/>
      <x:c r="F879" s="8" t="n"/>
      <x:c r="G879" s="7">
        <x:f>IF(A879="","",IF(01_Parametres!$B$11="Oui",IF((01_Parametres!$B$4*(D879&gt;0)+01_Parametres!$B$5*(E879&gt;0)+01_Parametres!$B$6*(F879&gt;0))=0,"",(01_Parametres!$B$4*IF(D879&gt;0,D879,0)+01_Parametres!$B$5*IF(E879&gt;0,E879,0)+01_Parametres!$B$6*IF(F879&gt;0,F879,0))/(01_Parametres!$B$4*(D879&gt;0)+01_Parametres!$B$5*(E879&gt;0)+01_Parametres!$B$6*(F879&gt;0))),IF(01_Parametres!$B$8=0,"",(01_Parametres!$B$4*D879+01_Parametres!$B$5*E879+01_Parametres!$B$6*F879)/01_Parametres!$B$8)))</x:f>
      </x:c>
      <x:c r="H879">
        <x:f>IFERROR(VLOOKUP(C879,02_Referentiels!$A$20:$D$99,3,FALSE),"")</x:f>
      </x:c>
      <x:c r="I879">
        <x:f>IFERROR(VLOOKUP(B879,02_Referentiels!$A$5:$C$16,2,FALSE),"")</x:f>
      </x:c>
      <x:c r="J879">
        <x:f>IF(A879="","",IF(OR(D879="",E879="",F879=""),1,IF(OR(D879&lt;0,D879&gt;3,E879&lt;0,E879&gt;3,F879&lt;0,F879&gt;3),1,0)))</x:f>
      </x:c>
      <x:c r="K879">
        <x:f>IF(A879="","",IF(G879="",1,0))</x:f>
      </x:c>
      <x:c r="L879">
        <x:f>IF(A879="","",IF(COUNTIFS($A$5:$A$2004,A879,$C$5:$C$2004,C879)&gt;1,1,0))</x:f>
      </x:c>
    </x:row>
    <x:row r="880">
      <x:c r="A880" s="8" t="n"/>
      <x:c r="B880" s="8" t="n"/>
      <x:c r="C880" s="8" t="n"/>
      <x:c r="D880" s="8" t="n"/>
      <x:c r="E880" s="8" t="n"/>
      <x:c r="F880" s="8" t="n"/>
      <x:c r="G880" s="7">
        <x:f>IF(A880="","",IF(01_Parametres!$B$11="Oui",IF((01_Parametres!$B$4*(D880&gt;0)+01_Parametres!$B$5*(E880&gt;0)+01_Parametres!$B$6*(F880&gt;0))=0,"",(01_Parametres!$B$4*IF(D880&gt;0,D880,0)+01_Parametres!$B$5*IF(E880&gt;0,E880,0)+01_Parametres!$B$6*IF(F880&gt;0,F880,0))/(01_Parametres!$B$4*(D880&gt;0)+01_Parametres!$B$5*(E880&gt;0)+01_Parametres!$B$6*(F880&gt;0))),IF(01_Parametres!$B$8=0,"",(01_Parametres!$B$4*D880+01_Parametres!$B$5*E880+01_Parametres!$B$6*F880)/01_Parametres!$B$8)))</x:f>
      </x:c>
      <x:c r="H880">
        <x:f>IFERROR(VLOOKUP(C880,02_Referentiels!$A$20:$D$99,3,FALSE),"")</x:f>
      </x:c>
      <x:c r="I880">
        <x:f>IFERROR(VLOOKUP(B880,02_Referentiels!$A$5:$C$16,2,FALSE),"")</x:f>
      </x:c>
      <x:c r="J880">
        <x:f>IF(A880="","",IF(OR(D880="",E880="",F880=""),1,IF(OR(D880&lt;0,D880&gt;3,E880&lt;0,E880&gt;3,F880&lt;0,F880&gt;3),1,0)))</x:f>
      </x:c>
      <x:c r="K880">
        <x:f>IF(A880="","",IF(G880="",1,0))</x:f>
      </x:c>
      <x:c r="L880">
        <x:f>IF(A880="","",IF(COUNTIFS($A$5:$A$2004,A880,$C$5:$C$2004,C880)&gt;1,1,0))</x:f>
      </x:c>
    </x:row>
    <x:row r="881">
      <x:c r="A881" s="8" t="n"/>
      <x:c r="B881" s="8" t="n"/>
      <x:c r="C881" s="8" t="n"/>
      <x:c r="D881" s="8" t="n"/>
      <x:c r="E881" s="8" t="n"/>
      <x:c r="F881" s="8" t="n"/>
      <x:c r="G881" s="7">
        <x:f>IF(A881="","",IF(01_Parametres!$B$11="Oui",IF((01_Parametres!$B$4*(D881&gt;0)+01_Parametres!$B$5*(E881&gt;0)+01_Parametres!$B$6*(F881&gt;0))=0,"",(01_Parametres!$B$4*IF(D881&gt;0,D881,0)+01_Parametres!$B$5*IF(E881&gt;0,E881,0)+01_Parametres!$B$6*IF(F881&gt;0,F881,0))/(01_Parametres!$B$4*(D881&gt;0)+01_Parametres!$B$5*(E881&gt;0)+01_Parametres!$B$6*(F881&gt;0))),IF(01_Parametres!$B$8=0,"",(01_Parametres!$B$4*D881+01_Parametres!$B$5*E881+01_Parametres!$B$6*F881)/01_Parametres!$B$8)))</x:f>
      </x:c>
      <x:c r="H881">
        <x:f>IFERROR(VLOOKUP(C881,02_Referentiels!$A$20:$D$99,3,FALSE),"")</x:f>
      </x:c>
      <x:c r="I881">
        <x:f>IFERROR(VLOOKUP(B881,02_Referentiels!$A$5:$C$16,2,FALSE),"")</x:f>
      </x:c>
      <x:c r="J881">
        <x:f>IF(A881="","",IF(OR(D881="",E881="",F881=""),1,IF(OR(D881&lt;0,D881&gt;3,E881&lt;0,E881&gt;3,F881&lt;0,F881&gt;3),1,0)))</x:f>
      </x:c>
      <x:c r="K881">
        <x:f>IF(A881="","",IF(G881="",1,0))</x:f>
      </x:c>
      <x:c r="L881">
        <x:f>IF(A881="","",IF(COUNTIFS($A$5:$A$2004,A881,$C$5:$C$2004,C881)&gt;1,1,0))</x:f>
      </x:c>
    </x:row>
    <x:row r="882">
      <x:c r="A882" s="8" t="n"/>
      <x:c r="B882" s="8" t="n"/>
      <x:c r="C882" s="8" t="n"/>
      <x:c r="D882" s="8" t="n"/>
      <x:c r="E882" s="8" t="n"/>
      <x:c r="F882" s="8" t="n"/>
      <x:c r="G882" s="7">
        <x:f>IF(A882="","",IF(01_Parametres!$B$11="Oui",IF((01_Parametres!$B$4*(D882&gt;0)+01_Parametres!$B$5*(E882&gt;0)+01_Parametres!$B$6*(F882&gt;0))=0,"",(01_Parametres!$B$4*IF(D882&gt;0,D882,0)+01_Parametres!$B$5*IF(E882&gt;0,E882,0)+01_Parametres!$B$6*IF(F882&gt;0,F882,0))/(01_Parametres!$B$4*(D882&gt;0)+01_Parametres!$B$5*(E882&gt;0)+01_Parametres!$B$6*(F882&gt;0))),IF(01_Parametres!$B$8=0,"",(01_Parametres!$B$4*D882+01_Parametres!$B$5*E882+01_Parametres!$B$6*F882)/01_Parametres!$B$8)))</x:f>
      </x:c>
      <x:c r="H882">
        <x:f>IFERROR(VLOOKUP(C882,02_Referentiels!$A$20:$D$99,3,FALSE),"")</x:f>
      </x:c>
      <x:c r="I882">
        <x:f>IFERROR(VLOOKUP(B882,02_Referentiels!$A$5:$C$16,2,FALSE),"")</x:f>
      </x:c>
      <x:c r="J882">
        <x:f>IF(A882="","",IF(OR(D882="",E882="",F882=""),1,IF(OR(D882&lt;0,D882&gt;3,E882&lt;0,E882&gt;3,F882&lt;0,F882&gt;3),1,0)))</x:f>
      </x:c>
      <x:c r="K882">
        <x:f>IF(A882="","",IF(G882="",1,0))</x:f>
      </x:c>
      <x:c r="L882">
        <x:f>IF(A882="","",IF(COUNTIFS($A$5:$A$2004,A882,$C$5:$C$2004,C882)&gt;1,1,0))</x:f>
      </x:c>
    </x:row>
    <x:row r="883">
      <x:c r="A883" s="8" t="n"/>
      <x:c r="B883" s="8" t="n"/>
      <x:c r="C883" s="8" t="n"/>
      <x:c r="D883" s="8" t="n"/>
      <x:c r="E883" s="8" t="n"/>
      <x:c r="F883" s="8" t="n"/>
      <x:c r="G883" s="7">
        <x:f>IF(A883="","",IF(01_Parametres!$B$11="Oui",IF((01_Parametres!$B$4*(D883&gt;0)+01_Parametres!$B$5*(E883&gt;0)+01_Parametres!$B$6*(F883&gt;0))=0,"",(01_Parametres!$B$4*IF(D883&gt;0,D883,0)+01_Parametres!$B$5*IF(E883&gt;0,E883,0)+01_Parametres!$B$6*IF(F883&gt;0,F883,0))/(01_Parametres!$B$4*(D883&gt;0)+01_Parametres!$B$5*(E883&gt;0)+01_Parametres!$B$6*(F883&gt;0))),IF(01_Parametres!$B$8=0,"",(01_Parametres!$B$4*D883+01_Parametres!$B$5*E883+01_Parametres!$B$6*F883)/01_Parametres!$B$8)))</x:f>
      </x:c>
      <x:c r="H883">
        <x:f>IFERROR(VLOOKUP(C883,02_Referentiels!$A$20:$D$99,3,FALSE),"")</x:f>
      </x:c>
      <x:c r="I883">
        <x:f>IFERROR(VLOOKUP(B883,02_Referentiels!$A$5:$C$16,2,FALSE),"")</x:f>
      </x:c>
      <x:c r="J883">
        <x:f>IF(A883="","",IF(OR(D883="",E883="",F883=""),1,IF(OR(D883&lt;0,D883&gt;3,E883&lt;0,E883&gt;3,F883&lt;0,F883&gt;3),1,0)))</x:f>
      </x:c>
      <x:c r="K883">
        <x:f>IF(A883="","",IF(G883="",1,0))</x:f>
      </x:c>
      <x:c r="L883">
        <x:f>IF(A883="","",IF(COUNTIFS($A$5:$A$2004,A883,$C$5:$C$2004,C883)&gt;1,1,0))</x:f>
      </x:c>
    </x:row>
    <x:row r="884">
      <x:c r="A884" s="8" t="n"/>
      <x:c r="B884" s="8" t="n"/>
      <x:c r="C884" s="8" t="n"/>
      <x:c r="D884" s="8" t="n"/>
      <x:c r="E884" s="8" t="n"/>
      <x:c r="F884" s="8" t="n"/>
      <x:c r="G884" s="7">
        <x:f>IF(A884="","",IF(01_Parametres!$B$11="Oui",IF((01_Parametres!$B$4*(D884&gt;0)+01_Parametres!$B$5*(E884&gt;0)+01_Parametres!$B$6*(F884&gt;0))=0,"",(01_Parametres!$B$4*IF(D884&gt;0,D884,0)+01_Parametres!$B$5*IF(E884&gt;0,E884,0)+01_Parametres!$B$6*IF(F884&gt;0,F884,0))/(01_Parametres!$B$4*(D884&gt;0)+01_Parametres!$B$5*(E884&gt;0)+01_Parametres!$B$6*(F884&gt;0))),IF(01_Parametres!$B$8=0,"",(01_Parametres!$B$4*D884+01_Parametres!$B$5*E884+01_Parametres!$B$6*F884)/01_Parametres!$B$8)))</x:f>
      </x:c>
      <x:c r="H884">
        <x:f>IFERROR(VLOOKUP(C884,02_Referentiels!$A$20:$D$99,3,FALSE),"")</x:f>
      </x:c>
      <x:c r="I884">
        <x:f>IFERROR(VLOOKUP(B884,02_Referentiels!$A$5:$C$16,2,FALSE),"")</x:f>
      </x:c>
      <x:c r="J884">
        <x:f>IF(A884="","",IF(OR(D884="",E884="",F884=""),1,IF(OR(D884&lt;0,D884&gt;3,E884&lt;0,E884&gt;3,F884&lt;0,F884&gt;3),1,0)))</x:f>
      </x:c>
      <x:c r="K884">
        <x:f>IF(A884="","",IF(G884="",1,0))</x:f>
      </x:c>
      <x:c r="L884">
        <x:f>IF(A884="","",IF(COUNTIFS($A$5:$A$2004,A884,$C$5:$C$2004,C884)&gt;1,1,0))</x:f>
      </x:c>
    </x:row>
    <x:row r="885">
      <x:c r="A885" s="8" t="n"/>
      <x:c r="B885" s="8" t="n"/>
      <x:c r="C885" s="8" t="n"/>
      <x:c r="D885" s="8" t="n"/>
      <x:c r="E885" s="8" t="n"/>
      <x:c r="F885" s="8" t="n"/>
      <x:c r="G885" s="7">
        <x:f>IF(A885="","",IF(01_Parametres!$B$11="Oui",IF((01_Parametres!$B$4*(D885&gt;0)+01_Parametres!$B$5*(E885&gt;0)+01_Parametres!$B$6*(F885&gt;0))=0,"",(01_Parametres!$B$4*IF(D885&gt;0,D885,0)+01_Parametres!$B$5*IF(E885&gt;0,E885,0)+01_Parametres!$B$6*IF(F885&gt;0,F885,0))/(01_Parametres!$B$4*(D885&gt;0)+01_Parametres!$B$5*(E885&gt;0)+01_Parametres!$B$6*(F885&gt;0))),IF(01_Parametres!$B$8=0,"",(01_Parametres!$B$4*D885+01_Parametres!$B$5*E885+01_Parametres!$B$6*F885)/01_Parametres!$B$8)))</x:f>
      </x:c>
      <x:c r="H885">
        <x:f>IFERROR(VLOOKUP(C885,02_Referentiels!$A$20:$D$99,3,FALSE),"")</x:f>
      </x:c>
      <x:c r="I885">
        <x:f>IFERROR(VLOOKUP(B885,02_Referentiels!$A$5:$C$16,2,FALSE),"")</x:f>
      </x:c>
      <x:c r="J885">
        <x:f>IF(A885="","",IF(OR(D885="",E885="",F885=""),1,IF(OR(D885&lt;0,D885&gt;3,E885&lt;0,E885&gt;3,F885&lt;0,F885&gt;3),1,0)))</x:f>
      </x:c>
      <x:c r="K885">
        <x:f>IF(A885="","",IF(G885="",1,0))</x:f>
      </x:c>
      <x:c r="L885">
        <x:f>IF(A885="","",IF(COUNTIFS($A$5:$A$2004,A885,$C$5:$C$2004,C885)&gt;1,1,0))</x:f>
      </x:c>
    </x:row>
    <x:row r="886">
      <x:c r="A886" s="8" t="n"/>
      <x:c r="B886" s="8" t="n"/>
      <x:c r="C886" s="8" t="n"/>
      <x:c r="D886" s="8" t="n"/>
      <x:c r="E886" s="8" t="n"/>
      <x:c r="F886" s="8" t="n"/>
      <x:c r="G886" s="7">
        <x:f>IF(A886="","",IF(01_Parametres!$B$11="Oui",IF((01_Parametres!$B$4*(D886&gt;0)+01_Parametres!$B$5*(E886&gt;0)+01_Parametres!$B$6*(F886&gt;0))=0,"",(01_Parametres!$B$4*IF(D886&gt;0,D886,0)+01_Parametres!$B$5*IF(E886&gt;0,E886,0)+01_Parametres!$B$6*IF(F886&gt;0,F886,0))/(01_Parametres!$B$4*(D886&gt;0)+01_Parametres!$B$5*(E886&gt;0)+01_Parametres!$B$6*(F886&gt;0))),IF(01_Parametres!$B$8=0,"",(01_Parametres!$B$4*D886+01_Parametres!$B$5*E886+01_Parametres!$B$6*F886)/01_Parametres!$B$8)))</x:f>
      </x:c>
      <x:c r="H886">
        <x:f>IFERROR(VLOOKUP(C886,02_Referentiels!$A$20:$D$99,3,FALSE),"")</x:f>
      </x:c>
      <x:c r="I886">
        <x:f>IFERROR(VLOOKUP(B886,02_Referentiels!$A$5:$C$16,2,FALSE),"")</x:f>
      </x:c>
      <x:c r="J886">
        <x:f>IF(A886="","",IF(OR(D886="",E886="",F886=""),1,IF(OR(D886&lt;0,D886&gt;3,E886&lt;0,E886&gt;3,F886&lt;0,F886&gt;3),1,0)))</x:f>
      </x:c>
      <x:c r="K886">
        <x:f>IF(A886="","",IF(G886="",1,0))</x:f>
      </x:c>
      <x:c r="L886">
        <x:f>IF(A886="","",IF(COUNTIFS($A$5:$A$2004,A886,$C$5:$C$2004,C886)&gt;1,1,0))</x:f>
      </x:c>
    </x:row>
    <x:row r="887">
      <x:c r="A887" s="8" t="n"/>
      <x:c r="B887" s="8" t="n"/>
      <x:c r="C887" s="8" t="n"/>
      <x:c r="D887" s="8" t="n"/>
      <x:c r="E887" s="8" t="n"/>
      <x:c r="F887" s="8" t="n"/>
      <x:c r="G887" s="7">
        <x:f>IF(A887="","",IF(01_Parametres!$B$11="Oui",IF((01_Parametres!$B$4*(D887&gt;0)+01_Parametres!$B$5*(E887&gt;0)+01_Parametres!$B$6*(F887&gt;0))=0,"",(01_Parametres!$B$4*IF(D887&gt;0,D887,0)+01_Parametres!$B$5*IF(E887&gt;0,E887,0)+01_Parametres!$B$6*IF(F887&gt;0,F887,0))/(01_Parametres!$B$4*(D887&gt;0)+01_Parametres!$B$5*(E887&gt;0)+01_Parametres!$B$6*(F887&gt;0))),IF(01_Parametres!$B$8=0,"",(01_Parametres!$B$4*D887+01_Parametres!$B$5*E887+01_Parametres!$B$6*F887)/01_Parametres!$B$8)))</x:f>
      </x:c>
      <x:c r="H887">
        <x:f>IFERROR(VLOOKUP(C887,02_Referentiels!$A$20:$D$99,3,FALSE),"")</x:f>
      </x:c>
      <x:c r="I887">
        <x:f>IFERROR(VLOOKUP(B887,02_Referentiels!$A$5:$C$16,2,FALSE),"")</x:f>
      </x:c>
      <x:c r="J887">
        <x:f>IF(A887="","",IF(OR(D887="",E887="",F887=""),1,IF(OR(D887&lt;0,D887&gt;3,E887&lt;0,E887&gt;3,F887&lt;0,F887&gt;3),1,0)))</x:f>
      </x:c>
      <x:c r="K887">
        <x:f>IF(A887="","",IF(G887="",1,0))</x:f>
      </x:c>
      <x:c r="L887">
        <x:f>IF(A887="","",IF(COUNTIFS($A$5:$A$2004,A887,$C$5:$C$2004,C887)&gt;1,1,0))</x:f>
      </x:c>
    </x:row>
    <x:row r="888">
      <x:c r="A888" s="8" t="n"/>
      <x:c r="B888" s="8" t="n"/>
      <x:c r="C888" s="8" t="n"/>
      <x:c r="D888" s="8" t="n"/>
      <x:c r="E888" s="8" t="n"/>
      <x:c r="F888" s="8" t="n"/>
      <x:c r="G888" s="7">
        <x:f>IF(A888="","",IF(01_Parametres!$B$11="Oui",IF((01_Parametres!$B$4*(D888&gt;0)+01_Parametres!$B$5*(E888&gt;0)+01_Parametres!$B$6*(F888&gt;0))=0,"",(01_Parametres!$B$4*IF(D888&gt;0,D888,0)+01_Parametres!$B$5*IF(E888&gt;0,E888,0)+01_Parametres!$B$6*IF(F888&gt;0,F888,0))/(01_Parametres!$B$4*(D888&gt;0)+01_Parametres!$B$5*(E888&gt;0)+01_Parametres!$B$6*(F888&gt;0))),IF(01_Parametres!$B$8=0,"",(01_Parametres!$B$4*D888+01_Parametres!$B$5*E888+01_Parametres!$B$6*F888)/01_Parametres!$B$8)))</x:f>
      </x:c>
      <x:c r="H888">
        <x:f>IFERROR(VLOOKUP(C888,02_Referentiels!$A$20:$D$99,3,FALSE),"")</x:f>
      </x:c>
      <x:c r="I888">
        <x:f>IFERROR(VLOOKUP(B888,02_Referentiels!$A$5:$C$16,2,FALSE),"")</x:f>
      </x:c>
      <x:c r="J888">
        <x:f>IF(A888="","",IF(OR(D888="",E888="",F888=""),1,IF(OR(D888&lt;0,D888&gt;3,E888&lt;0,E888&gt;3,F888&lt;0,F888&gt;3),1,0)))</x:f>
      </x:c>
      <x:c r="K888">
        <x:f>IF(A888="","",IF(G888="",1,0))</x:f>
      </x:c>
      <x:c r="L888">
        <x:f>IF(A888="","",IF(COUNTIFS($A$5:$A$2004,A888,$C$5:$C$2004,C888)&gt;1,1,0))</x:f>
      </x:c>
    </x:row>
    <x:row r="889">
      <x:c r="A889" s="8" t="n"/>
      <x:c r="B889" s="8" t="n"/>
      <x:c r="C889" s="8" t="n"/>
      <x:c r="D889" s="8" t="n"/>
      <x:c r="E889" s="8" t="n"/>
      <x:c r="F889" s="8" t="n"/>
      <x:c r="G889" s="7">
        <x:f>IF(A889="","",IF(01_Parametres!$B$11="Oui",IF((01_Parametres!$B$4*(D889&gt;0)+01_Parametres!$B$5*(E889&gt;0)+01_Parametres!$B$6*(F889&gt;0))=0,"",(01_Parametres!$B$4*IF(D889&gt;0,D889,0)+01_Parametres!$B$5*IF(E889&gt;0,E889,0)+01_Parametres!$B$6*IF(F889&gt;0,F889,0))/(01_Parametres!$B$4*(D889&gt;0)+01_Parametres!$B$5*(E889&gt;0)+01_Parametres!$B$6*(F889&gt;0))),IF(01_Parametres!$B$8=0,"",(01_Parametres!$B$4*D889+01_Parametres!$B$5*E889+01_Parametres!$B$6*F889)/01_Parametres!$B$8)))</x:f>
      </x:c>
      <x:c r="H889">
        <x:f>IFERROR(VLOOKUP(C889,02_Referentiels!$A$20:$D$99,3,FALSE),"")</x:f>
      </x:c>
      <x:c r="I889">
        <x:f>IFERROR(VLOOKUP(B889,02_Referentiels!$A$5:$C$16,2,FALSE),"")</x:f>
      </x:c>
      <x:c r="J889">
        <x:f>IF(A889="","",IF(OR(D889="",E889="",F889=""),1,IF(OR(D889&lt;0,D889&gt;3,E889&lt;0,E889&gt;3,F889&lt;0,F889&gt;3),1,0)))</x:f>
      </x:c>
      <x:c r="K889">
        <x:f>IF(A889="","",IF(G889="",1,0))</x:f>
      </x:c>
      <x:c r="L889">
        <x:f>IF(A889="","",IF(COUNTIFS($A$5:$A$2004,A889,$C$5:$C$2004,C889)&gt;1,1,0))</x:f>
      </x:c>
    </x:row>
    <x:row r="890">
      <x:c r="A890" s="8" t="n"/>
      <x:c r="B890" s="8" t="n"/>
      <x:c r="C890" s="8" t="n"/>
      <x:c r="D890" s="8" t="n"/>
      <x:c r="E890" s="8" t="n"/>
      <x:c r="F890" s="8" t="n"/>
      <x:c r="G890" s="7">
        <x:f>IF(A890="","",IF(01_Parametres!$B$11="Oui",IF((01_Parametres!$B$4*(D890&gt;0)+01_Parametres!$B$5*(E890&gt;0)+01_Parametres!$B$6*(F890&gt;0))=0,"",(01_Parametres!$B$4*IF(D890&gt;0,D890,0)+01_Parametres!$B$5*IF(E890&gt;0,E890,0)+01_Parametres!$B$6*IF(F890&gt;0,F890,0))/(01_Parametres!$B$4*(D890&gt;0)+01_Parametres!$B$5*(E890&gt;0)+01_Parametres!$B$6*(F890&gt;0))),IF(01_Parametres!$B$8=0,"",(01_Parametres!$B$4*D890+01_Parametres!$B$5*E890+01_Parametres!$B$6*F890)/01_Parametres!$B$8)))</x:f>
      </x:c>
      <x:c r="H890">
        <x:f>IFERROR(VLOOKUP(C890,02_Referentiels!$A$20:$D$99,3,FALSE),"")</x:f>
      </x:c>
      <x:c r="I890">
        <x:f>IFERROR(VLOOKUP(B890,02_Referentiels!$A$5:$C$16,2,FALSE),"")</x:f>
      </x:c>
      <x:c r="J890">
        <x:f>IF(A890="","",IF(OR(D890="",E890="",F890=""),1,IF(OR(D890&lt;0,D890&gt;3,E890&lt;0,E890&gt;3,F890&lt;0,F890&gt;3),1,0)))</x:f>
      </x:c>
      <x:c r="K890">
        <x:f>IF(A890="","",IF(G890="",1,0))</x:f>
      </x:c>
      <x:c r="L890">
        <x:f>IF(A890="","",IF(COUNTIFS($A$5:$A$2004,A890,$C$5:$C$2004,C890)&gt;1,1,0))</x:f>
      </x:c>
    </x:row>
    <x:row r="891">
      <x:c r="A891" s="8" t="n"/>
      <x:c r="B891" s="8" t="n"/>
      <x:c r="C891" s="8" t="n"/>
      <x:c r="D891" s="8" t="n"/>
      <x:c r="E891" s="8" t="n"/>
      <x:c r="F891" s="8" t="n"/>
      <x:c r="G891" s="7">
        <x:f>IF(A891="","",IF(01_Parametres!$B$11="Oui",IF((01_Parametres!$B$4*(D891&gt;0)+01_Parametres!$B$5*(E891&gt;0)+01_Parametres!$B$6*(F891&gt;0))=0,"",(01_Parametres!$B$4*IF(D891&gt;0,D891,0)+01_Parametres!$B$5*IF(E891&gt;0,E891,0)+01_Parametres!$B$6*IF(F891&gt;0,F891,0))/(01_Parametres!$B$4*(D891&gt;0)+01_Parametres!$B$5*(E891&gt;0)+01_Parametres!$B$6*(F891&gt;0))),IF(01_Parametres!$B$8=0,"",(01_Parametres!$B$4*D891+01_Parametres!$B$5*E891+01_Parametres!$B$6*F891)/01_Parametres!$B$8)))</x:f>
      </x:c>
      <x:c r="H891">
        <x:f>IFERROR(VLOOKUP(C891,02_Referentiels!$A$20:$D$99,3,FALSE),"")</x:f>
      </x:c>
      <x:c r="I891">
        <x:f>IFERROR(VLOOKUP(B891,02_Referentiels!$A$5:$C$16,2,FALSE),"")</x:f>
      </x:c>
      <x:c r="J891">
        <x:f>IF(A891="","",IF(OR(D891="",E891="",F891=""),1,IF(OR(D891&lt;0,D891&gt;3,E891&lt;0,E891&gt;3,F891&lt;0,F891&gt;3),1,0)))</x:f>
      </x:c>
      <x:c r="K891">
        <x:f>IF(A891="","",IF(G891="",1,0))</x:f>
      </x:c>
      <x:c r="L891">
        <x:f>IF(A891="","",IF(COUNTIFS($A$5:$A$2004,A891,$C$5:$C$2004,C891)&gt;1,1,0))</x:f>
      </x:c>
    </x:row>
    <x:row r="892">
      <x:c r="A892" s="8" t="n"/>
      <x:c r="B892" s="8" t="n"/>
      <x:c r="C892" s="8" t="n"/>
      <x:c r="D892" s="8" t="n"/>
      <x:c r="E892" s="8" t="n"/>
      <x:c r="F892" s="8" t="n"/>
      <x:c r="G892" s="7">
        <x:f>IF(A892="","",IF(01_Parametres!$B$11="Oui",IF((01_Parametres!$B$4*(D892&gt;0)+01_Parametres!$B$5*(E892&gt;0)+01_Parametres!$B$6*(F892&gt;0))=0,"",(01_Parametres!$B$4*IF(D892&gt;0,D892,0)+01_Parametres!$B$5*IF(E892&gt;0,E892,0)+01_Parametres!$B$6*IF(F892&gt;0,F892,0))/(01_Parametres!$B$4*(D892&gt;0)+01_Parametres!$B$5*(E892&gt;0)+01_Parametres!$B$6*(F892&gt;0))),IF(01_Parametres!$B$8=0,"",(01_Parametres!$B$4*D892+01_Parametres!$B$5*E892+01_Parametres!$B$6*F892)/01_Parametres!$B$8)))</x:f>
      </x:c>
      <x:c r="H892">
        <x:f>IFERROR(VLOOKUP(C892,02_Referentiels!$A$20:$D$99,3,FALSE),"")</x:f>
      </x:c>
      <x:c r="I892">
        <x:f>IFERROR(VLOOKUP(B892,02_Referentiels!$A$5:$C$16,2,FALSE),"")</x:f>
      </x:c>
      <x:c r="J892">
        <x:f>IF(A892="","",IF(OR(D892="",E892="",F892=""),1,IF(OR(D892&lt;0,D892&gt;3,E892&lt;0,E892&gt;3,F892&lt;0,F892&gt;3),1,0)))</x:f>
      </x:c>
      <x:c r="K892">
        <x:f>IF(A892="","",IF(G892="",1,0))</x:f>
      </x:c>
      <x:c r="L892">
        <x:f>IF(A892="","",IF(COUNTIFS($A$5:$A$2004,A892,$C$5:$C$2004,C892)&gt;1,1,0))</x:f>
      </x:c>
    </x:row>
    <x:row r="893">
      <x:c r="A893" s="8" t="n"/>
      <x:c r="B893" s="8" t="n"/>
      <x:c r="C893" s="8" t="n"/>
      <x:c r="D893" s="8" t="n"/>
      <x:c r="E893" s="8" t="n"/>
      <x:c r="F893" s="8" t="n"/>
      <x:c r="G893" s="7">
        <x:f>IF(A893="","",IF(01_Parametres!$B$11="Oui",IF((01_Parametres!$B$4*(D893&gt;0)+01_Parametres!$B$5*(E893&gt;0)+01_Parametres!$B$6*(F893&gt;0))=0,"",(01_Parametres!$B$4*IF(D893&gt;0,D893,0)+01_Parametres!$B$5*IF(E893&gt;0,E893,0)+01_Parametres!$B$6*IF(F893&gt;0,F893,0))/(01_Parametres!$B$4*(D893&gt;0)+01_Parametres!$B$5*(E893&gt;0)+01_Parametres!$B$6*(F893&gt;0))),IF(01_Parametres!$B$8=0,"",(01_Parametres!$B$4*D893+01_Parametres!$B$5*E893+01_Parametres!$B$6*F893)/01_Parametres!$B$8)))</x:f>
      </x:c>
      <x:c r="H893">
        <x:f>IFERROR(VLOOKUP(C893,02_Referentiels!$A$20:$D$99,3,FALSE),"")</x:f>
      </x:c>
      <x:c r="I893">
        <x:f>IFERROR(VLOOKUP(B893,02_Referentiels!$A$5:$C$16,2,FALSE),"")</x:f>
      </x:c>
      <x:c r="J893">
        <x:f>IF(A893="","",IF(OR(D893="",E893="",F893=""),1,IF(OR(D893&lt;0,D893&gt;3,E893&lt;0,E893&gt;3,F893&lt;0,F893&gt;3),1,0)))</x:f>
      </x:c>
      <x:c r="K893">
        <x:f>IF(A893="","",IF(G893="",1,0))</x:f>
      </x:c>
      <x:c r="L893">
        <x:f>IF(A893="","",IF(COUNTIFS($A$5:$A$2004,A893,$C$5:$C$2004,C893)&gt;1,1,0))</x:f>
      </x:c>
    </x:row>
    <x:row r="894">
      <x:c r="A894" s="8" t="n"/>
      <x:c r="B894" s="8" t="n"/>
      <x:c r="C894" s="8" t="n"/>
      <x:c r="D894" s="8" t="n"/>
      <x:c r="E894" s="8" t="n"/>
      <x:c r="F894" s="8" t="n"/>
      <x:c r="G894" s="7">
        <x:f>IF(A894="","",IF(01_Parametres!$B$11="Oui",IF((01_Parametres!$B$4*(D894&gt;0)+01_Parametres!$B$5*(E894&gt;0)+01_Parametres!$B$6*(F894&gt;0))=0,"",(01_Parametres!$B$4*IF(D894&gt;0,D894,0)+01_Parametres!$B$5*IF(E894&gt;0,E894,0)+01_Parametres!$B$6*IF(F894&gt;0,F894,0))/(01_Parametres!$B$4*(D894&gt;0)+01_Parametres!$B$5*(E894&gt;0)+01_Parametres!$B$6*(F894&gt;0))),IF(01_Parametres!$B$8=0,"",(01_Parametres!$B$4*D894+01_Parametres!$B$5*E894+01_Parametres!$B$6*F894)/01_Parametres!$B$8)))</x:f>
      </x:c>
      <x:c r="H894">
        <x:f>IFERROR(VLOOKUP(C894,02_Referentiels!$A$20:$D$99,3,FALSE),"")</x:f>
      </x:c>
      <x:c r="I894">
        <x:f>IFERROR(VLOOKUP(B894,02_Referentiels!$A$5:$C$16,2,FALSE),"")</x:f>
      </x:c>
      <x:c r="J894">
        <x:f>IF(A894="","",IF(OR(D894="",E894="",F894=""),1,IF(OR(D894&lt;0,D894&gt;3,E894&lt;0,E894&gt;3,F894&lt;0,F894&gt;3),1,0)))</x:f>
      </x:c>
      <x:c r="K894">
        <x:f>IF(A894="","",IF(G894="",1,0))</x:f>
      </x:c>
      <x:c r="L894">
        <x:f>IF(A894="","",IF(COUNTIFS($A$5:$A$2004,A894,$C$5:$C$2004,C894)&gt;1,1,0))</x:f>
      </x:c>
    </x:row>
    <x:row r="895">
      <x:c r="A895" s="8" t="n"/>
      <x:c r="B895" s="8" t="n"/>
      <x:c r="C895" s="8" t="n"/>
      <x:c r="D895" s="8" t="n"/>
      <x:c r="E895" s="8" t="n"/>
      <x:c r="F895" s="8" t="n"/>
      <x:c r="G895" s="7">
        <x:f>IF(A895="","",IF(01_Parametres!$B$11="Oui",IF((01_Parametres!$B$4*(D895&gt;0)+01_Parametres!$B$5*(E895&gt;0)+01_Parametres!$B$6*(F895&gt;0))=0,"",(01_Parametres!$B$4*IF(D895&gt;0,D895,0)+01_Parametres!$B$5*IF(E895&gt;0,E895,0)+01_Parametres!$B$6*IF(F895&gt;0,F895,0))/(01_Parametres!$B$4*(D895&gt;0)+01_Parametres!$B$5*(E895&gt;0)+01_Parametres!$B$6*(F895&gt;0))),IF(01_Parametres!$B$8=0,"",(01_Parametres!$B$4*D895+01_Parametres!$B$5*E895+01_Parametres!$B$6*F895)/01_Parametres!$B$8)))</x:f>
      </x:c>
      <x:c r="H895">
        <x:f>IFERROR(VLOOKUP(C895,02_Referentiels!$A$20:$D$99,3,FALSE),"")</x:f>
      </x:c>
      <x:c r="I895">
        <x:f>IFERROR(VLOOKUP(B895,02_Referentiels!$A$5:$C$16,2,FALSE),"")</x:f>
      </x:c>
      <x:c r="J895">
        <x:f>IF(A895="","",IF(OR(D895="",E895="",F895=""),1,IF(OR(D895&lt;0,D895&gt;3,E895&lt;0,E895&gt;3,F895&lt;0,F895&gt;3),1,0)))</x:f>
      </x:c>
      <x:c r="K895">
        <x:f>IF(A895="","",IF(G895="",1,0))</x:f>
      </x:c>
      <x:c r="L895">
        <x:f>IF(A895="","",IF(COUNTIFS($A$5:$A$2004,A895,$C$5:$C$2004,C895)&gt;1,1,0))</x:f>
      </x:c>
    </x:row>
    <x:row r="896">
      <x:c r="A896" s="8" t="n"/>
      <x:c r="B896" s="8" t="n"/>
      <x:c r="C896" s="8" t="n"/>
      <x:c r="D896" s="8" t="n"/>
      <x:c r="E896" s="8" t="n"/>
      <x:c r="F896" s="8" t="n"/>
      <x:c r="G896" s="7">
        <x:f>IF(A896="","",IF(01_Parametres!$B$11="Oui",IF((01_Parametres!$B$4*(D896&gt;0)+01_Parametres!$B$5*(E896&gt;0)+01_Parametres!$B$6*(F896&gt;0))=0,"",(01_Parametres!$B$4*IF(D896&gt;0,D896,0)+01_Parametres!$B$5*IF(E896&gt;0,E896,0)+01_Parametres!$B$6*IF(F896&gt;0,F896,0))/(01_Parametres!$B$4*(D896&gt;0)+01_Parametres!$B$5*(E896&gt;0)+01_Parametres!$B$6*(F896&gt;0))),IF(01_Parametres!$B$8=0,"",(01_Parametres!$B$4*D896+01_Parametres!$B$5*E896+01_Parametres!$B$6*F896)/01_Parametres!$B$8)))</x:f>
      </x:c>
      <x:c r="H896">
        <x:f>IFERROR(VLOOKUP(C896,02_Referentiels!$A$20:$D$99,3,FALSE),"")</x:f>
      </x:c>
      <x:c r="I896">
        <x:f>IFERROR(VLOOKUP(B896,02_Referentiels!$A$5:$C$16,2,FALSE),"")</x:f>
      </x:c>
      <x:c r="J896">
        <x:f>IF(A896="","",IF(OR(D896="",E896="",F896=""),1,IF(OR(D896&lt;0,D896&gt;3,E896&lt;0,E896&gt;3,F896&lt;0,F896&gt;3),1,0)))</x:f>
      </x:c>
      <x:c r="K896">
        <x:f>IF(A896="","",IF(G896="",1,0))</x:f>
      </x:c>
      <x:c r="L896">
        <x:f>IF(A896="","",IF(COUNTIFS($A$5:$A$2004,A896,$C$5:$C$2004,C896)&gt;1,1,0))</x:f>
      </x:c>
    </x:row>
    <x:row r="897">
      <x:c r="A897" s="8" t="n"/>
      <x:c r="B897" s="8" t="n"/>
      <x:c r="C897" s="8" t="n"/>
      <x:c r="D897" s="8" t="n"/>
      <x:c r="E897" s="8" t="n"/>
      <x:c r="F897" s="8" t="n"/>
      <x:c r="G897" s="7">
        <x:f>IF(A897="","",IF(01_Parametres!$B$11="Oui",IF((01_Parametres!$B$4*(D897&gt;0)+01_Parametres!$B$5*(E897&gt;0)+01_Parametres!$B$6*(F897&gt;0))=0,"",(01_Parametres!$B$4*IF(D897&gt;0,D897,0)+01_Parametres!$B$5*IF(E897&gt;0,E897,0)+01_Parametres!$B$6*IF(F897&gt;0,F897,0))/(01_Parametres!$B$4*(D897&gt;0)+01_Parametres!$B$5*(E897&gt;0)+01_Parametres!$B$6*(F897&gt;0))),IF(01_Parametres!$B$8=0,"",(01_Parametres!$B$4*D897+01_Parametres!$B$5*E897+01_Parametres!$B$6*F897)/01_Parametres!$B$8)))</x:f>
      </x:c>
      <x:c r="H897">
        <x:f>IFERROR(VLOOKUP(C897,02_Referentiels!$A$20:$D$99,3,FALSE),"")</x:f>
      </x:c>
      <x:c r="I897">
        <x:f>IFERROR(VLOOKUP(B897,02_Referentiels!$A$5:$C$16,2,FALSE),"")</x:f>
      </x:c>
      <x:c r="J897">
        <x:f>IF(A897="","",IF(OR(D897="",E897="",F897=""),1,IF(OR(D897&lt;0,D897&gt;3,E897&lt;0,E897&gt;3,F897&lt;0,F897&gt;3),1,0)))</x:f>
      </x:c>
      <x:c r="K897">
        <x:f>IF(A897="","",IF(G897="",1,0))</x:f>
      </x:c>
      <x:c r="L897">
        <x:f>IF(A897="","",IF(COUNTIFS($A$5:$A$2004,A897,$C$5:$C$2004,C897)&gt;1,1,0))</x:f>
      </x:c>
    </x:row>
    <x:row r="898">
      <x:c r="A898" s="8" t="n"/>
      <x:c r="B898" s="8" t="n"/>
      <x:c r="C898" s="8" t="n"/>
      <x:c r="D898" s="8" t="n"/>
      <x:c r="E898" s="8" t="n"/>
      <x:c r="F898" s="8" t="n"/>
      <x:c r="G898" s="7">
        <x:f>IF(A898="","",IF(01_Parametres!$B$11="Oui",IF((01_Parametres!$B$4*(D898&gt;0)+01_Parametres!$B$5*(E898&gt;0)+01_Parametres!$B$6*(F898&gt;0))=0,"",(01_Parametres!$B$4*IF(D898&gt;0,D898,0)+01_Parametres!$B$5*IF(E898&gt;0,E898,0)+01_Parametres!$B$6*IF(F898&gt;0,F898,0))/(01_Parametres!$B$4*(D898&gt;0)+01_Parametres!$B$5*(E898&gt;0)+01_Parametres!$B$6*(F898&gt;0))),IF(01_Parametres!$B$8=0,"",(01_Parametres!$B$4*D898+01_Parametres!$B$5*E898+01_Parametres!$B$6*F898)/01_Parametres!$B$8)))</x:f>
      </x:c>
      <x:c r="H898">
        <x:f>IFERROR(VLOOKUP(C898,02_Referentiels!$A$20:$D$99,3,FALSE),"")</x:f>
      </x:c>
      <x:c r="I898">
        <x:f>IFERROR(VLOOKUP(B898,02_Referentiels!$A$5:$C$16,2,FALSE),"")</x:f>
      </x:c>
      <x:c r="J898">
        <x:f>IF(A898="","",IF(OR(D898="",E898="",F898=""),1,IF(OR(D898&lt;0,D898&gt;3,E898&lt;0,E898&gt;3,F898&lt;0,F898&gt;3),1,0)))</x:f>
      </x:c>
      <x:c r="K898">
        <x:f>IF(A898="","",IF(G898="",1,0))</x:f>
      </x:c>
      <x:c r="L898">
        <x:f>IF(A898="","",IF(COUNTIFS($A$5:$A$2004,A898,$C$5:$C$2004,C898)&gt;1,1,0))</x:f>
      </x:c>
    </x:row>
    <x:row r="899">
      <x:c r="A899" s="8" t="n"/>
      <x:c r="B899" s="8" t="n"/>
      <x:c r="C899" s="8" t="n"/>
      <x:c r="D899" s="8" t="n"/>
      <x:c r="E899" s="8" t="n"/>
      <x:c r="F899" s="8" t="n"/>
      <x:c r="G899" s="7">
        <x:f>IF(A899="","",IF(01_Parametres!$B$11="Oui",IF((01_Parametres!$B$4*(D899&gt;0)+01_Parametres!$B$5*(E899&gt;0)+01_Parametres!$B$6*(F899&gt;0))=0,"",(01_Parametres!$B$4*IF(D899&gt;0,D899,0)+01_Parametres!$B$5*IF(E899&gt;0,E899,0)+01_Parametres!$B$6*IF(F899&gt;0,F899,0))/(01_Parametres!$B$4*(D899&gt;0)+01_Parametres!$B$5*(E899&gt;0)+01_Parametres!$B$6*(F899&gt;0))),IF(01_Parametres!$B$8=0,"",(01_Parametres!$B$4*D899+01_Parametres!$B$5*E899+01_Parametres!$B$6*F899)/01_Parametres!$B$8)))</x:f>
      </x:c>
      <x:c r="H899">
        <x:f>IFERROR(VLOOKUP(C899,02_Referentiels!$A$20:$D$99,3,FALSE),"")</x:f>
      </x:c>
      <x:c r="I899">
        <x:f>IFERROR(VLOOKUP(B899,02_Referentiels!$A$5:$C$16,2,FALSE),"")</x:f>
      </x:c>
      <x:c r="J899">
        <x:f>IF(A899="","",IF(OR(D899="",E899="",F899=""),1,IF(OR(D899&lt;0,D899&gt;3,E899&lt;0,E899&gt;3,F899&lt;0,F899&gt;3),1,0)))</x:f>
      </x:c>
      <x:c r="K899">
        <x:f>IF(A899="","",IF(G899="",1,0))</x:f>
      </x:c>
      <x:c r="L899">
        <x:f>IF(A899="","",IF(COUNTIFS($A$5:$A$2004,A899,$C$5:$C$2004,C899)&gt;1,1,0))</x:f>
      </x:c>
    </x:row>
    <x:row r="900">
      <x:c r="A900" s="8" t="n"/>
      <x:c r="B900" s="8" t="n"/>
      <x:c r="C900" s="8" t="n"/>
      <x:c r="D900" s="8" t="n"/>
      <x:c r="E900" s="8" t="n"/>
      <x:c r="F900" s="8" t="n"/>
      <x:c r="G900" s="7">
        <x:f>IF(A900="","",IF(01_Parametres!$B$11="Oui",IF((01_Parametres!$B$4*(D900&gt;0)+01_Parametres!$B$5*(E900&gt;0)+01_Parametres!$B$6*(F900&gt;0))=0,"",(01_Parametres!$B$4*IF(D900&gt;0,D900,0)+01_Parametres!$B$5*IF(E900&gt;0,E900,0)+01_Parametres!$B$6*IF(F900&gt;0,F900,0))/(01_Parametres!$B$4*(D900&gt;0)+01_Parametres!$B$5*(E900&gt;0)+01_Parametres!$B$6*(F900&gt;0))),IF(01_Parametres!$B$8=0,"",(01_Parametres!$B$4*D900+01_Parametres!$B$5*E900+01_Parametres!$B$6*F900)/01_Parametres!$B$8)))</x:f>
      </x:c>
      <x:c r="H900">
        <x:f>IFERROR(VLOOKUP(C900,02_Referentiels!$A$20:$D$99,3,FALSE),"")</x:f>
      </x:c>
      <x:c r="I900">
        <x:f>IFERROR(VLOOKUP(B900,02_Referentiels!$A$5:$C$16,2,FALSE),"")</x:f>
      </x:c>
      <x:c r="J900">
        <x:f>IF(A900="","",IF(OR(D900="",E900="",F900=""),1,IF(OR(D900&lt;0,D900&gt;3,E900&lt;0,E900&gt;3,F900&lt;0,F900&gt;3),1,0)))</x:f>
      </x:c>
      <x:c r="K900">
        <x:f>IF(A900="","",IF(G900="",1,0))</x:f>
      </x:c>
      <x:c r="L900">
        <x:f>IF(A900="","",IF(COUNTIFS($A$5:$A$2004,A900,$C$5:$C$2004,C900)&gt;1,1,0))</x:f>
      </x:c>
    </x:row>
    <x:row r="901">
      <x:c r="A901" s="8" t="n"/>
      <x:c r="B901" s="8" t="n"/>
      <x:c r="C901" s="8" t="n"/>
      <x:c r="D901" s="8" t="n"/>
      <x:c r="E901" s="8" t="n"/>
      <x:c r="F901" s="8" t="n"/>
      <x:c r="G901" s="7">
        <x:f>IF(A901="","",IF(01_Parametres!$B$11="Oui",IF((01_Parametres!$B$4*(D901&gt;0)+01_Parametres!$B$5*(E901&gt;0)+01_Parametres!$B$6*(F901&gt;0))=0,"",(01_Parametres!$B$4*IF(D901&gt;0,D901,0)+01_Parametres!$B$5*IF(E901&gt;0,E901,0)+01_Parametres!$B$6*IF(F901&gt;0,F901,0))/(01_Parametres!$B$4*(D901&gt;0)+01_Parametres!$B$5*(E901&gt;0)+01_Parametres!$B$6*(F901&gt;0))),IF(01_Parametres!$B$8=0,"",(01_Parametres!$B$4*D901+01_Parametres!$B$5*E901+01_Parametres!$B$6*F901)/01_Parametres!$B$8)))</x:f>
      </x:c>
      <x:c r="H901">
        <x:f>IFERROR(VLOOKUP(C901,02_Referentiels!$A$20:$D$99,3,FALSE),"")</x:f>
      </x:c>
      <x:c r="I901">
        <x:f>IFERROR(VLOOKUP(B901,02_Referentiels!$A$5:$C$16,2,FALSE),"")</x:f>
      </x:c>
      <x:c r="J901">
        <x:f>IF(A901="","",IF(OR(D901="",E901="",F901=""),1,IF(OR(D901&lt;0,D901&gt;3,E901&lt;0,E901&gt;3,F901&lt;0,F901&gt;3),1,0)))</x:f>
      </x:c>
      <x:c r="K901">
        <x:f>IF(A901="","",IF(G901="",1,0))</x:f>
      </x:c>
      <x:c r="L901">
        <x:f>IF(A901="","",IF(COUNTIFS($A$5:$A$2004,A901,$C$5:$C$2004,C901)&gt;1,1,0))</x:f>
      </x:c>
    </x:row>
    <x:row r="902">
      <x:c r="A902" s="8" t="n"/>
      <x:c r="B902" s="8" t="n"/>
      <x:c r="C902" s="8" t="n"/>
      <x:c r="D902" s="8" t="n"/>
      <x:c r="E902" s="8" t="n"/>
      <x:c r="F902" s="8" t="n"/>
      <x:c r="G902" s="7">
        <x:f>IF(A902="","",IF(01_Parametres!$B$11="Oui",IF((01_Parametres!$B$4*(D902&gt;0)+01_Parametres!$B$5*(E902&gt;0)+01_Parametres!$B$6*(F902&gt;0))=0,"",(01_Parametres!$B$4*IF(D902&gt;0,D902,0)+01_Parametres!$B$5*IF(E902&gt;0,E902,0)+01_Parametres!$B$6*IF(F902&gt;0,F902,0))/(01_Parametres!$B$4*(D902&gt;0)+01_Parametres!$B$5*(E902&gt;0)+01_Parametres!$B$6*(F902&gt;0))),IF(01_Parametres!$B$8=0,"",(01_Parametres!$B$4*D902+01_Parametres!$B$5*E902+01_Parametres!$B$6*F902)/01_Parametres!$B$8)))</x:f>
      </x:c>
      <x:c r="H902">
        <x:f>IFERROR(VLOOKUP(C902,02_Referentiels!$A$20:$D$99,3,FALSE),"")</x:f>
      </x:c>
      <x:c r="I902">
        <x:f>IFERROR(VLOOKUP(B902,02_Referentiels!$A$5:$C$16,2,FALSE),"")</x:f>
      </x:c>
      <x:c r="J902">
        <x:f>IF(A902="","",IF(OR(D902="",E902="",F902=""),1,IF(OR(D902&lt;0,D902&gt;3,E902&lt;0,E902&gt;3,F902&lt;0,F902&gt;3),1,0)))</x:f>
      </x:c>
      <x:c r="K902">
        <x:f>IF(A902="","",IF(G902="",1,0))</x:f>
      </x:c>
      <x:c r="L902">
        <x:f>IF(A902="","",IF(COUNTIFS($A$5:$A$2004,A902,$C$5:$C$2004,C902)&gt;1,1,0))</x:f>
      </x:c>
    </x:row>
    <x:row r="903">
      <x:c r="A903" s="8" t="n"/>
      <x:c r="B903" s="8" t="n"/>
      <x:c r="C903" s="8" t="n"/>
      <x:c r="D903" s="8" t="n"/>
      <x:c r="E903" s="8" t="n"/>
      <x:c r="F903" s="8" t="n"/>
      <x:c r="G903" s="7">
        <x:f>IF(A903="","",IF(01_Parametres!$B$11="Oui",IF((01_Parametres!$B$4*(D903&gt;0)+01_Parametres!$B$5*(E903&gt;0)+01_Parametres!$B$6*(F903&gt;0))=0,"",(01_Parametres!$B$4*IF(D903&gt;0,D903,0)+01_Parametres!$B$5*IF(E903&gt;0,E903,0)+01_Parametres!$B$6*IF(F903&gt;0,F903,0))/(01_Parametres!$B$4*(D903&gt;0)+01_Parametres!$B$5*(E903&gt;0)+01_Parametres!$B$6*(F903&gt;0))),IF(01_Parametres!$B$8=0,"",(01_Parametres!$B$4*D903+01_Parametres!$B$5*E903+01_Parametres!$B$6*F903)/01_Parametres!$B$8)))</x:f>
      </x:c>
      <x:c r="H903">
        <x:f>IFERROR(VLOOKUP(C903,02_Referentiels!$A$20:$D$99,3,FALSE),"")</x:f>
      </x:c>
      <x:c r="I903">
        <x:f>IFERROR(VLOOKUP(B903,02_Referentiels!$A$5:$C$16,2,FALSE),"")</x:f>
      </x:c>
      <x:c r="J903">
        <x:f>IF(A903="","",IF(OR(D903="",E903="",F903=""),1,IF(OR(D903&lt;0,D903&gt;3,E903&lt;0,E903&gt;3,F903&lt;0,F903&gt;3),1,0)))</x:f>
      </x:c>
      <x:c r="K903">
        <x:f>IF(A903="","",IF(G903="",1,0))</x:f>
      </x:c>
      <x:c r="L903">
        <x:f>IF(A903="","",IF(COUNTIFS($A$5:$A$2004,A903,$C$5:$C$2004,C903)&gt;1,1,0))</x:f>
      </x:c>
    </x:row>
    <x:row r="904">
      <x:c r="A904" s="8" t="n"/>
      <x:c r="B904" s="8" t="n"/>
      <x:c r="C904" s="8" t="n"/>
      <x:c r="D904" s="8" t="n"/>
      <x:c r="E904" s="8" t="n"/>
      <x:c r="F904" s="8" t="n"/>
      <x:c r="G904" s="7">
        <x:f>IF(A904="","",IF(01_Parametres!$B$11="Oui",IF((01_Parametres!$B$4*(D904&gt;0)+01_Parametres!$B$5*(E904&gt;0)+01_Parametres!$B$6*(F904&gt;0))=0,"",(01_Parametres!$B$4*IF(D904&gt;0,D904,0)+01_Parametres!$B$5*IF(E904&gt;0,E904,0)+01_Parametres!$B$6*IF(F904&gt;0,F904,0))/(01_Parametres!$B$4*(D904&gt;0)+01_Parametres!$B$5*(E904&gt;0)+01_Parametres!$B$6*(F904&gt;0))),IF(01_Parametres!$B$8=0,"",(01_Parametres!$B$4*D904+01_Parametres!$B$5*E904+01_Parametres!$B$6*F904)/01_Parametres!$B$8)))</x:f>
      </x:c>
      <x:c r="H904">
        <x:f>IFERROR(VLOOKUP(C904,02_Referentiels!$A$20:$D$99,3,FALSE),"")</x:f>
      </x:c>
      <x:c r="I904">
        <x:f>IFERROR(VLOOKUP(B904,02_Referentiels!$A$5:$C$16,2,FALSE),"")</x:f>
      </x:c>
      <x:c r="J904">
        <x:f>IF(A904="","",IF(OR(D904="",E904="",F904=""),1,IF(OR(D904&lt;0,D904&gt;3,E904&lt;0,E904&gt;3,F904&lt;0,F904&gt;3),1,0)))</x:f>
      </x:c>
      <x:c r="K904">
        <x:f>IF(A904="","",IF(G904="",1,0))</x:f>
      </x:c>
      <x:c r="L904">
        <x:f>IF(A904="","",IF(COUNTIFS($A$5:$A$2004,A904,$C$5:$C$2004,C904)&gt;1,1,0))</x:f>
      </x:c>
    </x:row>
    <x:row r="905">
      <x:c r="A905" s="8" t="n"/>
      <x:c r="B905" s="8" t="n"/>
      <x:c r="C905" s="8" t="n"/>
      <x:c r="D905" s="8" t="n"/>
      <x:c r="E905" s="8" t="n"/>
      <x:c r="F905" s="8" t="n"/>
      <x:c r="G905" s="7">
        <x:f>IF(A905="","",IF(01_Parametres!$B$11="Oui",IF((01_Parametres!$B$4*(D905&gt;0)+01_Parametres!$B$5*(E905&gt;0)+01_Parametres!$B$6*(F905&gt;0))=0,"",(01_Parametres!$B$4*IF(D905&gt;0,D905,0)+01_Parametres!$B$5*IF(E905&gt;0,E905,0)+01_Parametres!$B$6*IF(F905&gt;0,F905,0))/(01_Parametres!$B$4*(D905&gt;0)+01_Parametres!$B$5*(E905&gt;0)+01_Parametres!$B$6*(F905&gt;0))),IF(01_Parametres!$B$8=0,"",(01_Parametres!$B$4*D905+01_Parametres!$B$5*E905+01_Parametres!$B$6*F905)/01_Parametres!$B$8)))</x:f>
      </x:c>
      <x:c r="H905">
        <x:f>IFERROR(VLOOKUP(C905,02_Referentiels!$A$20:$D$99,3,FALSE),"")</x:f>
      </x:c>
      <x:c r="I905">
        <x:f>IFERROR(VLOOKUP(B905,02_Referentiels!$A$5:$C$16,2,FALSE),"")</x:f>
      </x:c>
      <x:c r="J905">
        <x:f>IF(A905="","",IF(OR(D905="",E905="",F905=""),1,IF(OR(D905&lt;0,D905&gt;3,E905&lt;0,E905&gt;3,F905&lt;0,F905&gt;3),1,0)))</x:f>
      </x:c>
      <x:c r="K905">
        <x:f>IF(A905="","",IF(G905="",1,0))</x:f>
      </x:c>
      <x:c r="L905">
        <x:f>IF(A905="","",IF(COUNTIFS($A$5:$A$2004,A905,$C$5:$C$2004,C905)&gt;1,1,0))</x:f>
      </x:c>
    </x:row>
    <x:row r="906">
      <x:c r="A906" s="8" t="n"/>
      <x:c r="B906" s="8" t="n"/>
      <x:c r="C906" s="8" t="n"/>
      <x:c r="D906" s="8" t="n"/>
      <x:c r="E906" s="8" t="n"/>
      <x:c r="F906" s="8" t="n"/>
      <x:c r="G906" s="7">
        <x:f>IF(A906="","",IF(01_Parametres!$B$11="Oui",IF((01_Parametres!$B$4*(D906&gt;0)+01_Parametres!$B$5*(E906&gt;0)+01_Parametres!$B$6*(F906&gt;0))=0,"",(01_Parametres!$B$4*IF(D906&gt;0,D906,0)+01_Parametres!$B$5*IF(E906&gt;0,E906,0)+01_Parametres!$B$6*IF(F906&gt;0,F906,0))/(01_Parametres!$B$4*(D906&gt;0)+01_Parametres!$B$5*(E906&gt;0)+01_Parametres!$B$6*(F906&gt;0))),IF(01_Parametres!$B$8=0,"",(01_Parametres!$B$4*D906+01_Parametres!$B$5*E906+01_Parametres!$B$6*F906)/01_Parametres!$B$8)))</x:f>
      </x:c>
      <x:c r="H906">
        <x:f>IFERROR(VLOOKUP(C906,02_Referentiels!$A$20:$D$99,3,FALSE),"")</x:f>
      </x:c>
      <x:c r="I906">
        <x:f>IFERROR(VLOOKUP(B906,02_Referentiels!$A$5:$C$16,2,FALSE),"")</x:f>
      </x:c>
      <x:c r="J906">
        <x:f>IF(A906="","",IF(OR(D906="",E906="",F906=""),1,IF(OR(D906&lt;0,D906&gt;3,E906&lt;0,E906&gt;3,F906&lt;0,F906&gt;3),1,0)))</x:f>
      </x:c>
      <x:c r="K906">
        <x:f>IF(A906="","",IF(G906="",1,0))</x:f>
      </x:c>
      <x:c r="L906">
        <x:f>IF(A906="","",IF(COUNTIFS($A$5:$A$2004,A906,$C$5:$C$2004,C906)&gt;1,1,0))</x:f>
      </x:c>
    </x:row>
    <x:row r="907">
      <x:c r="A907" s="8" t="n"/>
      <x:c r="B907" s="8" t="n"/>
      <x:c r="C907" s="8" t="n"/>
      <x:c r="D907" s="8" t="n"/>
      <x:c r="E907" s="8" t="n"/>
      <x:c r="F907" s="8" t="n"/>
      <x:c r="G907" s="7">
        <x:f>IF(A907="","",IF(01_Parametres!$B$11="Oui",IF((01_Parametres!$B$4*(D907&gt;0)+01_Parametres!$B$5*(E907&gt;0)+01_Parametres!$B$6*(F907&gt;0))=0,"",(01_Parametres!$B$4*IF(D907&gt;0,D907,0)+01_Parametres!$B$5*IF(E907&gt;0,E907,0)+01_Parametres!$B$6*IF(F907&gt;0,F907,0))/(01_Parametres!$B$4*(D907&gt;0)+01_Parametres!$B$5*(E907&gt;0)+01_Parametres!$B$6*(F907&gt;0))),IF(01_Parametres!$B$8=0,"",(01_Parametres!$B$4*D907+01_Parametres!$B$5*E907+01_Parametres!$B$6*F907)/01_Parametres!$B$8)))</x:f>
      </x:c>
      <x:c r="H907">
        <x:f>IFERROR(VLOOKUP(C907,02_Referentiels!$A$20:$D$99,3,FALSE),"")</x:f>
      </x:c>
      <x:c r="I907">
        <x:f>IFERROR(VLOOKUP(B907,02_Referentiels!$A$5:$C$16,2,FALSE),"")</x:f>
      </x:c>
      <x:c r="J907">
        <x:f>IF(A907="","",IF(OR(D907="",E907="",F907=""),1,IF(OR(D907&lt;0,D907&gt;3,E907&lt;0,E907&gt;3,F907&lt;0,F907&gt;3),1,0)))</x:f>
      </x:c>
      <x:c r="K907">
        <x:f>IF(A907="","",IF(G907="",1,0))</x:f>
      </x:c>
      <x:c r="L907">
        <x:f>IF(A907="","",IF(COUNTIFS($A$5:$A$2004,A907,$C$5:$C$2004,C907)&gt;1,1,0))</x:f>
      </x:c>
    </x:row>
    <x:row r="908">
      <x:c r="A908" s="8" t="n"/>
      <x:c r="B908" s="8" t="n"/>
      <x:c r="C908" s="8" t="n"/>
      <x:c r="D908" s="8" t="n"/>
      <x:c r="E908" s="8" t="n"/>
      <x:c r="F908" s="8" t="n"/>
      <x:c r="G908" s="7">
        <x:f>IF(A908="","",IF(01_Parametres!$B$11="Oui",IF((01_Parametres!$B$4*(D908&gt;0)+01_Parametres!$B$5*(E908&gt;0)+01_Parametres!$B$6*(F908&gt;0))=0,"",(01_Parametres!$B$4*IF(D908&gt;0,D908,0)+01_Parametres!$B$5*IF(E908&gt;0,E908,0)+01_Parametres!$B$6*IF(F908&gt;0,F908,0))/(01_Parametres!$B$4*(D908&gt;0)+01_Parametres!$B$5*(E908&gt;0)+01_Parametres!$B$6*(F908&gt;0))),IF(01_Parametres!$B$8=0,"",(01_Parametres!$B$4*D908+01_Parametres!$B$5*E908+01_Parametres!$B$6*F908)/01_Parametres!$B$8)))</x:f>
      </x:c>
      <x:c r="H908">
        <x:f>IFERROR(VLOOKUP(C908,02_Referentiels!$A$20:$D$99,3,FALSE),"")</x:f>
      </x:c>
      <x:c r="I908">
        <x:f>IFERROR(VLOOKUP(B908,02_Referentiels!$A$5:$C$16,2,FALSE),"")</x:f>
      </x:c>
      <x:c r="J908">
        <x:f>IF(A908="","",IF(OR(D908="",E908="",F908=""),1,IF(OR(D908&lt;0,D908&gt;3,E908&lt;0,E908&gt;3,F908&lt;0,F908&gt;3),1,0)))</x:f>
      </x:c>
      <x:c r="K908">
        <x:f>IF(A908="","",IF(G908="",1,0))</x:f>
      </x:c>
      <x:c r="L908">
        <x:f>IF(A908="","",IF(COUNTIFS($A$5:$A$2004,A908,$C$5:$C$2004,C908)&gt;1,1,0))</x:f>
      </x:c>
    </x:row>
    <x:row r="909">
      <x:c r="A909" s="8" t="n"/>
      <x:c r="B909" s="8" t="n"/>
      <x:c r="C909" s="8" t="n"/>
      <x:c r="D909" s="8" t="n"/>
      <x:c r="E909" s="8" t="n"/>
      <x:c r="F909" s="8" t="n"/>
      <x:c r="G909" s="7">
        <x:f>IF(A909="","",IF(01_Parametres!$B$11="Oui",IF((01_Parametres!$B$4*(D909&gt;0)+01_Parametres!$B$5*(E909&gt;0)+01_Parametres!$B$6*(F909&gt;0))=0,"",(01_Parametres!$B$4*IF(D909&gt;0,D909,0)+01_Parametres!$B$5*IF(E909&gt;0,E909,0)+01_Parametres!$B$6*IF(F909&gt;0,F909,0))/(01_Parametres!$B$4*(D909&gt;0)+01_Parametres!$B$5*(E909&gt;0)+01_Parametres!$B$6*(F909&gt;0))),IF(01_Parametres!$B$8=0,"",(01_Parametres!$B$4*D909+01_Parametres!$B$5*E909+01_Parametres!$B$6*F909)/01_Parametres!$B$8)))</x:f>
      </x:c>
      <x:c r="H909">
        <x:f>IFERROR(VLOOKUP(C909,02_Referentiels!$A$20:$D$99,3,FALSE),"")</x:f>
      </x:c>
      <x:c r="I909">
        <x:f>IFERROR(VLOOKUP(B909,02_Referentiels!$A$5:$C$16,2,FALSE),"")</x:f>
      </x:c>
      <x:c r="J909">
        <x:f>IF(A909="","",IF(OR(D909="",E909="",F909=""),1,IF(OR(D909&lt;0,D909&gt;3,E909&lt;0,E909&gt;3,F909&lt;0,F909&gt;3),1,0)))</x:f>
      </x:c>
      <x:c r="K909">
        <x:f>IF(A909="","",IF(G909="",1,0))</x:f>
      </x:c>
      <x:c r="L909">
        <x:f>IF(A909="","",IF(COUNTIFS($A$5:$A$2004,A909,$C$5:$C$2004,C909)&gt;1,1,0))</x:f>
      </x:c>
    </x:row>
    <x:row r="910">
      <x:c r="A910" s="8" t="n"/>
      <x:c r="B910" s="8" t="n"/>
      <x:c r="C910" s="8" t="n"/>
      <x:c r="D910" s="8" t="n"/>
      <x:c r="E910" s="8" t="n"/>
      <x:c r="F910" s="8" t="n"/>
      <x:c r="G910" s="7">
        <x:f>IF(A910="","",IF(01_Parametres!$B$11="Oui",IF((01_Parametres!$B$4*(D910&gt;0)+01_Parametres!$B$5*(E910&gt;0)+01_Parametres!$B$6*(F910&gt;0))=0,"",(01_Parametres!$B$4*IF(D910&gt;0,D910,0)+01_Parametres!$B$5*IF(E910&gt;0,E910,0)+01_Parametres!$B$6*IF(F910&gt;0,F910,0))/(01_Parametres!$B$4*(D910&gt;0)+01_Parametres!$B$5*(E910&gt;0)+01_Parametres!$B$6*(F910&gt;0))),IF(01_Parametres!$B$8=0,"",(01_Parametres!$B$4*D910+01_Parametres!$B$5*E910+01_Parametres!$B$6*F910)/01_Parametres!$B$8)))</x:f>
      </x:c>
      <x:c r="H910">
        <x:f>IFERROR(VLOOKUP(C910,02_Referentiels!$A$20:$D$99,3,FALSE),"")</x:f>
      </x:c>
      <x:c r="I910">
        <x:f>IFERROR(VLOOKUP(B910,02_Referentiels!$A$5:$C$16,2,FALSE),"")</x:f>
      </x:c>
      <x:c r="J910">
        <x:f>IF(A910="","",IF(OR(D910="",E910="",F910=""),1,IF(OR(D910&lt;0,D910&gt;3,E910&lt;0,E910&gt;3,F910&lt;0,F910&gt;3),1,0)))</x:f>
      </x:c>
      <x:c r="K910">
        <x:f>IF(A910="","",IF(G910="",1,0))</x:f>
      </x:c>
      <x:c r="L910">
        <x:f>IF(A910="","",IF(COUNTIFS($A$5:$A$2004,A910,$C$5:$C$2004,C910)&gt;1,1,0))</x:f>
      </x:c>
    </x:row>
    <x:row r="911">
      <x:c r="A911" s="8" t="n"/>
      <x:c r="B911" s="8" t="n"/>
      <x:c r="C911" s="8" t="n"/>
      <x:c r="D911" s="8" t="n"/>
      <x:c r="E911" s="8" t="n"/>
      <x:c r="F911" s="8" t="n"/>
      <x:c r="G911" s="7">
        <x:f>IF(A911="","",IF(01_Parametres!$B$11="Oui",IF((01_Parametres!$B$4*(D911&gt;0)+01_Parametres!$B$5*(E911&gt;0)+01_Parametres!$B$6*(F911&gt;0))=0,"",(01_Parametres!$B$4*IF(D911&gt;0,D911,0)+01_Parametres!$B$5*IF(E911&gt;0,E911,0)+01_Parametres!$B$6*IF(F911&gt;0,F911,0))/(01_Parametres!$B$4*(D911&gt;0)+01_Parametres!$B$5*(E911&gt;0)+01_Parametres!$B$6*(F911&gt;0))),IF(01_Parametres!$B$8=0,"",(01_Parametres!$B$4*D911+01_Parametres!$B$5*E911+01_Parametres!$B$6*F911)/01_Parametres!$B$8)))</x:f>
      </x:c>
      <x:c r="H911">
        <x:f>IFERROR(VLOOKUP(C911,02_Referentiels!$A$20:$D$99,3,FALSE),"")</x:f>
      </x:c>
      <x:c r="I911">
        <x:f>IFERROR(VLOOKUP(B911,02_Referentiels!$A$5:$C$16,2,FALSE),"")</x:f>
      </x:c>
      <x:c r="J911">
        <x:f>IF(A911="","",IF(OR(D911="",E911="",F911=""),1,IF(OR(D911&lt;0,D911&gt;3,E911&lt;0,E911&gt;3,F911&lt;0,F911&gt;3),1,0)))</x:f>
      </x:c>
      <x:c r="K911">
        <x:f>IF(A911="","",IF(G911="",1,0))</x:f>
      </x:c>
      <x:c r="L911">
        <x:f>IF(A911="","",IF(COUNTIFS($A$5:$A$2004,A911,$C$5:$C$2004,C911)&gt;1,1,0))</x:f>
      </x:c>
    </x:row>
    <x:row r="912">
      <x:c r="A912" s="8" t="n"/>
      <x:c r="B912" s="8" t="n"/>
      <x:c r="C912" s="8" t="n"/>
      <x:c r="D912" s="8" t="n"/>
      <x:c r="E912" s="8" t="n"/>
      <x:c r="F912" s="8" t="n"/>
      <x:c r="G912" s="7">
        <x:f>IF(A912="","",IF(01_Parametres!$B$11="Oui",IF((01_Parametres!$B$4*(D912&gt;0)+01_Parametres!$B$5*(E912&gt;0)+01_Parametres!$B$6*(F912&gt;0))=0,"",(01_Parametres!$B$4*IF(D912&gt;0,D912,0)+01_Parametres!$B$5*IF(E912&gt;0,E912,0)+01_Parametres!$B$6*IF(F912&gt;0,F912,0))/(01_Parametres!$B$4*(D912&gt;0)+01_Parametres!$B$5*(E912&gt;0)+01_Parametres!$B$6*(F912&gt;0))),IF(01_Parametres!$B$8=0,"",(01_Parametres!$B$4*D912+01_Parametres!$B$5*E912+01_Parametres!$B$6*F912)/01_Parametres!$B$8)))</x:f>
      </x:c>
      <x:c r="H912">
        <x:f>IFERROR(VLOOKUP(C912,02_Referentiels!$A$20:$D$99,3,FALSE),"")</x:f>
      </x:c>
      <x:c r="I912">
        <x:f>IFERROR(VLOOKUP(B912,02_Referentiels!$A$5:$C$16,2,FALSE),"")</x:f>
      </x:c>
      <x:c r="J912">
        <x:f>IF(A912="","",IF(OR(D912="",E912="",F912=""),1,IF(OR(D912&lt;0,D912&gt;3,E912&lt;0,E912&gt;3,F912&lt;0,F912&gt;3),1,0)))</x:f>
      </x:c>
      <x:c r="K912">
        <x:f>IF(A912="","",IF(G912="",1,0))</x:f>
      </x:c>
      <x:c r="L912">
        <x:f>IF(A912="","",IF(COUNTIFS($A$5:$A$2004,A912,$C$5:$C$2004,C912)&gt;1,1,0))</x:f>
      </x:c>
    </x:row>
    <x:row r="913">
      <x:c r="A913" s="8" t="n"/>
      <x:c r="B913" s="8" t="n"/>
      <x:c r="C913" s="8" t="n"/>
      <x:c r="D913" s="8" t="n"/>
      <x:c r="E913" s="8" t="n"/>
      <x:c r="F913" s="8" t="n"/>
      <x:c r="G913" s="7">
        <x:f>IF(A913="","",IF(01_Parametres!$B$11="Oui",IF((01_Parametres!$B$4*(D913&gt;0)+01_Parametres!$B$5*(E913&gt;0)+01_Parametres!$B$6*(F913&gt;0))=0,"",(01_Parametres!$B$4*IF(D913&gt;0,D913,0)+01_Parametres!$B$5*IF(E913&gt;0,E913,0)+01_Parametres!$B$6*IF(F913&gt;0,F913,0))/(01_Parametres!$B$4*(D913&gt;0)+01_Parametres!$B$5*(E913&gt;0)+01_Parametres!$B$6*(F913&gt;0))),IF(01_Parametres!$B$8=0,"",(01_Parametres!$B$4*D913+01_Parametres!$B$5*E913+01_Parametres!$B$6*F913)/01_Parametres!$B$8)))</x:f>
      </x:c>
      <x:c r="H913">
        <x:f>IFERROR(VLOOKUP(C913,02_Referentiels!$A$20:$D$99,3,FALSE),"")</x:f>
      </x:c>
      <x:c r="I913">
        <x:f>IFERROR(VLOOKUP(B913,02_Referentiels!$A$5:$C$16,2,FALSE),"")</x:f>
      </x:c>
      <x:c r="J913">
        <x:f>IF(A913="","",IF(OR(D913="",E913="",F913=""),1,IF(OR(D913&lt;0,D913&gt;3,E913&lt;0,E913&gt;3,F913&lt;0,F913&gt;3),1,0)))</x:f>
      </x:c>
      <x:c r="K913">
        <x:f>IF(A913="","",IF(G913="",1,0))</x:f>
      </x:c>
      <x:c r="L913">
        <x:f>IF(A913="","",IF(COUNTIFS($A$5:$A$2004,A913,$C$5:$C$2004,C913)&gt;1,1,0))</x:f>
      </x:c>
    </x:row>
    <x:row r="914">
      <x:c r="A914" s="8" t="n"/>
      <x:c r="B914" s="8" t="n"/>
      <x:c r="C914" s="8" t="n"/>
      <x:c r="D914" s="8" t="n"/>
      <x:c r="E914" s="8" t="n"/>
      <x:c r="F914" s="8" t="n"/>
      <x:c r="G914" s="7">
        <x:f>IF(A914="","",IF(01_Parametres!$B$11="Oui",IF((01_Parametres!$B$4*(D914&gt;0)+01_Parametres!$B$5*(E914&gt;0)+01_Parametres!$B$6*(F914&gt;0))=0,"",(01_Parametres!$B$4*IF(D914&gt;0,D914,0)+01_Parametres!$B$5*IF(E914&gt;0,E914,0)+01_Parametres!$B$6*IF(F914&gt;0,F914,0))/(01_Parametres!$B$4*(D914&gt;0)+01_Parametres!$B$5*(E914&gt;0)+01_Parametres!$B$6*(F914&gt;0))),IF(01_Parametres!$B$8=0,"",(01_Parametres!$B$4*D914+01_Parametres!$B$5*E914+01_Parametres!$B$6*F914)/01_Parametres!$B$8)))</x:f>
      </x:c>
      <x:c r="H914">
        <x:f>IFERROR(VLOOKUP(C914,02_Referentiels!$A$20:$D$99,3,FALSE),"")</x:f>
      </x:c>
      <x:c r="I914">
        <x:f>IFERROR(VLOOKUP(B914,02_Referentiels!$A$5:$C$16,2,FALSE),"")</x:f>
      </x:c>
      <x:c r="J914">
        <x:f>IF(A914="","",IF(OR(D914="",E914="",F914=""),1,IF(OR(D914&lt;0,D914&gt;3,E914&lt;0,E914&gt;3,F914&lt;0,F914&gt;3),1,0)))</x:f>
      </x:c>
      <x:c r="K914">
        <x:f>IF(A914="","",IF(G914="",1,0))</x:f>
      </x:c>
      <x:c r="L914">
        <x:f>IF(A914="","",IF(COUNTIFS($A$5:$A$2004,A914,$C$5:$C$2004,C914)&gt;1,1,0))</x:f>
      </x:c>
    </x:row>
    <x:row r="915">
      <x:c r="A915" s="8" t="n"/>
      <x:c r="B915" s="8" t="n"/>
      <x:c r="C915" s="8" t="n"/>
      <x:c r="D915" s="8" t="n"/>
      <x:c r="E915" s="8" t="n"/>
      <x:c r="F915" s="8" t="n"/>
      <x:c r="G915" s="7">
        <x:f>IF(A915="","",IF(01_Parametres!$B$11="Oui",IF((01_Parametres!$B$4*(D915&gt;0)+01_Parametres!$B$5*(E915&gt;0)+01_Parametres!$B$6*(F915&gt;0))=0,"",(01_Parametres!$B$4*IF(D915&gt;0,D915,0)+01_Parametres!$B$5*IF(E915&gt;0,E915,0)+01_Parametres!$B$6*IF(F915&gt;0,F915,0))/(01_Parametres!$B$4*(D915&gt;0)+01_Parametres!$B$5*(E915&gt;0)+01_Parametres!$B$6*(F915&gt;0))),IF(01_Parametres!$B$8=0,"",(01_Parametres!$B$4*D915+01_Parametres!$B$5*E915+01_Parametres!$B$6*F915)/01_Parametres!$B$8)))</x:f>
      </x:c>
      <x:c r="H915">
        <x:f>IFERROR(VLOOKUP(C915,02_Referentiels!$A$20:$D$99,3,FALSE),"")</x:f>
      </x:c>
      <x:c r="I915">
        <x:f>IFERROR(VLOOKUP(B915,02_Referentiels!$A$5:$C$16,2,FALSE),"")</x:f>
      </x:c>
      <x:c r="J915">
        <x:f>IF(A915="","",IF(OR(D915="",E915="",F915=""),1,IF(OR(D915&lt;0,D915&gt;3,E915&lt;0,E915&gt;3,F915&lt;0,F915&gt;3),1,0)))</x:f>
      </x:c>
      <x:c r="K915">
        <x:f>IF(A915="","",IF(G915="",1,0))</x:f>
      </x:c>
      <x:c r="L915">
        <x:f>IF(A915="","",IF(COUNTIFS($A$5:$A$2004,A915,$C$5:$C$2004,C915)&gt;1,1,0))</x:f>
      </x:c>
    </x:row>
    <x:row r="916">
      <x:c r="A916" s="8" t="n"/>
      <x:c r="B916" s="8" t="n"/>
      <x:c r="C916" s="8" t="n"/>
      <x:c r="D916" s="8" t="n"/>
      <x:c r="E916" s="8" t="n"/>
      <x:c r="F916" s="8" t="n"/>
      <x:c r="G916" s="7">
        <x:f>IF(A916="","",IF(01_Parametres!$B$11="Oui",IF((01_Parametres!$B$4*(D916&gt;0)+01_Parametres!$B$5*(E916&gt;0)+01_Parametres!$B$6*(F916&gt;0))=0,"",(01_Parametres!$B$4*IF(D916&gt;0,D916,0)+01_Parametres!$B$5*IF(E916&gt;0,E916,0)+01_Parametres!$B$6*IF(F916&gt;0,F916,0))/(01_Parametres!$B$4*(D916&gt;0)+01_Parametres!$B$5*(E916&gt;0)+01_Parametres!$B$6*(F916&gt;0))),IF(01_Parametres!$B$8=0,"",(01_Parametres!$B$4*D916+01_Parametres!$B$5*E916+01_Parametres!$B$6*F916)/01_Parametres!$B$8)))</x:f>
      </x:c>
      <x:c r="H916">
        <x:f>IFERROR(VLOOKUP(C916,02_Referentiels!$A$20:$D$99,3,FALSE),"")</x:f>
      </x:c>
      <x:c r="I916">
        <x:f>IFERROR(VLOOKUP(B916,02_Referentiels!$A$5:$C$16,2,FALSE),"")</x:f>
      </x:c>
      <x:c r="J916">
        <x:f>IF(A916="","",IF(OR(D916="",E916="",F916=""),1,IF(OR(D916&lt;0,D916&gt;3,E916&lt;0,E916&gt;3,F916&lt;0,F916&gt;3),1,0)))</x:f>
      </x:c>
      <x:c r="K916">
        <x:f>IF(A916="","",IF(G916="",1,0))</x:f>
      </x:c>
      <x:c r="L916">
        <x:f>IF(A916="","",IF(COUNTIFS($A$5:$A$2004,A916,$C$5:$C$2004,C916)&gt;1,1,0))</x:f>
      </x:c>
    </x:row>
    <x:row r="917">
      <x:c r="A917" s="8" t="n"/>
      <x:c r="B917" s="8" t="n"/>
      <x:c r="C917" s="8" t="n"/>
      <x:c r="D917" s="8" t="n"/>
      <x:c r="E917" s="8" t="n"/>
      <x:c r="F917" s="8" t="n"/>
      <x:c r="G917" s="7">
        <x:f>IF(A917="","",IF(01_Parametres!$B$11="Oui",IF((01_Parametres!$B$4*(D917&gt;0)+01_Parametres!$B$5*(E917&gt;0)+01_Parametres!$B$6*(F917&gt;0))=0,"",(01_Parametres!$B$4*IF(D917&gt;0,D917,0)+01_Parametres!$B$5*IF(E917&gt;0,E917,0)+01_Parametres!$B$6*IF(F917&gt;0,F917,0))/(01_Parametres!$B$4*(D917&gt;0)+01_Parametres!$B$5*(E917&gt;0)+01_Parametres!$B$6*(F917&gt;0))),IF(01_Parametres!$B$8=0,"",(01_Parametres!$B$4*D917+01_Parametres!$B$5*E917+01_Parametres!$B$6*F917)/01_Parametres!$B$8)))</x:f>
      </x:c>
      <x:c r="H917">
        <x:f>IFERROR(VLOOKUP(C917,02_Referentiels!$A$20:$D$99,3,FALSE),"")</x:f>
      </x:c>
      <x:c r="I917">
        <x:f>IFERROR(VLOOKUP(B917,02_Referentiels!$A$5:$C$16,2,FALSE),"")</x:f>
      </x:c>
      <x:c r="J917">
        <x:f>IF(A917="","",IF(OR(D917="",E917="",F917=""),1,IF(OR(D917&lt;0,D917&gt;3,E917&lt;0,E917&gt;3,F917&lt;0,F917&gt;3),1,0)))</x:f>
      </x:c>
      <x:c r="K917">
        <x:f>IF(A917="","",IF(G917="",1,0))</x:f>
      </x:c>
      <x:c r="L917">
        <x:f>IF(A917="","",IF(COUNTIFS($A$5:$A$2004,A917,$C$5:$C$2004,C917)&gt;1,1,0))</x:f>
      </x:c>
    </x:row>
    <x:row r="918">
      <x:c r="A918" s="8" t="n"/>
      <x:c r="B918" s="8" t="n"/>
      <x:c r="C918" s="8" t="n"/>
      <x:c r="D918" s="8" t="n"/>
      <x:c r="E918" s="8" t="n"/>
      <x:c r="F918" s="8" t="n"/>
      <x:c r="G918" s="7">
        <x:f>IF(A918="","",IF(01_Parametres!$B$11="Oui",IF((01_Parametres!$B$4*(D918&gt;0)+01_Parametres!$B$5*(E918&gt;0)+01_Parametres!$B$6*(F918&gt;0))=0,"",(01_Parametres!$B$4*IF(D918&gt;0,D918,0)+01_Parametres!$B$5*IF(E918&gt;0,E918,0)+01_Parametres!$B$6*IF(F918&gt;0,F918,0))/(01_Parametres!$B$4*(D918&gt;0)+01_Parametres!$B$5*(E918&gt;0)+01_Parametres!$B$6*(F918&gt;0))),IF(01_Parametres!$B$8=0,"",(01_Parametres!$B$4*D918+01_Parametres!$B$5*E918+01_Parametres!$B$6*F918)/01_Parametres!$B$8)))</x:f>
      </x:c>
      <x:c r="H918">
        <x:f>IFERROR(VLOOKUP(C918,02_Referentiels!$A$20:$D$99,3,FALSE),"")</x:f>
      </x:c>
      <x:c r="I918">
        <x:f>IFERROR(VLOOKUP(B918,02_Referentiels!$A$5:$C$16,2,FALSE),"")</x:f>
      </x:c>
      <x:c r="J918">
        <x:f>IF(A918="","",IF(OR(D918="",E918="",F918=""),1,IF(OR(D918&lt;0,D918&gt;3,E918&lt;0,E918&gt;3,F918&lt;0,F918&gt;3),1,0)))</x:f>
      </x:c>
      <x:c r="K918">
        <x:f>IF(A918="","",IF(G918="",1,0))</x:f>
      </x:c>
      <x:c r="L918">
        <x:f>IF(A918="","",IF(COUNTIFS($A$5:$A$2004,A918,$C$5:$C$2004,C918)&gt;1,1,0))</x:f>
      </x:c>
    </x:row>
    <x:row r="919">
      <x:c r="A919" s="8" t="n"/>
      <x:c r="B919" s="8" t="n"/>
      <x:c r="C919" s="8" t="n"/>
      <x:c r="D919" s="8" t="n"/>
      <x:c r="E919" s="8" t="n"/>
      <x:c r="F919" s="8" t="n"/>
      <x:c r="G919" s="7">
        <x:f>IF(A919="","",IF(01_Parametres!$B$11="Oui",IF((01_Parametres!$B$4*(D919&gt;0)+01_Parametres!$B$5*(E919&gt;0)+01_Parametres!$B$6*(F919&gt;0))=0,"",(01_Parametres!$B$4*IF(D919&gt;0,D919,0)+01_Parametres!$B$5*IF(E919&gt;0,E919,0)+01_Parametres!$B$6*IF(F919&gt;0,F919,0))/(01_Parametres!$B$4*(D919&gt;0)+01_Parametres!$B$5*(E919&gt;0)+01_Parametres!$B$6*(F919&gt;0))),IF(01_Parametres!$B$8=0,"",(01_Parametres!$B$4*D919+01_Parametres!$B$5*E919+01_Parametres!$B$6*F919)/01_Parametres!$B$8)))</x:f>
      </x:c>
      <x:c r="H919">
        <x:f>IFERROR(VLOOKUP(C919,02_Referentiels!$A$20:$D$99,3,FALSE),"")</x:f>
      </x:c>
      <x:c r="I919">
        <x:f>IFERROR(VLOOKUP(B919,02_Referentiels!$A$5:$C$16,2,FALSE),"")</x:f>
      </x:c>
      <x:c r="J919">
        <x:f>IF(A919="","",IF(OR(D919="",E919="",F919=""),1,IF(OR(D919&lt;0,D919&gt;3,E919&lt;0,E919&gt;3,F919&lt;0,F919&gt;3),1,0)))</x:f>
      </x:c>
      <x:c r="K919">
        <x:f>IF(A919="","",IF(G919="",1,0))</x:f>
      </x:c>
      <x:c r="L919">
        <x:f>IF(A919="","",IF(COUNTIFS($A$5:$A$2004,A919,$C$5:$C$2004,C919)&gt;1,1,0))</x:f>
      </x:c>
    </x:row>
    <x:row r="920">
      <x:c r="A920" s="8" t="n"/>
      <x:c r="B920" s="8" t="n"/>
      <x:c r="C920" s="8" t="n"/>
      <x:c r="D920" s="8" t="n"/>
      <x:c r="E920" s="8" t="n"/>
      <x:c r="F920" s="8" t="n"/>
      <x:c r="G920" s="7">
        <x:f>IF(A920="","",IF(01_Parametres!$B$11="Oui",IF((01_Parametres!$B$4*(D920&gt;0)+01_Parametres!$B$5*(E920&gt;0)+01_Parametres!$B$6*(F920&gt;0))=0,"",(01_Parametres!$B$4*IF(D920&gt;0,D920,0)+01_Parametres!$B$5*IF(E920&gt;0,E920,0)+01_Parametres!$B$6*IF(F920&gt;0,F920,0))/(01_Parametres!$B$4*(D920&gt;0)+01_Parametres!$B$5*(E920&gt;0)+01_Parametres!$B$6*(F920&gt;0))),IF(01_Parametres!$B$8=0,"",(01_Parametres!$B$4*D920+01_Parametres!$B$5*E920+01_Parametres!$B$6*F920)/01_Parametres!$B$8)))</x:f>
      </x:c>
      <x:c r="H920">
        <x:f>IFERROR(VLOOKUP(C920,02_Referentiels!$A$20:$D$99,3,FALSE),"")</x:f>
      </x:c>
      <x:c r="I920">
        <x:f>IFERROR(VLOOKUP(B920,02_Referentiels!$A$5:$C$16,2,FALSE),"")</x:f>
      </x:c>
      <x:c r="J920">
        <x:f>IF(A920="","",IF(OR(D920="",E920="",F920=""),1,IF(OR(D920&lt;0,D920&gt;3,E920&lt;0,E920&gt;3,F920&lt;0,F920&gt;3),1,0)))</x:f>
      </x:c>
      <x:c r="K920">
        <x:f>IF(A920="","",IF(G920="",1,0))</x:f>
      </x:c>
      <x:c r="L920">
        <x:f>IF(A920="","",IF(COUNTIFS($A$5:$A$2004,A920,$C$5:$C$2004,C920)&gt;1,1,0))</x:f>
      </x:c>
    </x:row>
    <x:row r="921">
      <x:c r="A921" s="8" t="n"/>
      <x:c r="B921" s="8" t="n"/>
      <x:c r="C921" s="8" t="n"/>
      <x:c r="D921" s="8" t="n"/>
      <x:c r="E921" s="8" t="n"/>
      <x:c r="F921" s="8" t="n"/>
      <x:c r="G921" s="7">
        <x:f>IF(A921="","",IF(01_Parametres!$B$11="Oui",IF((01_Parametres!$B$4*(D921&gt;0)+01_Parametres!$B$5*(E921&gt;0)+01_Parametres!$B$6*(F921&gt;0))=0,"",(01_Parametres!$B$4*IF(D921&gt;0,D921,0)+01_Parametres!$B$5*IF(E921&gt;0,E921,0)+01_Parametres!$B$6*IF(F921&gt;0,F921,0))/(01_Parametres!$B$4*(D921&gt;0)+01_Parametres!$B$5*(E921&gt;0)+01_Parametres!$B$6*(F921&gt;0))),IF(01_Parametres!$B$8=0,"",(01_Parametres!$B$4*D921+01_Parametres!$B$5*E921+01_Parametres!$B$6*F921)/01_Parametres!$B$8)))</x:f>
      </x:c>
      <x:c r="H921">
        <x:f>IFERROR(VLOOKUP(C921,02_Referentiels!$A$20:$D$99,3,FALSE),"")</x:f>
      </x:c>
      <x:c r="I921">
        <x:f>IFERROR(VLOOKUP(B921,02_Referentiels!$A$5:$C$16,2,FALSE),"")</x:f>
      </x:c>
      <x:c r="J921">
        <x:f>IF(A921="","",IF(OR(D921="",E921="",F921=""),1,IF(OR(D921&lt;0,D921&gt;3,E921&lt;0,E921&gt;3,F921&lt;0,F921&gt;3),1,0)))</x:f>
      </x:c>
      <x:c r="K921">
        <x:f>IF(A921="","",IF(G921="",1,0))</x:f>
      </x:c>
      <x:c r="L921">
        <x:f>IF(A921="","",IF(COUNTIFS($A$5:$A$2004,A921,$C$5:$C$2004,C921)&gt;1,1,0))</x:f>
      </x:c>
    </x:row>
    <x:row r="922">
      <x:c r="A922" s="8" t="n"/>
      <x:c r="B922" s="8" t="n"/>
      <x:c r="C922" s="8" t="n"/>
      <x:c r="D922" s="8" t="n"/>
      <x:c r="E922" s="8" t="n"/>
      <x:c r="F922" s="8" t="n"/>
      <x:c r="G922" s="7">
        <x:f>IF(A922="","",IF(01_Parametres!$B$11="Oui",IF((01_Parametres!$B$4*(D922&gt;0)+01_Parametres!$B$5*(E922&gt;0)+01_Parametres!$B$6*(F922&gt;0))=0,"",(01_Parametres!$B$4*IF(D922&gt;0,D922,0)+01_Parametres!$B$5*IF(E922&gt;0,E922,0)+01_Parametres!$B$6*IF(F922&gt;0,F922,0))/(01_Parametres!$B$4*(D922&gt;0)+01_Parametres!$B$5*(E922&gt;0)+01_Parametres!$B$6*(F922&gt;0))),IF(01_Parametres!$B$8=0,"",(01_Parametres!$B$4*D922+01_Parametres!$B$5*E922+01_Parametres!$B$6*F922)/01_Parametres!$B$8)))</x:f>
      </x:c>
      <x:c r="H922">
        <x:f>IFERROR(VLOOKUP(C922,02_Referentiels!$A$20:$D$99,3,FALSE),"")</x:f>
      </x:c>
      <x:c r="I922">
        <x:f>IFERROR(VLOOKUP(B922,02_Referentiels!$A$5:$C$16,2,FALSE),"")</x:f>
      </x:c>
      <x:c r="J922">
        <x:f>IF(A922="","",IF(OR(D922="",E922="",F922=""),1,IF(OR(D922&lt;0,D922&gt;3,E922&lt;0,E922&gt;3,F922&lt;0,F922&gt;3),1,0)))</x:f>
      </x:c>
      <x:c r="K922">
        <x:f>IF(A922="","",IF(G922="",1,0))</x:f>
      </x:c>
      <x:c r="L922">
        <x:f>IF(A922="","",IF(COUNTIFS($A$5:$A$2004,A922,$C$5:$C$2004,C922)&gt;1,1,0))</x:f>
      </x:c>
    </x:row>
    <x:row r="923">
      <x:c r="A923" s="8" t="n"/>
      <x:c r="B923" s="8" t="n"/>
      <x:c r="C923" s="8" t="n"/>
      <x:c r="D923" s="8" t="n"/>
      <x:c r="E923" s="8" t="n"/>
      <x:c r="F923" s="8" t="n"/>
      <x:c r="G923" s="7">
        <x:f>IF(A923="","",IF(01_Parametres!$B$11="Oui",IF((01_Parametres!$B$4*(D923&gt;0)+01_Parametres!$B$5*(E923&gt;0)+01_Parametres!$B$6*(F923&gt;0))=0,"",(01_Parametres!$B$4*IF(D923&gt;0,D923,0)+01_Parametres!$B$5*IF(E923&gt;0,E923,0)+01_Parametres!$B$6*IF(F923&gt;0,F923,0))/(01_Parametres!$B$4*(D923&gt;0)+01_Parametres!$B$5*(E923&gt;0)+01_Parametres!$B$6*(F923&gt;0))),IF(01_Parametres!$B$8=0,"",(01_Parametres!$B$4*D923+01_Parametres!$B$5*E923+01_Parametres!$B$6*F923)/01_Parametres!$B$8)))</x:f>
      </x:c>
      <x:c r="H923">
        <x:f>IFERROR(VLOOKUP(C923,02_Referentiels!$A$20:$D$99,3,FALSE),"")</x:f>
      </x:c>
      <x:c r="I923">
        <x:f>IFERROR(VLOOKUP(B923,02_Referentiels!$A$5:$C$16,2,FALSE),"")</x:f>
      </x:c>
      <x:c r="J923">
        <x:f>IF(A923="","",IF(OR(D923="",E923="",F923=""),1,IF(OR(D923&lt;0,D923&gt;3,E923&lt;0,E923&gt;3,F923&lt;0,F923&gt;3),1,0)))</x:f>
      </x:c>
      <x:c r="K923">
        <x:f>IF(A923="","",IF(G923="",1,0))</x:f>
      </x:c>
      <x:c r="L923">
        <x:f>IF(A923="","",IF(COUNTIFS($A$5:$A$2004,A923,$C$5:$C$2004,C923)&gt;1,1,0))</x:f>
      </x:c>
    </x:row>
    <x:row r="924">
      <x:c r="A924" s="8" t="n"/>
      <x:c r="B924" s="8" t="n"/>
      <x:c r="C924" s="8" t="n"/>
      <x:c r="D924" s="8" t="n"/>
      <x:c r="E924" s="8" t="n"/>
      <x:c r="F924" s="8" t="n"/>
      <x:c r="G924" s="7">
        <x:f>IF(A924="","",IF(01_Parametres!$B$11="Oui",IF((01_Parametres!$B$4*(D924&gt;0)+01_Parametres!$B$5*(E924&gt;0)+01_Parametres!$B$6*(F924&gt;0))=0,"",(01_Parametres!$B$4*IF(D924&gt;0,D924,0)+01_Parametres!$B$5*IF(E924&gt;0,E924,0)+01_Parametres!$B$6*IF(F924&gt;0,F924,0))/(01_Parametres!$B$4*(D924&gt;0)+01_Parametres!$B$5*(E924&gt;0)+01_Parametres!$B$6*(F924&gt;0))),IF(01_Parametres!$B$8=0,"",(01_Parametres!$B$4*D924+01_Parametres!$B$5*E924+01_Parametres!$B$6*F924)/01_Parametres!$B$8)))</x:f>
      </x:c>
      <x:c r="H924">
        <x:f>IFERROR(VLOOKUP(C924,02_Referentiels!$A$20:$D$99,3,FALSE),"")</x:f>
      </x:c>
      <x:c r="I924">
        <x:f>IFERROR(VLOOKUP(B924,02_Referentiels!$A$5:$C$16,2,FALSE),"")</x:f>
      </x:c>
      <x:c r="J924">
        <x:f>IF(A924="","",IF(OR(D924="",E924="",F924=""),1,IF(OR(D924&lt;0,D924&gt;3,E924&lt;0,E924&gt;3,F924&lt;0,F924&gt;3),1,0)))</x:f>
      </x:c>
      <x:c r="K924">
        <x:f>IF(A924="","",IF(G924="",1,0))</x:f>
      </x:c>
      <x:c r="L924">
        <x:f>IF(A924="","",IF(COUNTIFS($A$5:$A$2004,A924,$C$5:$C$2004,C924)&gt;1,1,0))</x:f>
      </x:c>
    </x:row>
    <x:row r="925">
      <x:c r="A925" s="8" t="n"/>
      <x:c r="B925" s="8" t="n"/>
      <x:c r="C925" s="8" t="n"/>
      <x:c r="D925" s="8" t="n"/>
      <x:c r="E925" s="8" t="n"/>
      <x:c r="F925" s="8" t="n"/>
      <x:c r="G925" s="7">
        <x:f>IF(A925="","",IF(01_Parametres!$B$11="Oui",IF((01_Parametres!$B$4*(D925&gt;0)+01_Parametres!$B$5*(E925&gt;0)+01_Parametres!$B$6*(F925&gt;0))=0,"",(01_Parametres!$B$4*IF(D925&gt;0,D925,0)+01_Parametres!$B$5*IF(E925&gt;0,E925,0)+01_Parametres!$B$6*IF(F925&gt;0,F925,0))/(01_Parametres!$B$4*(D925&gt;0)+01_Parametres!$B$5*(E925&gt;0)+01_Parametres!$B$6*(F925&gt;0))),IF(01_Parametres!$B$8=0,"",(01_Parametres!$B$4*D925+01_Parametres!$B$5*E925+01_Parametres!$B$6*F925)/01_Parametres!$B$8)))</x:f>
      </x:c>
      <x:c r="H925">
        <x:f>IFERROR(VLOOKUP(C925,02_Referentiels!$A$20:$D$99,3,FALSE),"")</x:f>
      </x:c>
      <x:c r="I925">
        <x:f>IFERROR(VLOOKUP(B925,02_Referentiels!$A$5:$C$16,2,FALSE),"")</x:f>
      </x:c>
      <x:c r="J925">
        <x:f>IF(A925="","",IF(OR(D925="",E925="",F925=""),1,IF(OR(D925&lt;0,D925&gt;3,E925&lt;0,E925&gt;3,F925&lt;0,F925&gt;3),1,0)))</x:f>
      </x:c>
      <x:c r="K925">
        <x:f>IF(A925="","",IF(G925="",1,0))</x:f>
      </x:c>
      <x:c r="L925">
        <x:f>IF(A925="","",IF(COUNTIFS($A$5:$A$2004,A925,$C$5:$C$2004,C925)&gt;1,1,0))</x:f>
      </x:c>
    </x:row>
    <x:row r="926">
      <x:c r="A926" s="8" t="n"/>
      <x:c r="B926" s="8" t="n"/>
      <x:c r="C926" s="8" t="n"/>
      <x:c r="D926" s="8" t="n"/>
      <x:c r="E926" s="8" t="n"/>
      <x:c r="F926" s="8" t="n"/>
      <x:c r="G926" s="7">
        <x:f>IF(A926="","",IF(01_Parametres!$B$11="Oui",IF((01_Parametres!$B$4*(D926&gt;0)+01_Parametres!$B$5*(E926&gt;0)+01_Parametres!$B$6*(F926&gt;0))=0,"",(01_Parametres!$B$4*IF(D926&gt;0,D926,0)+01_Parametres!$B$5*IF(E926&gt;0,E926,0)+01_Parametres!$B$6*IF(F926&gt;0,F926,0))/(01_Parametres!$B$4*(D926&gt;0)+01_Parametres!$B$5*(E926&gt;0)+01_Parametres!$B$6*(F926&gt;0))),IF(01_Parametres!$B$8=0,"",(01_Parametres!$B$4*D926+01_Parametres!$B$5*E926+01_Parametres!$B$6*F926)/01_Parametres!$B$8)))</x:f>
      </x:c>
      <x:c r="H926">
        <x:f>IFERROR(VLOOKUP(C926,02_Referentiels!$A$20:$D$99,3,FALSE),"")</x:f>
      </x:c>
      <x:c r="I926">
        <x:f>IFERROR(VLOOKUP(B926,02_Referentiels!$A$5:$C$16,2,FALSE),"")</x:f>
      </x:c>
      <x:c r="J926">
        <x:f>IF(A926="","",IF(OR(D926="",E926="",F926=""),1,IF(OR(D926&lt;0,D926&gt;3,E926&lt;0,E926&gt;3,F926&lt;0,F926&gt;3),1,0)))</x:f>
      </x:c>
      <x:c r="K926">
        <x:f>IF(A926="","",IF(G926="",1,0))</x:f>
      </x:c>
      <x:c r="L926">
        <x:f>IF(A926="","",IF(COUNTIFS($A$5:$A$2004,A926,$C$5:$C$2004,C926)&gt;1,1,0))</x:f>
      </x:c>
    </x:row>
    <x:row r="927">
      <x:c r="A927" s="8" t="n"/>
      <x:c r="B927" s="8" t="n"/>
      <x:c r="C927" s="8" t="n"/>
      <x:c r="D927" s="8" t="n"/>
      <x:c r="E927" s="8" t="n"/>
      <x:c r="F927" s="8" t="n"/>
      <x:c r="G927" s="7">
        <x:f>IF(A927="","",IF(01_Parametres!$B$11="Oui",IF((01_Parametres!$B$4*(D927&gt;0)+01_Parametres!$B$5*(E927&gt;0)+01_Parametres!$B$6*(F927&gt;0))=0,"",(01_Parametres!$B$4*IF(D927&gt;0,D927,0)+01_Parametres!$B$5*IF(E927&gt;0,E927,0)+01_Parametres!$B$6*IF(F927&gt;0,F927,0))/(01_Parametres!$B$4*(D927&gt;0)+01_Parametres!$B$5*(E927&gt;0)+01_Parametres!$B$6*(F927&gt;0))),IF(01_Parametres!$B$8=0,"",(01_Parametres!$B$4*D927+01_Parametres!$B$5*E927+01_Parametres!$B$6*F927)/01_Parametres!$B$8)))</x:f>
      </x:c>
      <x:c r="H927">
        <x:f>IFERROR(VLOOKUP(C927,02_Referentiels!$A$20:$D$99,3,FALSE),"")</x:f>
      </x:c>
      <x:c r="I927">
        <x:f>IFERROR(VLOOKUP(B927,02_Referentiels!$A$5:$C$16,2,FALSE),"")</x:f>
      </x:c>
      <x:c r="J927">
        <x:f>IF(A927="","",IF(OR(D927="",E927="",F927=""),1,IF(OR(D927&lt;0,D927&gt;3,E927&lt;0,E927&gt;3,F927&lt;0,F927&gt;3),1,0)))</x:f>
      </x:c>
      <x:c r="K927">
        <x:f>IF(A927="","",IF(G927="",1,0))</x:f>
      </x:c>
      <x:c r="L927">
        <x:f>IF(A927="","",IF(COUNTIFS($A$5:$A$2004,A927,$C$5:$C$2004,C927)&gt;1,1,0))</x:f>
      </x:c>
    </x:row>
    <x:row r="928">
      <x:c r="A928" s="8" t="n"/>
      <x:c r="B928" s="8" t="n"/>
      <x:c r="C928" s="8" t="n"/>
      <x:c r="D928" s="8" t="n"/>
      <x:c r="E928" s="8" t="n"/>
      <x:c r="F928" s="8" t="n"/>
      <x:c r="G928" s="7">
        <x:f>IF(A928="","",IF(01_Parametres!$B$11="Oui",IF((01_Parametres!$B$4*(D928&gt;0)+01_Parametres!$B$5*(E928&gt;0)+01_Parametres!$B$6*(F928&gt;0))=0,"",(01_Parametres!$B$4*IF(D928&gt;0,D928,0)+01_Parametres!$B$5*IF(E928&gt;0,E928,0)+01_Parametres!$B$6*IF(F928&gt;0,F928,0))/(01_Parametres!$B$4*(D928&gt;0)+01_Parametres!$B$5*(E928&gt;0)+01_Parametres!$B$6*(F928&gt;0))),IF(01_Parametres!$B$8=0,"",(01_Parametres!$B$4*D928+01_Parametres!$B$5*E928+01_Parametres!$B$6*F928)/01_Parametres!$B$8)))</x:f>
      </x:c>
      <x:c r="H928">
        <x:f>IFERROR(VLOOKUP(C928,02_Referentiels!$A$20:$D$99,3,FALSE),"")</x:f>
      </x:c>
      <x:c r="I928">
        <x:f>IFERROR(VLOOKUP(B928,02_Referentiels!$A$5:$C$16,2,FALSE),"")</x:f>
      </x:c>
      <x:c r="J928">
        <x:f>IF(A928="","",IF(OR(D928="",E928="",F928=""),1,IF(OR(D928&lt;0,D928&gt;3,E928&lt;0,E928&gt;3,F928&lt;0,F928&gt;3),1,0)))</x:f>
      </x:c>
      <x:c r="K928">
        <x:f>IF(A928="","",IF(G928="",1,0))</x:f>
      </x:c>
      <x:c r="L928">
        <x:f>IF(A928="","",IF(COUNTIFS($A$5:$A$2004,A928,$C$5:$C$2004,C928)&gt;1,1,0))</x:f>
      </x:c>
    </x:row>
    <x:row r="929">
      <x:c r="A929" s="8" t="n"/>
      <x:c r="B929" s="8" t="n"/>
      <x:c r="C929" s="8" t="n"/>
      <x:c r="D929" s="8" t="n"/>
      <x:c r="E929" s="8" t="n"/>
      <x:c r="F929" s="8" t="n"/>
      <x:c r="G929" s="7">
        <x:f>IF(A929="","",IF(01_Parametres!$B$11="Oui",IF((01_Parametres!$B$4*(D929&gt;0)+01_Parametres!$B$5*(E929&gt;0)+01_Parametres!$B$6*(F929&gt;0))=0,"",(01_Parametres!$B$4*IF(D929&gt;0,D929,0)+01_Parametres!$B$5*IF(E929&gt;0,E929,0)+01_Parametres!$B$6*IF(F929&gt;0,F929,0))/(01_Parametres!$B$4*(D929&gt;0)+01_Parametres!$B$5*(E929&gt;0)+01_Parametres!$B$6*(F929&gt;0))),IF(01_Parametres!$B$8=0,"",(01_Parametres!$B$4*D929+01_Parametres!$B$5*E929+01_Parametres!$B$6*F929)/01_Parametres!$B$8)))</x:f>
      </x:c>
      <x:c r="H929">
        <x:f>IFERROR(VLOOKUP(C929,02_Referentiels!$A$20:$D$99,3,FALSE),"")</x:f>
      </x:c>
      <x:c r="I929">
        <x:f>IFERROR(VLOOKUP(B929,02_Referentiels!$A$5:$C$16,2,FALSE),"")</x:f>
      </x:c>
      <x:c r="J929">
        <x:f>IF(A929="","",IF(OR(D929="",E929="",F929=""),1,IF(OR(D929&lt;0,D929&gt;3,E929&lt;0,E929&gt;3,F929&lt;0,F929&gt;3),1,0)))</x:f>
      </x:c>
      <x:c r="K929">
        <x:f>IF(A929="","",IF(G929="",1,0))</x:f>
      </x:c>
      <x:c r="L929">
        <x:f>IF(A929="","",IF(COUNTIFS($A$5:$A$2004,A929,$C$5:$C$2004,C929)&gt;1,1,0))</x:f>
      </x:c>
    </x:row>
    <x:row r="930">
      <x:c r="A930" s="8" t="n"/>
      <x:c r="B930" s="8" t="n"/>
      <x:c r="C930" s="8" t="n"/>
      <x:c r="D930" s="8" t="n"/>
      <x:c r="E930" s="8" t="n"/>
      <x:c r="F930" s="8" t="n"/>
      <x:c r="G930" s="7">
        <x:f>IF(A930="","",IF(01_Parametres!$B$11="Oui",IF((01_Parametres!$B$4*(D930&gt;0)+01_Parametres!$B$5*(E930&gt;0)+01_Parametres!$B$6*(F930&gt;0))=0,"",(01_Parametres!$B$4*IF(D930&gt;0,D930,0)+01_Parametres!$B$5*IF(E930&gt;0,E930,0)+01_Parametres!$B$6*IF(F930&gt;0,F930,0))/(01_Parametres!$B$4*(D930&gt;0)+01_Parametres!$B$5*(E930&gt;0)+01_Parametres!$B$6*(F930&gt;0))),IF(01_Parametres!$B$8=0,"",(01_Parametres!$B$4*D930+01_Parametres!$B$5*E930+01_Parametres!$B$6*F930)/01_Parametres!$B$8)))</x:f>
      </x:c>
      <x:c r="H930">
        <x:f>IFERROR(VLOOKUP(C930,02_Referentiels!$A$20:$D$99,3,FALSE),"")</x:f>
      </x:c>
      <x:c r="I930">
        <x:f>IFERROR(VLOOKUP(B930,02_Referentiels!$A$5:$C$16,2,FALSE),"")</x:f>
      </x:c>
      <x:c r="J930">
        <x:f>IF(A930="","",IF(OR(D930="",E930="",F930=""),1,IF(OR(D930&lt;0,D930&gt;3,E930&lt;0,E930&gt;3,F930&lt;0,F930&gt;3),1,0)))</x:f>
      </x:c>
      <x:c r="K930">
        <x:f>IF(A930="","",IF(G930="",1,0))</x:f>
      </x:c>
      <x:c r="L930">
        <x:f>IF(A930="","",IF(COUNTIFS($A$5:$A$2004,A930,$C$5:$C$2004,C930)&gt;1,1,0))</x:f>
      </x:c>
    </x:row>
    <x:row r="931">
      <x:c r="A931" s="8" t="n"/>
      <x:c r="B931" s="8" t="n"/>
      <x:c r="C931" s="8" t="n"/>
      <x:c r="D931" s="8" t="n"/>
      <x:c r="E931" s="8" t="n"/>
      <x:c r="F931" s="8" t="n"/>
      <x:c r="G931" s="7">
        <x:f>IF(A931="","",IF(01_Parametres!$B$11="Oui",IF((01_Parametres!$B$4*(D931&gt;0)+01_Parametres!$B$5*(E931&gt;0)+01_Parametres!$B$6*(F931&gt;0))=0,"",(01_Parametres!$B$4*IF(D931&gt;0,D931,0)+01_Parametres!$B$5*IF(E931&gt;0,E931,0)+01_Parametres!$B$6*IF(F931&gt;0,F931,0))/(01_Parametres!$B$4*(D931&gt;0)+01_Parametres!$B$5*(E931&gt;0)+01_Parametres!$B$6*(F931&gt;0))),IF(01_Parametres!$B$8=0,"",(01_Parametres!$B$4*D931+01_Parametres!$B$5*E931+01_Parametres!$B$6*F931)/01_Parametres!$B$8)))</x:f>
      </x:c>
      <x:c r="H931">
        <x:f>IFERROR(VLOOKUP(C931,02_Referentiels!$A$20:$D$99,3,FALSE),"")</x:f>
      </x:c>
      <x:c r="I931">
        <x:f>IFERROR(VLOOKUP(B931,02_Referentiels!$A$5:$C$16,2,FALSE),"")</x:f>
      </x:c>
      <x:c r="J931">
        <x:f>IF(A931="","",IF(OR(D931="",E931="",F931=""),1,IF(OR(D931&lt;0,D931&gt;3,E931&lt;0,E931&gt;3,F931&lt;0,F931&gt;3),1,0)))</x:f>
      </x:c>
      <x:c r="K931">
        <x:f>IF(A931="","",IF(G931="",1,0))</x:f>
      </x:c>
      <x:c r="L931">
        <x:f>IF(A931="","",IF(COUNTIFS($A$5:$A$2004,A931,$C$5:$C$2004,C931)&gt;1,1,0))</x:f>
      </x:c>
    </x:row>
    <x:row r="932">
      <x:c r="A932" s="8" t="n"/>
      <x:c r="B932" s="8" t="n"/>
      <x:c r="C932" s="8" t="n"/>
      <x:c r="D932" s="8" t="n"/>
      <x:c r="E932" s="8" t="n"/>
      <x:c r="F932" s="8" t="n"/>
      <x:c r="G932" s="7">
        <x:f>IF(A932="","",IF(01_Parametres!$B$11="Oui",IF((01_Parametres!$B$4*(D932&gt;0)+01_Parametres!$B$5*(E932&gt;0)+01_Parametres!$B$6*(F932&gt;0))=0,"",(01_Parametres!$B$4*IF(D932&gt;0,D932,0)+01_Parametres!$B$5*IF(E932&gt;0,E932,0)+01_Parametres!$B$6*IF(F932&gt;0,F932,0))/(01_Parametres!$B$4*(D932&gt;0)+01_Parametres!$B$5*(E932&gt;0)+01_Parametres!$B$6*(F932&gt;0))),IF(01_Parametres!$B$8=0,"",(01_Parametres!$B$4*D932+01_Parametres!$B$5*E932+01_Parametres!$B$6*F932)/01_Parametres!$B$8)))</x:f>
      </x:c>
      <x:c r="H932">
        <x:f>IFERROR(VLOOKUP(C932,02_Referentiels!$A$20:$D$99,3,FALSE),"")</x:f>
      </x:c>
      <x:c r="I932">
        <x:f>IFERROR(VLOOKUP(B932,02_Referentiels!$A$5:$C$16,2,FALSE),"")</x:f>
      </x:c>
      <x:c r="J932">
        <x:f>IF(A932="","",IF(OR(D932="",E932="",F932=""),1,IF(OR(D932&lt;0,D932&gt;3,E932&lt;0,E932&gt;3,F932&lt;0,F932&gt;3),1,0)))</x:f>
      </x:c>
      <x:c r="K932">
        <x:f>IF(A932="","",IF(G932="",1,0))</x:f>
      </x:c>
      <x:c r="L932">
        <x:f>IF(A932="","",IF(COUNTIFS($A$5:$A$2004,A932,$C$5:$C$2004,C932)&gt;1,1,0))</x:f>
      </x:c>
    </x:row>
    <x:row r="933">
      <x:c r="A933" s="8" t="n"/>
      <x:c r="B933" s="8" t="n"/>
      <x:c r="C933" s="8" t="n"/>
      <x:c r="D933" s="8" t="n"/>
      <x:c r="E933" s="8" t="n"/>
      <x:c r="F933" s="8" t="n"/>
      <x:c r="G933" s="7">
        <x:f>IF(A933="","",IF(01_Parametres!$B$11="Oui",IF((01_Parametres!$B$4*(D933&gt;0)+01_Parametres!$B$5*(E933&gt;0)+01_Parametres!$B$6*(F933&gt;0))=0,"",(01_Parametres!$B$4*IF(D933&gt;0,D933,0)+01_Parametres!$B$5*IF(E933&gt;0,E933,0)+01_Parametres!$B$6*IF(F933&gt;0,F933,0))/(01_Parametres!$B$4*(D933&gt;0)+01_Parametres!$B$5*(E933&gt;0)+01_Parametres!$B$6*(F933&gt;0))),IF(01_Parametres!$B$8=0,"",(01_Parametres!$B$4*D933+01_Parametres!$B$5*E933+01_Parametres!$B$6*F933)/01_Parametres!$B$8)))</x:f>
      </x:c>
      <x:c r="H933">
        <x:f>IFERROR(VLOOKUP(C933,02_Referentiels!$A$20:$D$99,3,FALSE),"")</x:f>
      </x:c>
      <x:c r="I933">
        <x:f>IFERROR(VLOOKUP(B933,02_Referentiels!$A$5:$C$16,2,FALSE),"")</x:f>
      </x:c>
      <x:c r="J933">
        <x:f>IF(A933="","",IF(OR(D933="",E933="",F933=""),1,IF(OR(D933&lt;0,D933&gt;3,E933&lt;0,E933&gt;3,F933&lt;0,F933&gt;3),1,0)))</x:f>
      </x:c>
      <x:c r="K933">
        <x:f>IF(A933="","",IF(G933="",1,0))</x:f>
      </x:c>
      <x:c r="L933">
        <x:f>IF(A933="","",IF(COUNTIFS($A$5:$A$2004,A933,$C$5:$C$2004,C933)&gt;1,1,0))</x:f>
      </x:c>
    </x:row>
    <x:row r="934">
      <x:c r="A934" s="8" t="n"/>
      <x:c r="B934" s="8" t="n"/>
      <x:c r="C934" s="8" t="n"/>
      <x:c r="D934" s="8" t="n"/>
      <x:c r="E934" s="8" t="n"/>
      <x:c r="F934" s="8" t="n"/>
      <x:c r="G934" s="7">
        <x:f>IF(A934="","",IF(01_Parametres!$B$11="Oui",IF((01_Parametres!$B$4*(D934&gt;0)+01_Parametres!$B$5*(E934&gt;0)+01_Parametres!$B$6*(F934&gt;0))=0,"",(01_Parametres!$B$4*IF(D934&gt;0,D934,0)+01_Parametres!$B$5*IF(E934&gt;0,E934,0)+01_Parametres!$B$6*IF(F934&gt;0,F934,0))/(01_Parametres!$B$4*(D934&gt;0)+01_Parametres!$B$5*(E934&gt;0)+01_Parametres!$B$6*(F934&gt;0))),IF(01_Parametres!$B$8=0,"",(01_Parametres!$B$4*D934+01_Parametres!$B$5*E934+01_Parametres!$B$6*F934)/01_Parametres!$B$8)))</x:f>
      </x:c>
      <x:c r="H934">
        <x:f>IFERROR(VLOOKUP(C934,02_Referentiels!$A$20:$D$99,3,FALSE),"")</x:f>
      </x:c>
      <x:c r="I934">
        <x:f>IFERROR(VLOOKUP(B934,02_Referentiels!$A$5:$C$16,2,FALSE),"")</x:f>
      </x:c>
      <x:c r="J934">
        <x:f>IF(A934="","",IF(OR(D934="",E934="",F934=""),1,IF(OR(D934&lt;0,D934&gt;3,E934&lt;0,E934&gt;3,F934&lt;0,F934&gt;3),1,0)))</x:f>
      </x:c>
      <x:c r="K934">
        <x:f>IF(A934="","",IF(G934="",1,0))</x:f>
      </x:c>
      <x:c r="L934">
        <x:f>IF(A934="","",IF(COUNTIFS($A$5:$A$2004,A934,$C$5:$C$2004,C934)&gt;1,1,0))</x:f>
      </x:c>
    </x:row>
    <x:row r="935">
      <x:c r="A935" s="8" t="n"/>
      <x:c r="B935" s="8" t="n"/>
      <x:c r="C935" s="8" t="n"/>
      <x:c r="D935" s="8" t="n"/>
      <x:c r="E935" s="8" t="n"/>
      <x:c r="F935" s="8" t="n"/>
      <x:c r="G935" s="7">
        <x:f>IF(A935="","",IF(01_Parametres!$B$11="Oui",IF((01_Parametres!$B$4*(D935&gt;0)+01_Parametres!$B$5*(E935&gt;0)+01_Parametres!$B$6*(F935&gt;0))=0,"",(01_Parametres!$B$4*IF(D935&gt;0,D935,0)+01_Parametres!$B$5*IF(E935&gt;0,E935,0)+01_Parametres!$B$6*IF(F935&gt;0,F935,0))/(01_Parametres!$B$4*(D935&gt;0)+01_Parametres!$B$5*(E935&gt;0)+01_Parametres!$B$6*(F935&gt;0))),IF(01_Parametres!$B$8=0,"",(01_Parametres!$B$4*D935+01_Parametres!$B$5*E935+01_Parametres!$B$6*F935)/01_Parametres!$B$8)))</x:f>
      </x:c>
      <x:c r="H935">
        <x:f>IFERROR(VLOOKUP(C935,02_Referentiels!$A$20:$D$99,3,FALSE),"")</x:f>
      </x:c>
      <x:c r="I935">
        <x:f>IFERROR(VLOOKUP(B935,02_Referentiels!$A$5:$C$16,2,FALSE),"")</x:f>
      </x:c>
      <x:c r="J935">
        <x:f>IF(A935="","",IF(OR(D935="",E935="",F935=""),1,IF(OR(D935&lt;0,D935&gt;3,E935&lt;0,E935&gt;3,F935&lt;0,F935&gt;3),1,0)))</x:f>
      </x:c>
      <x:c r="K935">
        <x:f>IF(A935="","",IF(G935="",1,0))</x:f>
      </x:c>
      <x:c r="L935">
        <x:f>IF(A935="","",IF(COUNTIFS($A$5:$A$2004,A935,$C$5:$C$2004,C935)&gt;1,1,0))</x:f>
      </x:c>
    </x:row>
    <x:row r="936">
      <x:c r="A936" s="8" t="n"/>
      <x:c r="B936" s="8" t="n"/>
      <x:c r="C936" s="8" t="n"/>
      <x:c r="D936" s="8" t="n"/>
      <x:c r="E936" s="8" t="n"/>
      <x:c r="F936" s="8" t="n"/>
      <x:c r="G936" s="7">
        <x:f>IF(A936="","",IF(01_Parametres!$B$11="Oui",IF((01_Parametres!$B$4*(D936&gt;0)+01_Parametres!$B$5*(E936&gt;0)+01_Parametres!$B$6*(F936&gt;0))=0,"",(01_Parametres!$B$4*IF(D936&gt;0,D936,0)+01_Parametres!$B$5*IF(E936&gt;0,E936,0)+01_Parametres!$B$6*IF(F936&gt;0,F936,0))/(01_Parametres!$B$4*(D936&gt;0)+01_Parametres!$B$5*(E936&gt;0)+01_Parametres!$B$6*(F936&gt;0))),IF(01_Parametres!$B$8=0,"",(01_Parametres!$B$4*D936+01_Parametres!$B$5*E936+01_Parametres!$B$6*F936)/01_Parametres!$B$8)))</x:f>
      </x:c>
      <x:c r="H936">
        <x:f>IFERROR(VLOOKUP(C936,02_Referentiels!$A$20:$D$99,3,FALSE),"")</x:f>
      </x:c>
      <x:c r="I936">
        <x:f>IFERROR(VLOOKUP(B936,02_Referentiels!$A$5:$C$16,2,FALSE),"")</x:f>
      </x:c>
      <x:c r="J936">
        <x:f>IF(A936="","",IF(OR(D936="",E936="",F936=""),1,IF(OR(D936&lt;0,D936&gt;3,E936&lt;0,E936&gt;3,F936&lt;0,F936&gt;3),1,0)))</x:f>
      </x:c>
      <x:c r="K936">
        <x:f>IF(A936="","",IF(G936="",1,0))</x:f>
      </x:c>
      <x:c r="L936">
        <x:f>IF(A936="","",IF(COUNTIFS($A$5:$A$2004,A936,$C$5:$C$2004,C936)&gt;1,1,0))</x:f>
      </x:c>
    </x:row>
    <x:row r="937">
      <x:c r="A937" s="8" t="n"/>
      <x:c r="B937" s="8" t="n"/>
      <x:c r="C937" s="8" t="n"/>
      <x:c r="D937" s="8" t="n"/>
      <x:c r="E937" s="8" t="n"/>
      <x:c r="F937" s="8" t="n"/>
      <x:c r="G937" s="7">
        <x:f>IF(A937="","",IF(01_Parametres!$B$11="Oui",IF((01_Parametres!$B$4*(D937&gt;0)+01_Parametres!$B$5*(E937&gt;0)+01_Parametres!$B$6*(F937&gt;0))=0,"",(01_Parametres!$B$4*IF(D937&gt;0,D937,0)+01_Parametres!$B$5*IF(E937&gt;0,E937,0)+01_Parametres!$B$6*IF(F937&gt;0,F937,0))/(01_Parametres!$B$4*(D937&gt;0)+01_Parametres!$B$5*(E937&gt;0)+01_Parametres!$B$6*(F937&gt;0))),IF(01_Parametres!$B$8=0,"",(01_Parametres!$B$4*D937+01_Parametres!$B$5*E937+01_Parametres!$B$6*F937)/01_Parametres!$B$8)))</x:f>
      </x:c>
      <x:c r="H937">
        <x:f>IFERROR(VLOOKUP(C937,02_Referentiels!$A$20:$D$99,3,FALSE),"")</x:f>
      </x:c>
      <x:c r="I937">
        <x:f>IFERROR(VLOOKUP(B937,02_Referentiels!$A$5:$C$16,2,FALSE),"")</x:f>
      </x:c>
      <x:c r="J937">
        <x:f>IF(A937="","",IF(OR(D937="",E937="",F937=""),1,IF(OR(D937&lt;0,D937&gt;3,E937&lt;0,E937&gt;3,F937&lt;0,F937&gt;3),1,0)))</x:f>
      </x:c>
      <x:c r="K937">
        <x:f>IF(A937="","",IF(G937="",1,0))</x:f>
      </x:c>
      <x:c r="L937">
        <x:f>IF(A937="","",IF(COUNTIFS($A$5:$A$2004,A937,$C$5:$C$2004,C937)&gt;1,1,0))</x:f>
      </x:c>
    </x:row>
    <x:row r="938">
      <x:c r="A938" s="8" t="n"/>
      <x:c r="B938" s="8" t="n"/>
      <x:c r="C938" s="8" t="n"/>
      <x:c r="D938" s="8" t="n"/>
      <x:c r="E938" s="8" t="n"/>
      <x:c r="F938" s="8" t="n"/>
      <x:c r="G938" s="7">
        <x:f>IF(A938="","",IF(01_Parametres!$B$11="Oui",IF((01_Parametres!$B$4*(D938&gt;0)+01_Parametres!$B$5*(E938&gt;0)+01_Parametres!$B$6*(F938&gt;0))=0,"",(01_Parametres!$B$4*IF(D938&gt;0,D938,0)+01_Parametres!$B$5*IF(E938&gt;0,E938,0)+01_Parametres!$B$6*IF(F938&gt;0,F938,0))/(01_Parametres!$B$4*(D938&gt;0)+01_Parametres!$B$5*(E938&gt;0)+01_Parametres!$B$6*(F938&gt;0))),IF(01_Parametres!$B$8=0,"",(01_Parametres!$B$4*D938+01_Parametres!$B$5*E938+01_Parametres!$B$6*F938)/01_Parametres!$B$8)))</x:f>
      </x:c>
      <x:c r="H938">
        <x:f>IFERROR(VLOOKUP(C938,02_Referentiels!$A$20:$D$99,3,FALSE),"")</x:f>
      </x:c>
      <x:c r="I938">
        <x:f>IFERROR(VLOOKUP(B938,02_Referentiels!$A$5:$C$16,2,FALSE),"")</x:f>
      </x:c>
      <x:c r="J938">
        <x:f>IF(A938="","",IF(OR(D938="",E938="",F938=""),1,IF(OR(D938&lt;0,D938&gt;3,E938&lt;0,E938&gt;3,F938&lt;0,F938&gt;3),1,0)))</x:f>
      </x:c>
      <x:c r="K938">
        <x:f>IF(A938="","",IF(G938="",1,0))</x:f>
      </x:c>
      <x:c r="L938">
        <x:f>IF(A938="","",IF(COUNTIFS($A$5:$A$2004,A938,$C$5:$C$2004,C938)&gt;1,1,0))</x:f>
      </x:c>
    </x:row>
    <x:row r="939">
      <x:c r="A939" s="8" t="n"/>
      <x:c r="B939" s="8" t="n"/>
      <x:c r="C939" s="8" t="n"/>
      <x:c r="D939" s="8" t="n"/>
      <x:c r="E939" s="8" t="n"/>
      <x:c r="F939" s="8" t="n"/>
      <x:c r="G939" s="7">
        <x:f>IF(A939="","",IF(01_Parametres!$B$11="Oui",IF((01_Parametres!$B$4*(D939&gt;0)+01_Parametres!$B$5*(E939&gt;0)+01_Parametres!$B$6*(F939&gt;0))=0,"",(01_Parametres!$B$4*IF(D939&gt;0,D939,0)+01_Parametres!$B$5*IF(E939&gt;0,E939,0)+01_Parametres!$B$6*IF(F939&gt;0,F939,0))/(01_Parametres!$B$4*(D939&gt;0)+01_Parametres!$B$5*(E939&gt;0)+01_Parametres!$B$6*(F939&gt;0))),IF(01_Parametres!$B$8=0,"",(01_Parametres!$B$4*D939+01_Parametres!$B$5*E939+01_Parametres!$B$6*F939)/01_Parametres!$B$8)))</x:f>
      </x:c>
      <x:c r="H939">
        <x:f>IFERROR(VLOOKUP(C939,02_Referentiels!$A$20:$D$99,3,FALSE),"")</x:f>
      </x:c>
      <x:c r="I939">
        <x:f>IFERROR(VLOOKUP(B939,02_Referentiels!$A$5:$C$16,2,FALSE),"")</x:f>
      </x:c>
      <x:c r="J939">
        <x:f>IF(A939="","",IF(OR(D939="",E939="",F939=""),1,IF(OR(D939&lt;0,D939&gt;3,E939&lt;0,E939&gt;3,F939&lt;0,F939&gt;3),1,0)))</x:f>
      </x:c>
      <x:c r="K939">
        <x:f>IF(A939="","",IF(G939="",1,0))</x:f>
      </x:c>
      <x:c r="L939">
        <x:f>IF(A939="","",IF(COUNTIFS($A$5:$A$2004,A939,$C$5:$C$2004,C939)&gt;1,1,0))</x:f>
      </x:c>
    </x:row>
    <x:row r="940">
      <x:c r="A940" s="8" t="n"/>
      <x:c r="B940" s="8" t="n"/>
      <x:c r="C940" s="8" t="n"/>
      <x:c r="D940" s="8" t="n"/>
      <x:c r="E940" s="8" t="n"/>
      <x:c r="F940" s="8" t="n"/>
      <x:c r="G940" s="7">
        <x:f>IF(A940="","",IF(01_Parametres!$B$11="Oui",IF((01_Parametres!$B$4*(D940&gt;0)+01_Parametres!$B$5*(E940&gt;0)+01_Parametres!$B$6*(F940&gt;0))=0,"",(01_Parametres!$B$4*IF(D940&gt;0,D940,0)+01_Parametres!$B$5*IF(E940&gt;0,E940,0)+01_Parametres!$B$6*IF(F940&gt;0,F940,0))/(01_Parametres!$B$4*(D940&gt;0)+01_Parametres!$B$5*(E940&gt;0)+01_Parametres!$B$6*(F940&gt;0))),IF(01_Parametres!$B$8=0,"",(01_Parametres!$B$4*D940+01_Parametres!$B$5*E940+01_Parametres!$B$6*F940)/01_Parametres!$B$8)))</x:f>
      </x:c>
      <x:c r="H940">
        <x:f>IFERROR(VLOOKUP(C940,02_Referentiels!$A$20:$D$99,3,FALSE),"")</x:f>
      </x:c>
      <x:c r="I940">
        <x:f>IFERROR(VLOOKUP(B940,02_Referentiels!$A$5:$C$16,2,FALSE),"")</x:f>
      </x:c>
      <x:c r="J940">
        <x:f>IF(A940="","",IF(OR(D940="",E940="",F940=""),1,IF(OR(D940&lt;0,D940&gt;3,E940&lt;0,E940&gt;3,F940&lt;0,F940&gt;3),1,0)))</x:f>
      </x:c>
      <x:c r="K940">
        <x:f>IF(A940="","",IF(G940="",1,0))</x:f>
      </x:c>
      <x:c r="L940">
        <x:f>IF(A940="","",IF(COUNTIFS($A$5:$A$2004,A940,$C$5:$C$2004,C940)&gt;1,1,0))</x:f>
      </x:c>
    </x:row>
    <x:row r="941">
      <x:c r="A941" s="8" t="n"/>
      <x:c r="B941" s="8" t="n"/>
      <x:c r="C941" s="8" t="n"/>
      <x:c r="D941" s="8" t="n"/>
      <x:c r="E941" s="8" t="n"/>
      <x:c r="F941" s="8" t="n"/>
      <x:c r="G941" s="7">
        <x:f>IF(A941="","",IF(01_Parametres!$B$11="Oui",IF((01_Parametres!$B$4*(D941&gt;0)+01_Parametres!$B$5*(E941&gt;0)+01_Parametres!$B$6*(F941&gt;0))=0,"",(01_Parametres!$B$4*IF(D941&gt;0,D941,0)+01_Parametres!$B$5*IF(E941&gt;0,E941,0)+01_Parametres!$B$6*IF(F941&gt;0,F941,0))/(01_Parametres!$B$4*(D941&gt;0)+01_Parametres!$B$5*(E941&gt;0)+01_Parametres!$B$6*(F941&gt;0))),IF(01_Parametres!$B$8=0,"",(01_Parametres!$B$4*D941+01_Parametres!$B$5*E941+01_Parametres!$B$6*F941)/01_Parametres!$B$8)))</x:f>
      </x:c>
      <x:c r="H941">
        <x:f>IFERROR(VLOOKUP(C941,02_Referentiels!$A$20:$D$99,3,FALSE),"")</x:f>
      </x:c>
      <x:c r="I941">
        <x:f>IFERROR(VLOOKUP(B941,02_Referentiels!$A$5:$C$16,2,FALSE),"")</x:f>
      </x:c>
      <x:c r="J941">
        <x:f>IF(A941="","",IF(OR(D941="",E941="",F941=""),1,IF(OR(D941&lt;0,D941&gt;3,E941&lt;0,E941&gt;3,F941&lt;0,F941&gt;3),1,0)))</x:f>
      </x:c>
      <x:c r="K941">
        <x:f>IF(A941="","",IF(G941="",1,0))</x:f>
      </x:c>
      <x:c r="L941">
        <x:f>IF(A941="","",IF(COUNTIFS($A$5:$A$2004,A941,$C$5:$C$2004,C941)&gt;1,1,0))</x:f>
      </x:c>
    </x:row>
    <x:row r="942">
      <x:c r="A942" s="8" t="n"/>
      <x:c r="B942" s="8" t="n"/>
      <x:c r="C942" s="8" t="n"/>
      <x:c r="D942" s="8" t="n"/>
      <x:c r="E942" s="8" t="n"/>
      <x:c r="F942" s="8" t="n"/>
      <x:c r="G942" s="7">
        <x:f>IF(A942="","",IF(01_Parametres!$B$11="Oui",IF((01_Parametres!$B$4*(D942&gt;0)+01_Parametres!$B$5*(E942&gt;0)+01_Parametres!$B$6*(F942&gt;0))=0,"",(01_Parametres!$B$4*IF(D942&gt;0,D942,0)+01_Parametres!$B$5*IF(E942&gt;0,E942,0)+01_Parametres!$B$6*IF(F942&gt;0,F942,0))/(01_Parametres!$B$4*(D942&gt;0)+01_Parametres!$B$5*(E942&gt;0)+01_Parametres!$B$6*(F942&gt;0))),IF(01_Parametres!$B$8=0,"",(01_Parametres!$B$4*D942+01_Parametres!$B$5*E942+01_Parametres!$B$6*F942)/01_Parametres!$B$8)))</x:f>
      </x:c>
      <x:c r="H942">
        <x:f>IFERROR(VLOOKUP(C942,02_Referentiels!$A$20:$D$99,3,FALSE),"")</x:f>
      </x:c>
      <x:c r="I942">
        <x:f>IFERROR(VLOOKUP(B942,02_Referentiels!$A$5:$C$16,2,FALSE),"")</x:f>
      </x:c>
      <x:c r="J942">
        <x:f>IF(A942="","",IF(OR(D942="",E942="",F942=""),1,IF(OR(D942&lt;0,D942&gt;3,E942&lt;0,E942&gt;3,F942&lt;0,F942&gt;3),1,0)))</x:f>
      </x:c>
      <x:c r="K942">
        <x:f>IF(A942="","",IF(G942="",1,0))</x:f>
      </x:c>
      <x:c r="L942">
        <x:f>IF(A942="","",IF(COUNTIFS($A$5:$A$2004,A942,$C$5:$C$2004,C942)&gt;1,1,0))</x:f>
      </x:c>
    </x:row>
    <x:row r="943">
      <x:c r="A943" s="8" t="n"/>
      <x:c r="B943" s="8" t="n"/>
      <x:c r="C943" s="8" t="n"/>
      <x:c r="D943" s="8" t="n"/>
      <x:c r="E943" s="8" t="n"/>
      <x:c r="F943" s="8" t="n"/>
      <x:c r="G943" s="7">
        <x:f>IF(A943="","",IF(01_Parametres!$B$11="Oui",IF((01_Parametres!$B$4*(D943&gt;0)+01_Parametres!$B$5*(E943&gt;0)+01_Parametres!$B$6*(F943&gt;0))=0,"",(01_Parametres!$B$4*IF(D943&gt;0,D943,0)+01_Parametres!$B$5*IF(E943&gt;0,E943,0)+01_Parametres!$B$6*IF(F943&gt;0,F943,0))/(01_Parametres!$B$4*(D943&gt;0)+01_Parametres!$B$5*(E943&gt;0)+01_Parametres!$B$6*(F943&gt;0))),IF(01_Parametres!$B$8=0,"",(01_Parametres!$B$4*D943+01_Parametres!$B$5*E943+01_Parametres!$B$6*F943)/01_Parametres!$B$8)))</x:f>
      </x:c>
      <x:c r="H943">
        <x:f>IFERROR(VLOOKUP(C943,02_Referentiels!$A$20:$D$99,3,FALSE),"")</x:f>
      </x:c>
      <x:c r="I943">
        <x:f>IFERROR(VLOOKUP(B943,02_Referentiels!$A$5:$C$16,2,FALSE),"")</x:f>
      </x:c>
      <x:c r="J943">
        <x:f>IF(A943="","",IF(OR(D943="",E943="",F943=""),1,IF(OR(D943&lt;0,D943&gt;3,E943&lt;0,E943&gt;3,F943&lt;0,F943&gt;3),1,0)))</x:f>
      </x:c>
      <x:c r="K943">
        <x:f>IF(A943="","",IF(G943="",1,0))</x:f>
      </x:c>
      <x:c r="L943">
        <x:f>IF(A943="","",IF(COUNTIFS($A$5:$A$2004,A943,$C$5:$C$2004,C943)&gt;1,1,0))</x:f>
      </x:c>
    </x:row>
    <x:row r="944">
      <x:c r="A944" s="8" t="n"/>
      <x:c r="B944" s="8" t="n"/>
      <x:c r="C944" s="8" t="n"/>
      <x:c r="D944" s="8" t="n"/>
      <x:c r="E944" s="8" t="n"/>
      <x:c r="F944" s="8" t="n"/>
      <x:c r="G944" s="7">
        <x:f>IF(A944="","",IF(01_Parametres!$B$11="Oui",IF((01_Parametres!$B$4*(D944&gt;0)+01_Parametres!$B$5*(E944&gt;0)+01_Parametres!$B$6*(F944&gt;0))=0,"",(01_Parametres!$B$4*IF(D944&gt;0,D944,0)+01_Parametres!$B$5*IF(E944&gt;0,E944,0)+01_Parametres!$B$6*IF(F944&gt;0,F944,0))/(01_Parametres!$B$4*(D944&gt;0)+01_Parametres!$B$5*(E944&gt;0)+01_Parametres!$B$6*(F944&gt;0))),IF(01_Parametres!$B$8=0,"",(01_Parametres!$B$4*D944+01_Parametres!$B$5*E944+01_Parametres!$B$6*F944)/01_Parametres!$B$8)))</x:f>
      </x:c>
      <x:c r="H944">
        <x:f>IFERROR(VLOOKUP(C944,02_Referentiels!$A$20:$D$99,3,FALSE),"")</x:f>
      </x:c>
      <x:c r="I944">
        <x:f>IFERROR(VLOOKUP(B944,02_Referentiels!$A$5:$C$16,2,FALSE),"")</x:f>
      </x:c>
      <x:c r="J944">
        <x:f>IF(A944="","",IF(OR(D944="",E944="",F944=""),1,IF(OR(D944&lt;0,D944&gt;3,E944&lt;0,E944&gt;3,F944&lt;0,F944&gt;3),1,0)))</x:f>
      </x:c>
      <x:c r="K944">
        <x:f>IF(A944="","",IF(G944="",1,0))</x:f>
      </x:c>
      <x:c r="L944">
        <x:f>IF(A944="","",IF(COUNTIFS($A$5:$A$2004,A944,$C$5:$C$2004,C944)&gt;1,1,0))</x:f>
      </x:c>
    </x:row>
    <x:row r="945">
      <x:c r="A945" s="8" t="n"/>
      <x:c r="B945" s="8" t="n"/>
      <x:c r="C945" s="8" t="n"/>
      <x:c r="D945" s="8" t="n"/>
      <x:c r="E945" s="8" t="n"/>
      <x:c r="F945" s="8" t="n"/>
      <x:c r="G945" s="7">
        <x:f>IF(A945="","",IF(01_Parametres!$B$11="Oui",IF((01_Parametres!$B$4*(D945&gt;0)+01_Parametres!$B$5*(E945&gt;0)+01_Parametres!$B$6*(F945&gt;0))=0,"",(01_Parametres!$B$4*IF(D945&gt;0,D945,0)+01_Parametres!$B$5*IF(E945&gt;0,E945,0)+01_Parametres!$B$6*IF(F945&gt;0,F945,0))/(01_Parametres!$B$4*(D945&gt;0)+01_Parametres!$B$5*(E945&gt;0)+01_Parametres!$B$6*(F945&gt;0))),IF(01_Parametres!$B$8=0,"",(01_Parametres!$B$4*D945+01_Parametres!$B$5*E945+01_Parametres!$B$6*F945)/01_Parametres!$B$8)))</x:f>
      </x:c>
      <x:c r="H945">
        <x:f>IFERROR(VLOOKUP(C945,02_Referentiels!$A$20:$D$99,3,FALSE),"")</x:f>
      </x:c>
      <x:c r="I945">
        <x:f>IFERROR(VLOOKUP(B945,02_Referentiels!$A$5:$C$16,2,FALSE),"")</x:f>
      </x:c>
      <x:c r="J945">
        <x:f>IF(A945="","",IF(OR(D945="",E945="",F945=""),1,IF(OR(D945&lt;0,D945&gt;3,E945&lt;0,E945&gt;3,F945&lt;0,F945&gt;3),1,0)))</x:f>
      </x:c>
      <x:c r="K945">
        <x:f>IF(A945="","",IF(G945="",1,0))</x:f>
      </x:c>
      <x:c r="L945">
        <x:f>IF(A945="","",IF(COUNTIFS($A$5:$A$2004,A945,$C$5:$C$2004,C945)&gt;1,1,0))</x:f>
      </x:c>
    </x:row>
    <x:row r="946">
      <x:c r="A946" s="8" t="n"/>
      <x:c r="B946" s="8" t="n"/>
      <x:c r="C946" s="8" t="n"/>
      <x:c r="D946" s="8" t="n"/>
      <x:c r="E946" s="8" t="n"/>
      <x:c r="F946" s="8" t="n"/>
      <x:c r="G946" s="7">
        <x:f>IF(A946="","",IF(01_Parametres!$B$11="Oui",IF((01_Parametres!$B$4*(D946&gt;0)+01_Parametres!$B$5*(E946&gt;0)+01_Parametres!$B$6*(F946&gt;0))=0,"",(01_Parametres!$B$4*IF(D946&gt;0,D946,0)+01_Parametres!$B$5*IF(E946&gt;0,E946,0)+01_Parametres!$B$6*IF(F946&gt;0,F946,0))/(01_Parametres!$B$4*(D946&gt;0)+01_Parametres!$B$5*(E946&gt;0)+01_Parametres!$B$6*(F946&gt;0))),IF(01_Parametres!$B$8=0,"",(01_Parametres!$B$4*D946+01_Parametres!$B$5*E946+01_Parametres!$B$6*F946)/01_Parametres!$B$8)))</x:f>
      </x:c>
      <x:c r="H946">
        <x:f>IFERROR(VLOOKUP(C946,02_Referentiels!$A$20:$D$99,3,FALSE),"")</x:f>
      </x:c>
      <x:c r="I946">
        <x:f>IFERROR(VLOOKUP(B946,02_Referentiels!$A$5:$C$16,2,FALSE),"")</x:f>
      </x:c>
      <x:c r="J946">
        <x:f>IF(A946="","",IF(OR(D946="",E946="",F946=""),1,IF(OR(D946&lt;0,D946&gt;3,E946&lt;0,E946&gt;3,F946&lt;0,F946&gt;3),1,0)))</x:f>
      </x:c>
      <x:c r="K946">
        <x:f>IF(A946="","",IF(G946="",1,0))</x:f>
      </x:c>
      <x:c r="L946">
        <x:f>IF(A946="","",IF(COUNTIFS($A$5:$A$2004,A946,$C$5:$C$2004,C946)&gt;1,1,0))</x:f>
      </x:c>
    </x:row>
    <x:row r="947">
      <x:c r="A947" s="8" t="n"/>
      <x:c r="B947" s="8" t="n"/>
      <x:c r="C947" s="8" t="n"/>
      <x:c r="D947" s="8" t="n"/>
      <x:c r="E947" s="8" t="n"/>
      <x:c r="F947" s="8" t="n"/>
      <x:c r="G947" s="7">
        <x:f>IF(A947="","",IF(01_Parametres!$B$11="Oui",IF((01_Parametres!$B$4*(D947&gt;0)+01_Parametres!$B$5*(E947&gt;0)+01_Parametres!$B$6*(F947&gt;0))=0,"",(01_Parametres!$B$4*IF(D947&gt;0,D947,0)+01_Parametres!$B$5*IF(E947&gt;0,E947,0)+01_Parametres!$B$6*IF(F947&gt;0,F947,0))/(01_Parametres!$B$4*(D947&gt;0)+01_Parametres!$B$5*(E947&gt;0)+01_Parametres!$B$6*(F947&gt;0))),IF(01_Parametres!$B$8=0,"",(01_Parametres!$B$4*D947+01_Parametres!$B$5*E947+01_Parametres!$B$6*F947)/01_Parametres!$B$8)))</x:f>
      </x:c>
      <x:c r="H947">
        <x:f>IFERROR(VLOOKUP(C947,02_Referentiels!$A$20:$D$99,3,FALSE),"")</x:f>
      </x:c>
      <x:c r="I947">
        <x:f>IFERROR(VLOOKUP(B947,02_Referentiels!$A$5:$C$16,2,FALSE),"")</x:f>
      </x:c>
      <x:c r="J947">
        <x:f>IF(A947="","",IF(OR(D947="",E947="",F947=""),1,IF(OR(D947&lt;0,D947&gt;3,E947&lt;0,E947&gt;3,F947&lt;0,F947&gt;3),1,0)))</x:f>
      </x:c>
      <x:c r="K947">
        <x:f>IF(A947="","",IF(G947="",1,0))</x:f>
      </x:c>
      <x:c r="L947">
        <x:f>IF(A947="","",IF(COUNTIFS($A$5:$A$2004,A947,$C$5:$C$2004,C947)&gt;1,1,0))</x:f>
      </x:c>
    </x:row>
    <x:row r="948">
      <x:c r="A948" s="8" t="n"/>
      <x:c r="B948" s="8" t="n"/>
      <x:c r="C948" s="8" t="n"/>
      <x:c r="D948" s="8" t="n"/>
      <x:c r="E948" s="8" t="n"/>
      <x:c r="F948" s="8" t="n"/>
      <x:c r="G948" s="7">
        <x:f>IF(A948="","",IF(01_Parametres!$B$11="Oui",IF((01_Parametres!$B$4*(D948&gt;0)+01_Parametres!$B$5*(E948&gt;0)+01_Parametres!$B$6*(F948&gt;0))=0,"",(01_Parametres!$B$4*IF(D948&gt;0,D948,0)+01_Parametres!$B$5*IF(E948&gt;0,E948,0)+01_Parametres!$B$6*IF(F948&gt;0,F948,0))/(01_Parametres!$B$4*(D948&gt;0)+01_Parametres!$B$5*(E948&gt;0)+01_Parametres!$B$6*(F948&gt;0))),IF(01_Parametres!$B$8=0,"",(01_Parametres!$B$4*D948+01_Parametres!$B$5*E948+01_Parametres!$B$6*F948)/01_Parametres!$B$8)))</x:f>
      </x:c>
      <x:c r="H948">
        <x:f>IFERROR(VLOOKUP(C948,02_Referentiels!$A$20:$D$99,3,FALSE),"")</x:f>
      </x:c>
      <x:c r="I948">
        <x:f>IFERROR(VLOOKUP(B948,02_Referentiels!$A$5:$C$16,2,FALSE),"")</x:f>
      </x:c>
      <x:c r="J948">
        <x:f>IF(A948="","",IF(OR(D948="",E948="",F948=""),1,IF(OR(D948&lt;0,D948&gt;3,E948&lt;0,E948&gt;3,F948&lt;0,F948&gt;3),1,0)))</x:f>
      </x:c>
      <x:c r="K948">
        <x:f>IF(A948="","",IF(G948="",1,0))</x:f>
      </x:c>
      <x:c r="L948">
        <x:f>IF(A948="","",IF(COUNTIFS($A$5:$A$2004,A948,$C$5:$C$2004,C948)&gt;1,1,0))</x:f>
      </x:c>
    </x:row>
    <x:row r="949">
      <x:c r="A949" s="8" t="n"/>
      <x:c r="B949" s="8" t="n"/>
      <x:c r="C949" s="8" t="n"/>
      <x:c r="D949" s="8" t="n"/>
      <x:c r="E949" s="8" t="n"/>
      <x:c r="F949" s="8" t="n"/>
      <x:c r="G949" s="7">
        <x:f>IF(A949="","",IF(01_Parametres!$B$11="Oui",IF((01_Parametres!$B$4*(D949&gt;0)+01_Parametres!$B$5*(E949&gt;0)+01_Parametres!$B$6*(F949&gt;0))=0,"",(01_Parametres!$B$4*IF(D949&gt;0,D949,0)+01_Parametres!$B$5*IF(E949&gt;0,E949,0)+01_Parametres!$B$6*IF(F949&gt;0,F949,0))/(01_Parametres!$B$4*(D949&gt;0)+01_Parametres!$B$5*(E949&gt;0)+01_Parametres!$B$6*(F949&gt;0))),IF(01_Parametres!$B$8=0,"",(01_Parametres!$B$4*D949+01_Parametres!$B$5*E949+01_Parametres!$B$6*F949)/01_Parametres!$B$8)))</x:f>
      </x:c>
      <x:c r="H949">
        <x:f>IFERROR(VLOOKUP(C949,02_Referentiels!$A$20:$D$99,3,FALSE),"")</x:f>
      </x:c>
      <x:c r="I949">
        <x:f>IFERROR(VLOOKUP(B949,02_Referentiels!$A$5:$C$16,2,FALSE),"")</x:f>
      </x:c>
      <x:c r="J949">
        <x:f>IF(A949="","",IF(OR(D949="",E949="",F949=""),1,IF(OR(D949&lt;0,D949&gt;3,E949&lt;0,E949&gt;3,F949&lt;0,F949&gt;3),1,0)))</x:f>
      </x:c>
      <x:c r="K949">
        <x:f>IF(A949="","",IF(G949="",1,0))</x:f>
      </x:c>
      <x:c r="L949">
        <x:f>IF(A949="","",IF(COUNTIFS($A$5:$A$2004,A949,$C$5:$C$2004,C949)&gt;1,1,0))</x:f>
      </x:c>
    </x:row>
    <x:row r="950">
      <x:c r="A950" s="8" t="n"/>
      <x:c r="B950" s="8" t="n"/>
      <x:c r="C950" s="8" t="n"/>
      <x:c r="D950" s="8" t="n"/>
      <x:c r="E950" s="8" t="n"/>
      <x:c r="F950" s="8" t="n"/>
      <x:c r="G950" s="7">
        <x:f>IF(A950="","",IF(01_Parametres!$B$11="Oui",IF((01_Parametres!$B$4*(D950&gt;0)+01_Parametres!$B$5*(E950&gt;0)+01_Parametres!$B$6*(F950&gt;0))=0,"",(01_Parametres!$B$4*IF(D950&gt;0,D950,0)+01_Parametres!$B$5*IF(E950&gt;0,E950,0)+01_Parametres!$B$6*IF(F950&gt;0,F950,0))/(01_Parametres!$B$4*(D950&gt;0)+01_Parametres!$B$5*(E950&gt;0)+01_Parametres!$B$6*(F950&gt;0))),IF(01_Parametres!$B$8=0,"",(01_Parametres!$B$4*D950+01_Parametres!$B$5*E950+01_Parametres!$B$6*F950)/01_Parametres!$B$8)))</x:f>
      </x:c>
      <x:c r="H950">
        <x:f>IFERROR(VLOOKUP(C950,02_Referentiels!$A$20:$D$99,3,FALSE),"")</x:f>
      </x:c>
      <x:c r="I950">
        <x:f>IFERROR(VLOOKUP(B950,02_Referentiels!$A$5:$C$16,2,FALSE),"")</x:f>
      </x:c>
      <x:c r="J950">
        <x:f>IF(A950="","",IF(OR(D950="",E950="",F950=""),1,IF(OR(D950&lt;0,D950&gt;3,E950&lt;0,E950&gt;3,F950&lt;0,F950&gt;3),1,0)))</x:f>
      </x:c>
      <x:c r="K950">
        <x:f>IF(A950="","",IF(G950="",1,0))</x:f>
      </x:c>
      <x:c r="L950">
        <x:f>IF(A950="","",IF(COUNTIFS($A$5:$A$2004,A950,$C$5:$C$2004,C950)&gt;1,1,0))</x:f>
      </x:c>
    </x:row>
    <x:row r="951">
      <x:c r="A951" s="8" t="n"/>
      <x:c r="B951" s="8" t="n"/>
      <x:c r="C951" s="8" t="n"/>
      <x:c r="D951" s="8" t="n"/>
      <x:c r="E951" s="8" t="n"/>
      <x:c r="F951" s="8" t="n"/>
      <x:c r="G951" s="7">
        <x:f>IF(A951="","",IF(01_Parametres!$B$11="Oui",IF((01_Parametres!$B$4*(D951&gt;0)+01_Parametres!$B$5*(E951&gt;0)+01_Parametres!$B$6*(F951&gt;0))=0,"",(01_Parametres!$B$4*IF(D951&gt;0,D951,0)+01_Parametres!$B$5*IF(E951&gt;0,E951,0)+01_Parametres!$B$6*IF(F951&gt;0,F951,0))/(01_Parametres!$B$4*(D951&gt;0)+01_Parametres!$B$5*(E951&gt;0)+01_Parametres!$B$6*(F951&gt;0))),IF(01_Parametres!$B$8=0,"",(01_Parametres!$B$4*D951+01_Parametres!$B$5*E951+01_Parametres!$B$6*F951)/01_Parametres!$B$8)))</x:f>
      </x:c>
      <x:c r="H951">
        <x:f>IFERROR(VLOOKUP(C951,02_Referentiels!$A$20:$D$99,3,FALSE),"")</x:f>
      </x:c>
      <x:c r="I951">
        <x:f>IFERROR(VLOOKUP(B951,02_Referentiels!$A$5:$C$16,2,FALSE),"")</x:f>
      </x:c>
      <x:c r="J951">
        <x:f>IF(A951="","",IF(OR(D951="",E951="",F951=""),1,IF(OR(D951&lt;0,D951&gt;3,E951&lt;0,E951&gt;3,F951&lt;0,F951&gt;3),1,0)))</x:f>
      </x:c>
      <x:c r="K951">
        <x:f>IF(A951="","",IF(G951="",1,0))</x:f>
      </x:c>
      <x:c r="L951">
        <x:f>IF(A951="","",IF(COUNTIFS($A$5:$A$2004,A951,$C$5:$C$2004,C951)&gt;1,1,0))</x:f>
      </x:c>
    </x:row>
    <x:row r="952">
      <x:c r="A952" s="8" t="n"/>
      <x:c r="B952" s="8" t="n"/>
      <x:c r="C952" s="8" t="n"/>
      <x:c r="D952" s="8" t="n"/>
      <x:c r="E952" s="8" t="n"/>
      <x:c r="F952" s="8" t="n"/>
      <x:c r="G952" s="7">
        <x:f>IF(A952="","",IF(01_Parametres!$B$11="Oui",IF((01_Parametres!$B$4*(D952&gt;0)+01_Parametres!$B$5*(E952&gt;0)+01_Parametres!$B$6*(F952&gt;0))=0,"",(01_Parametres!$B$4*IF(D952&gt;0,D952,0)+01_Parametres!$B$5*IF(E952&gt;0,E952,0)+01_Parametres!$B$6*IF(F952&gt;0,F952,0))/(01_Parametres!$B$4*(D952&gt;0)+01_Parametres!$B$5*(E952&gt;0)+01_Parametres!$B$6*(F952&gt;0))),IF(01_Parametres!$B$8=0,"",(01_Parametres!$B$4*D952+01_Parametres!$B$5*E952+01_Parametres!$B$6*F952)/01_Parametres!$B$8)))</x:f>
      </x:c>
      <x:c r="H952">
        <x:f>IFERROR(VLOOKUP(C952,02_Referentiels!$A$20:$D$99,3,FALSE),"")</x:f>
      </x:c>
      <x:c r="I952">
        <x:f>IFERROR(VLOOKUP(B952,02_Referentiels!$A$5:$C$16,2,FALSE),"")</x:f>
      </x:c>
      <x:c r="J952">
        <x:f>IF(A952="","",IF(OR(D952="",E952="",F952=""),1,IF(OR(D952&lt;0,D952&gt;3,E952&lt;0,E952&gt;3,F952&lt;0,F952&gt;3),1,0)))</x:f>
      </x:c>
      <x:c r="K952">
        <x:f>IF(A952="","",IF(G952="",1,0))</x:f>
      </x:c>
      <x:c r="L952">
        <x:f>IF(A952="","",IF(COUNTIFS($A$5:$A$2004,A952,$C$5:$C$2004,C952)&gt;1,1,0))</x:f>
      </x:c>
    </x:row>
    <x:row r="953">
      <x:c r="A953" s="8" t="n"/>
      <x:c r="B953" s="8" t="n"/>
      <x:c r="C953" s="8" t="n"/>
      <x:c r="D953" s="8" t="n"/>
      <x:c r="E953" s="8" t="n"/>
      <x:c r="F953" s="8" t="n"/>
      <x:c r="G953" s="7">
        <x:f>IF(A953="","",IF(01_Parametres!$B$11="Oui",IF((01_Parametres!$B$4*(D953&gt;0)+01_Parametres!$B$5*(E953&gt;0)+01_Parametres!$B$6*(F953&gt;0))=0,"",(01_Parametres!$B$4*IF(D953&gt;0,D953,0)+01_Parametres!$B$5*IF(E953&gt;0,E953,0)+01_Parametres!$B$6*IF(F953&gt;0,F953,0))/(01_Parametres!$B$4*(D953&gt;0)+01_Parametres!$B$5*(E953&gt;0)+01_Parametres!$B$6*(F953&gt;0))),IF(01_Parametres!$B$8=0,"",(01_Parametres!$B$4*D953+01_Parametres!$B$5*E953+01_Parametres!$B$6*F953)/01_Parametres!$B$8)))</x:f>
      </x:c>
      <x:c r="H953">
        <x:f>IFERROR(VLOOKUP(C953,02_Referentiels!$A$20:$D$99,3,FALSE),"")</x:f>
      </x:c>
      <x:c r="I953">
        <x:f>IFERROR(VLOOKUP(B953,02_Referentiels!$A$5:$C$16,2,FALSE),"")</x:f>
      </x:c>
      <x:c r="J953">
        <x:f>IF(A953="","",IF(OR(D953="",E953="",F953=""),1,IF(OR(D953&lt;0,D953&gt;3,E953&lt;0,E953&gt;3,F953&lt;0,F953&gt;3),1,0)))</x:f>
      </x:c>
      <x:c r="K953">
        <x:f>IF(A953="","",IF(G953="",1,0))</x:f>
      </x:c>
      <x:c r="L953">
        <x:f>IF(A953="","",IF(COUNTIFS($A$5:$A$2004,A953,$C$5:$C$2004,C953)&gt;1,1,0))</x:f>
      </x:c>
    </x:row>
    <x:row r="954">
      <x:c r="A954" s="8" t="n"/>
      <x:c r="B954" s="8" t="n"/>
      <x:c r="C954" s="8" t="n"/>
      <x:c r="D954" s="8" t="n"/>
      <x:c r="E954" s="8" t="n"/>
      <x:c r="F954" s="8" t="n"/>
      <x:c r="G954" s="7">
        <x:f>IF(A954="","",IF(01_Parametres!$B$11="Oui",IF((01_Parametres!$B$4*(D954&gt;0)+01_Parametres!$B$5*(E954&gt;0)+01_Parametres!$B$6*(F954&gt;0))=0,"",(01_Parametres!$B$4*IF(D954&gt;0,D954,0)+01_Parametres!$B$5*IF(E954&gt;0,E954,0)+01_Parametres!$B$6*IF(F954&gt;0,F954,0))/(01_Parametres!$B$4*(D954&gt;0)+01_Parametres!$B$5*(E954&gt;0)+01_Parametres!$B$6*(F954&gt;0))),IF(01_Parametres!$B$8=0,"",(01_Parametres!$B$4*D954+01_Parametres!$B$5*E954+01_Parametres!$B$6*F954)/01_Parametres!$B$8)))</x:f>
      </x:c>
      <x:c r="H954">
        <x:f>IFERROR(VLOOKUP(C954,02_Referentiels!$A$20:$D$99,3,FALSE),"")</x:f>
      </x:c>
      <x:c r="I954">
        <x:f>IFERROR(VLOOKUP(B954,02_Referentiels!$A$5:$C$16,2,FALSE),"")</x:f>
      </x:c>
      <x:c r="J954">
        <x:f>IF(A954="","",IF(OR(D954="",E954="",F954=""),1,IF(OR(D954&lt;0,D954&gt;3,E954&lt;0,E954&gt;3,F954&lt;0,F954&gt;3),1,0)))</x:f>
      </x:c>
      <x:c r="K954">
        <x:f>IF(A954="","",IF(G954="",1,0))</x:f>
      </x:c>
      <x:c r="L954">
        <x:f>IF(A954="","",IF(COUNTIFS($A$5:$A$2004,A954,$C$5:$C$2004,C954)&gt;1,1,0))</x:f>
      </x:c>
    </x:row>
    <x:row r="955">
      <x:c r="A955" s="8" t="n"/>
      <x:c r="B955" s="8" t="n"/>
      <x:c r="C955" s="8" t="n"/>
      <x:c r="D955" s="8" t="n"/>
      <x:c r="E955" s="8" t="n"/>
      <x:c r="F955" s="8" t="n"/>
      <x:c r="G955" s="7">
        <x:f>IF(A955="","",IF(01_Parametres!$B$11="Oui",IF((01_Parametres!$B$4*(D955&gt;0)+01_Parametres!$B$5*(E955&gt;0)+01_Parametres!$B$6*(F955&gt;0))=0,"",(01_Parametres!$B$4*IF(D955&gt;0,D955,0)+01_Parametres!$B$5*IF(E955&gt;0,E955,0)+01_Parametres!$B$6*IF(F955&gt;0,F955,0))/(01_Parametres!$B$4*(D955&gt;0)+01_Parametres!$B$5*(E955&gt;0)+01_Parametres!$B$6*(F955&gt;0))),IF(01_Parametres!$B$8=0,"",(01_Parametres!$B$4*D955+01_Parametres!$B$5*E955+01_Parametres!$B$6*F955)/01_Parametres!$B$8)))</x:f>
      </x:c>
      <x:c r="H955">
        <x:f>IFERROR(VLOOKUP(C955,02_Referentiels!$A$20:$D$99,3,FALSE),"")</x:f>
      </x:c>
      <x:c r="I955">
        <x:f>IFERROR(VLOOKUP(B955,02_Referentiels!$A$5:$C$16,2,FALSE),"")</x:f>
      </x:c>
      <x:c r="J955">
        <x:f>IF(A955="","",IF(OR(D955="",E955="",F955=""),1,IF(OR(D955&lt;0,D955&gt;3,E955&lt;0,E955&gt;3,F955&lt;0,F955&gt;3),1,0)))</x:f>
      </x:c>
      <x:c r="K955">
        <x:f>IF(A955="","",IF(G955="",1,0))</x:f>
      </x:c>
      <x:c r="L955">
        <x:f>IF(A955="","",IF(COUNTIFS($A$5:$A$2004,A955,$C$5:$C$2004,C955)&gt;1,1,0))</x:f>
      </x:c>
    </x:row>
    <x:row r="956">
      <x:c r="A956" s="8" t="n"/>
      <x:c r="B956" s="8" t="n"/>
      <x:c r="C956" s="8" t="n"/>
      <x:c r="D956" s="8" t="n"/>
      <x:c r="E956" s="8" t="n"/>
      <x:c r="F956" s="8" t="n"/>
      <x:c r="G956" s="7">
        <x:f>IF(A956="","",IF(01_Parametres!$B$11="Oui",IF((01_Parametres!$B$4*(D956&gt;0)+01_Parametres!$B$5*(E956&gt;0)+01_Parametres!$B$6*(F956&gt;0))=0,"",(01_Parametres!$B$4*IF(D956&gt;0,D956,0)+01_Parametres!$B$5*IF(E956&gt;0,E956,0)+01_Parametres!$B$6*IF(F956&gt;0,F956,0))/(01_Parametres!$B$4*(D956&gt;0)+01_Parametres!$B$5*(E956&gt;0)+01_Parametres!$B$6*(F956&gt;0))),IF(01_Parametres!$B$8=0,"",(01_Parametres!$B$4*D956+01_Parametres!$B$5*E956+01_Parametres!$B$6*F956)/01_Parametres!$B$8)))</x:f>
      </x:c>
      <x:c r="H956">
        <x:f>IFERROR(VLOOKUP(C956,02_Referentiels!$A$20:$D$99,3,FALSE),"")</x:f>
      </x:c>
      <x:c r="I956">
        <x:f>IFERROR(VLOOKUP(B956,02_Referentiels!$A$5:$C$16,2,FALSE),"")</x:f>
      </x:c>
      <x:c r="J956">
        <x:f>IF(A956="","",IF(OR(D956="",E956="",F956=""),1,IF(OR(D956&lt;0,D956&gt;3,E956&lt;0,E956&gt;3,F956&lt;0,F956&gt;3),1,0)))</x:f>
      </x:c>
      <x:c r="K956">
        <x:f>IF(A956="","",IF(G956="",1,0))</x:f>
      </x:c>
      <x:c r="L956">
        <x:f>IF(A956="","",IF(COUNTIFS($A$5:$A$2004,A956,$C$5:$C$2004,C956)&gt;1,1,0))</x:f>
      </x:c>
    </x:row>
    <x:row r="957">
      <x:c r="A957" s="8" t="n"/>
      <x:c r="B957" s="8" t="n"/>
      <x:c r="C957" s="8" t="n"/>
      <x:c r="D957" s="8" t="n"/>
      <x:c r="E957" s="8" t="n"/>
      <x:c r="F957" s="8" t="n"/>
      <x:c r="G957" s="7">
        <x:f>IF(A957="","",IF(01_Parametres!$B$11="Oui",IF((01_Parametres!$B$4*(D957&gt;0)+01_Parametres!$B$5*(E957&gt;0)+01_Parametres!$B$6*(F957&gt;0))=0,"",(01_Parametres!$B$4*IF(D957&gt;0,D957,0)+01_Parametres!$B$5*IF(E957&gt;0,E957,0)+01_Parametres!$B$6*IF(F957&gt;0,F957,0))/(01_Parametres!$B$4*(D957&gt;0)+01_Parametres!$B$5*(E957&gt;0)+01_Parametres!$B$6*(F957&gt;0))),IF(01_Parametres!$B$8=0,"",(01_Parametres!$B$4*D957+01_Parametres!$B$5*E957+01_Parametres!$B$6*F957)/01_Parametres!$B$8)))</x:f>
      </x:c>
      <x:c r="H957">
        <x:f>IFERROR(VLOOKUP(C957,02_Referentiels!$A$20:$D$99,3,FALSE),"")</x:f>
      </x:c>
      <x:c r="I957">
        <x:f>IFERROR(VLOOKUP(B957,02_Referentiels!$A$5:$C$16,2,FALSE),"")</x:f>
      </x:c>
      <x:c r="J957">
        <x:f>IF(A957="","",IF(OR(D957="",E957="",F957=""),1,IF(OR(D957&lt;0,D957&gt;3,E957&lt;0,E957&gt;3,F957&lt;0,F957&gt;3),1,0)))</x:f>
      </x:c>
      <x:c r="K957">
        <x:f>IF(A957="","",IF(G957="",1,0))</x:f>
      </x:c>
      <x:c r="L957">
        <x:f>IF(A957="","",IF(COUNTIFS($A$5:$A$2004,A957,$C$5:$C$2004,C957)&gt;1,1,0))</x:f>
      </x:c>
    </x:row>
    <x:row r="958">
      <x:c r="A958" s="8" t="n"/>
      <x:c r="B958" s="8" t="n"/>
      <x:c r="C958" s="8" t="n"/>
      <x:c r="D958" s="8" t="n"/>
      <x:c r="E958" s="8" t="n"/>
      <x:c r="F958" s="8" t="n"/>
      <x:c r="G958" s="7">
        <x:f>IF(A958="","",IF(01_Parametres!$B$11="Oui",IF((01_Parametres!$B$4*(D958&gt;0)+01_Parametres!$B$5*(E958&gt;0)+01_Parametres!$B$6*(F958&gt;0))=0,"",(01_Parametres!$B$4*IF(D958&gt;0,D958,0)+01_Parametres!$B$5*IF(E958&gt;0,E958,0)+01_Parametres!$B$6*IF(F958&gt;0,F958,0))/(01_Parametres!$B$4*(D958&gt;0)+01_Parametres!$B$5*(E958&gt;0)+01_Parametres!$B$6*(F958&gt;0))),IF(01_Parametres!$B$8=0,"",(01_Parametres!$B$4*D958+01_Parametres!$B$5*E958+01_Parametres!$B$6*F958)/01_Parametres!$B$8)))</x:f>
      </x:c>
      <x:c r="H958">
        <x:f>IFERROR(VLOOKUP(C958,02_Referentiels!$A$20:$D$99,3,FALSE),"")</x:f>
      </x:c>
      <x:c r="I958">
        <x:f>IFERROR(VLOOKUP(B958,02_Referentiels!$A$5:$C$16,2,FALSE),"")</x:f>
      </x:c>
      <x:c r="J958">
        <x:f>IF(A958="","",IF(OR(D958="",E958="",F958=""),1,IF(OR(D958&lt;0,D958&gt;3,E958&lt;0,E958&gt;3,F958&lt;0,F958&gt;3),1,0)))</x:f>
      </x:c>
      <x:c r="K958">
        <x:f>IF(A958="","",IF(G958="",1,0))</x:f>
      </x:c>
      <x:c r="L958">
        <x:f>IF(A958="","",IF(COUNTIFS($A$5:$A$2004,A958,$C$5:$C$2004,C958)&gt;1,1,0))</x:f>
      </x:c>
    </x:row>
    <x:row r="959">
      <x:c r="A959" s="8" t="n"/>
      <x:c r="B959" s="8" t="n"/>
      <x:c r="C959" s="8" t="n"/>
      <x:c r="D959" s="8" t="n"/>
      <x:c r="E959" s="8" t="n"/>
      <x:c r="F959" s="8" t="n"/>
      <x:c r="G959" s="7">
        <x:f>IF(A959="","",IF(01_Parametres!$B$11="Oui",IF((01_Parametres!$B$4*(D959&gt;0)+01_Parametres!$B$5*(E959&gt;0)+01_Parametres!$B$6*(F959&gt;0))=0,"",(01_Parametres!$B$4*IF(D959&gt;0,D959,0)+01_Parametres!$B$5*IF(E959&gt;0,E959,0)+01_Parametres!$B$6*IF(F959&gt;0,F959,0))/(01_Parametres!$B$4*(D959&gt;0)+01_Parametres!$B$5*(E959&gt;0)+01_Parametres!$B$6*(F959&gt;0))),IF(01_Parametres!$B$8=0,"",(01_Parametres!$B$4*D959+01_Parametres!$B$5*E959+01_Parametres!$B$6*F959)/01_Parametres!$B$8)))</x:f>
      </x:c>
      <x:c r="H959">
        <x:f>IFERROR(VLOOKUP(C959,02_Referentiels!$A$20:$D$99,3,FALSE),"")</x:f>
      </x:c>
      <x:c r="I959">
        <x:f>IFERROR(VLOOKUP(B959,02_Referentiels!$A$5:$C$16,2,FALSE),"")</x:f>
      </x:c>
      <x:c r="J959">
        <x:f>IF(A959="","",IF(OR(D959="",E959="",F959=""),1,IF(OR(D959&lt;0,D959&gt;3,E959&lt;0,E959&gt;3,F959&lt;0,F959&gt;3),1,0)))</x:f>
      </x:c>
      <x:c r="K959">
        <x:f>IF(A959="","",IF(G959="",1,0))</x:f>
      </x:c>
      <x:c r="L959">
        <x:f>IF(A959="","",IF(COUNTIFS($A$5:$A$2004,A959,$C$5:$C$2004,C959)&gt;1,1,0))</x:f>
      </x:c>
    </x:row>
    <x:row r="960">
      <x:c r="A960" s="8" t="n"/>
      <x:c r="B960" s="8" t="n"/>
      <x:c r="C960" s="8" t="n"/>
      <x:c r="D960" s="8" t="n"/>
      <x:c r="E960" s="8" t="n"/>
      <x:c r="F960" s="8" t="n"/>
      <x:c r="G960" s="7">
        <x:f>IF(A960="","",IF(01_Parametres!$B$11="Oui",IF((01_Parametres!$B$4*(D960&gt;0)+01_Parametres!$B$5*(E960&gt;0)+01_Parametres!$B$6*(F960&gt;0))=0,"",(01_Parametres!$B$4*IF(D960&gt;0,D960,0)+01_Parametres!$B$5*IF(E960&gt;0,E960,0)+01_Parametres!$B$6*IF(F960&gt;0,F960,0))/(01_Parametres!$B$4*(D960&gt;0)+01_Parametres!$B$5*(E960&gt;0)+01_Parametres!$B$6*(F960&gt;0))),IF(01_Parametres!$B$8=0,"",(01_Parametres!$B$4*D960+01_Parametres!$B$5*E960+01_Parametres!$B$6*F960)/01_Parametres!$B$8)))</x:f>
      </x:c>
      <x:c r="H960">
        <x:f>IFERROR(VLOOKUP(C960,02_Referentiels!$A$20:$D$99,3,FALSE),"")</x:f>
      </x:c>
      <x:c r="I960">
        <x:f>IFERROR(VLOOKUP(B960,02_Referentiels!$A$5:$C$16,2,FALSE),"")</x:f>
      </x:c>
      <x:c r="J960">
        <x:f>IF(A960="","",IF(OR(D960="",E960="",F960=""),1,IF(OR(D960&lt;0,D960&gt;3,E960&lt;0,E960&gt;3,F960&lt;0,F960&gt;3),1,0)))</x:f>
      </x:c>
      <x:c r="K960">
        <x:f>IF(A960="","",IF(G960="",1,0))</x:f>
      </x:c>
      <x:c r="L960">
        <x:f>IF(A960="","",IF(COUNTIFS($A$5:$A$2004,A960,$C$5:$C$2004,C960)&gt;1,1,0))</x:f>
      </x:c>
    </x:row>
    <x:row r="961">
      <x:c r="A961" s="8" t="n"/>
      <x:c r="B961" s="8" t="n"/>
      <x:c r="C961" s="8" t="n"/>
      <x:c r="D961" s="8" t="n"/>
      <x:c r="E961" s="8" t="n"/>
      <x:c r="F961" s="8" t="n"/>
      <x:c r="G961" s="7">
        <x:f>IF(A961="","",IF(01_Parametres!$B$11="Oui",IF((01_Parametres!$B$4*(D961&gt;0)+01_Parametres!$B$5*(E961&gt;0)+01_Parametres!$B$6*(F961&gt;0))=0,"",(01_Parametres!$B$4*IF(D961&gt;0,D961,0)+01_Parametres!$B$5*IF(E961&gt;0,E961,0)+01_Parametres!$B$6*IF(F961&gt;0,F961,0))/(01_Parametres!$B$4*(D961&gt;0)+01_Parametres!$B$5*(E961&gt;0)+01_Parametres!$B$6*(F961&gt;0))),IF(01_Parametres!$B$8=0,"",(01_Parametres!$B$4*D961+01_Parametres!$B$5*E961+01_Parametres!$B$6*F961)/01_Parametres!$B$8)))</x:f>
      </x:c>
      <x:c r="H961">
        <x:f>IFERROR(VLOOKUP(C961,02_Referentiels!$A$20:$D$99,3,FALSE),"")</x:f>
      </x:c>
      <x:c r="I961">
        <x:f>IFERROR(VLOOKUP(B961,02_Referentiels!$A$5:$C$16,2,FALSE),"")</x:f>
      </x:c>
      <x:c r="J961">
        <x:f>IF(A961="","",IF(OR(D961="",E961="",F961=""),1,IF(OR(D961&lt;0,D961&gt;3,E961&lt;0,E961&gt;3,F961&lt;0,F961&gt;3),1,0)))</x:f>
      </x:c>
      <x:c r="K961">
        <x:f>IF(A961="","",IF(G961="",1,0))</x:f>
      </x:c>
      <x:c r="L961">
        <x:f>IF(A961="","",IF(COUNTIFS($A$5:$A$2004,A961,$C$5:$C$2004,C961)&gt;1,1,0))</x:f>
      </x:c>
    </x:row>
    <x:row r="962">
      <x:c r="A962" s="8" t="n"/>
      <x:c r="B962" s="8" t="n"/>
      <x:c r="C962" s="8" t="n"/>
      <x:c r="D962" s="8" t="n"/>
      <x:c r="E962" s="8" t="n"/>
      <x:c r="F962" s="8" t="n"/>
      <x:c r="G962" s="7">
        <x:f>IF(A962="","",IF(01_Parametres!$B$11="Oui",IF((01_Parametres!$B$4*(D962&gt;0)+01_Parametres!$B$5*(E962&gt;0)+01_Parametres!$B$6*(F962&gt;0))=0,"",(01_Parametres!$B$4*IF(D962&gt;0,D962,0)+01_Parametres!$B$5*IF(E962&gt;0,E962,0)+01_Parametres!$B$6*IF(F962&gt;0,F962,0))/(01_Parametres!$B$4*(D962&gt;0)+01_Parametres!$B$5*(E962&gt;0)+01_Parametres!$B$6*(F962&gt;0))),IF(01_Parametres!$B$8=0,"",(01_Parametres!$B$4*D962+01_Parametres!$B$5*E962+01_Parametres!$B$6*F962)/01_Parametres!$B$8)))</x:f>
      </x:c>
      <x:c r="H962">
        <x:f>IFERROR(VLOOKUP(C962,02_Referentiels!$A$20:$D$99,3,FALSE),"")</x:f>
      </x:c>
      <x:c r="I962">
        <x:f>IFERROR(VLOOKUP(B962,02_Referentiels!$A$5:$C$16,2,FALSE),"")</x:f>
      </x:c>
      <x:c r="J962">
        <x:f>IF(A962="","",IF(OR(D962="",E962="",F962=""),1,IF(OR(D962&lt;0,D962&gt;3,E962&lt;0,E962&gt;3,F962&lt;0,F962&gt;3),1,0)))</x:f>
      </x:c>
      <x:c r="K962">
        <x:f>IF(A962="","",IF(G962="",1,0))</x:f>
      </x:c>
      <x:c r="L962">
        <x:f>IF(A962="","",IF(COUNTIFS($A$5:$A$2004,A962,$C$5:$C$2004,C962)&gt;1,1,0))</x:f>
      </x:c>
    </x:row>
    <x:row r="963">
      <x:c r="A963" s="8" t="n"/>
      <x:c r="B963" s="8" t="n"/>
      <x:c r="C963" s="8" t="n"/>
      <x:c r="D963" s="8" t="n"/>
      <x:c r="E963" s="8" t="n"/>
      <x:c r="F963" s="8" t="n"/>
      <x:c r="G963" s="7">
        <x:f>IF(A963="","",IF(01_Parametres!$B$11="Oui",IF((01_Parametres!$B$4*(D963&gt;0)+01_Parametres!$B$5*(E963&gt;0)+01_Parametres!$B$6*(F963&gt;0))=0,"",(01_Parametres!$B$4*IF(D963&gt;0,D963,0)+01_Parametres!$B$5*IF(E963&gt;0,E963,0)+01_Parametres!$B$6*IF(F963&gt;0,F963,0))/(01_Parametres!$B$4*(D963&gt;0)+01_Parametres!$B$5*(E963&gt;0)+01_Parametres!$B$6*(F963&gt;0))),IF(01_Parametres!$B$8=0,"",(01_Parametres!$B$4*D963+01_Parametres!$B$5*E963+01_Parametres!$B$6*F963)/01_Parametres!$B$8)))</x:f>
      </x:c>
      <x:c r="H963">
        <x:f>IFERROR(VLOOKUP(C963,02_Referentiels!$A$20:$D$99,3,FALSE),"")</x:f>
      </x:c>
      <x:c r="I963">
        <x:f>IFERROR(VLOOKUP(B963,02_Referentiels!$A$5:$C$16,2,FALSE),"")</x:f>
      </x:c>
      <x:c r="J963">
        <x:f>IF(A963="","",IF(OR(D963="",E963="",F963=""),1,IF(OR(D963&lt;0,D963&gt;3,E963&lt;0,E963&gt;3,F963&lt;0,F963&gt;3),1,0)))</x:f>
      </x:c>
      <x:c r="K963">
        <x:f>IF(A963="","",IF(G963="",1,0))</x:f>
      </x:c>
      <x:c r="L963">
        <x:f>IF(A963="","",IF(COUNTIFS($A$5:$A$2004,A963,$C$5:$C$2004,C963)&gt;1,1,0))</x:f>
      </x:c>
    </x:row>
    <x:row r="964">
      <x:c r="A964" s="8" t="n"/>
      <x:c r="B964" s="8" t="n"/>
      <x:c r="C964" s="8" t="n"/>
      <x:c r="D964" s="8" t="n"/>
      <x:c r="E964" s="8" t="n"/>
      <x:c r="F964" s="8" t="n"/>
      <x:c r="G964" s="7">
        <x:f>IF(A964="","",IF(01_Parametres!$B$11="Oui",IF((01_Parametres!$B$4*(D964&gt;0)+01_Parametres!$B$5*(E964&gt;0)+01_Parametres!$B$6*(F964&gt;0))=0,"",(01_Parametres!$B$4*IF(D964&gt;0,D964,0)+01_Parametres!$B$5*IF(E964&gt;0,E964,0)+01_Parametres!$B$6*IF(F964&gt;0,F964,0))/(01_Parametres!$B$4*(D964&gt;0)+01_Parametres!$B$5*(E964&gt;0)+01_Parametres!$B$6*(F964&gt;0))),IF(01_Parametres!$B$8=0,"",(01_Parametres!$B$4*D964+01_Parametres!$B$5*E964+01_Parametres!$B$6*F964)/01_Parametres!$B$8)))</x:f>
      </x:c>
      <x:c r="H964">
        <x:f>IFERROR(VLOOKUP(C964,02_Referentiels!$A$20:$D$99,3,FALSE),"")</x:f>
      </x:c>
      <x:c r="I964">
        <x:f>IFERROR(VLOOKUP(B964,02_Referentiels!$A$5:$C$16,2,FALSE),"")</x:f>
      </x:c>
      <x:c r="J964">
        <x:f>IF(A964="","",IF(OR(D964="",E964="",F964=""),1,IF(OR(D964&lt;0,D964&gt;3,E964&lt;0,E964&gt;3,F964&lt;0,F964&gt;3),1,0)))</x:f>
      </x:c>
      <x:c r="K964">
        <x:f>IF(A964="","",IF(G964="",1,0))</x:f>
      </x:c>
      <x:c r="L964">
        <x:f>IF(A964="","",IF(COUNTIFS($A$5:$A$2004,A964,$C$5:$C$2004,C964)&gt;1,1,0))</x:f>
      </x:c>
    </x:row>
    <x:row r="965">
      <x:c r="A965" s="8" t="n"/>
      <x:c r="B965" s="8" t="n"/>
      <x:c r="C965" s="8" t="n"/>
      <x:c r="D965" s="8" t="n"/>
      <x:c r="E965" s="8" t="n"/>
      <x:c r="F965" s="8" t="n"/>
      <x:c r="G965" s="7">
        <x:f>IF(A965="","",IF(01_Parametres!$B$11="Oui",IF((01_Parametres!$B$4*(D965&gt;0)+01_Parametres!$B$5*(E965&gt;0)+01_Parametres!$B$6*(F965&gt;0))=0,"",(01_Parametres!$B$4*IF(D965&gt;0,D965,0)+01_Parametres!$B$5*IF(E965&gt;0,E965,0)+01_Parametres!$B$6*IF(F965&gt;0,F965,0))/(01_Parametres!$B$4*(D965&gt;0)+01_Parametres!$B$5*(E965&gt;0)+01_Parametres!$B$6*(F965&gt;0))),IF(01_Parametres!$B$8=0,"",(01_Parametres!$B$4*D965+01_Parametres!$B$5*E965+01_Parametres!$B$6*F965)/01_Parametres!$B$8)))</x:f>
      </x:c>
      <x:c r="H965">
        <x:f>IFERROR(VLOOKUP(C965,02_Referentiels!$A$20:$D$99,3,FALSE),"")</x:f>
      </x:c>
      <x:c r="I965">
        <x:f>IFERROR(VLOOKUP(B965,02_Referentiels!$A$5:$C$16,2,FALSE),"")</x:f>
      </x:c>
      <x:c r="J965">
        <x:f>IF(A965="","",IF(OR(D965="",E965="",F965=""),1,IF(OR(D965&lt;0,D965&gt;3,E965&lt;0,E965&gt;3,F965&lt;0,F965&gt;3),1,0)))</x:f>
      </x:c>
      <x:c r="K965">
        <x:f>IF(A965="","",IF(G965="",1,0))</x:f>
      </x:c>
      <x:c r="L965">
        <x:f>IF(A965="","",IF(COUNTIFS($A$5:$A$2004,A965,$C$5:$C$2004,C965)&gt;1,1,0))</x:f>
      </x:c>
    </x:row>
    <x:row r="966">
      <x:c r="A966" s="8" t="n"/>
      <x:c r="B966" s="8" t="n"/>
      <x:c r="C966" s="8" t="n"/>
      <x:c r="D966" s="8" t="n"/>
      <x:c r="E966" s="8" t="n"/>
      <x:c r="F966" s="8" t="n"/>
      <x:c r="G966" s="7">
        <x:f>IF(A966="","",IF(01_Parametres!$B$11="Oui",IF((01_Parametres!$B$4*(D966&gt;0)+01_Parametres!$B$5*(E966&gt;0)+01_Parametres!$B$6*(F966&gt;0))=0,"",(01_Parametres!$B$4*IF(D966&gt;0,D966,0)+01_Parametres!$B$5*IF(E966&gt;0,E966,0)+01_Parametres!$B$6*IF(F966&gt;0,F966,0))/(01_Parametres!$B$4*(D966&gt;0)+01_Parametres!$B$5*(E966&gt;0)+01_Parametres!$B$6*(F966&gt;0))),IF(01_Parametres!$B$8=0,"",(01_Parametres!$B$4*D966+01_Parametres!$B$5*E966+01_Parametres!$B$6*F966)/01_Parametres!$B$8)))</x:f>
      </x:c>
      <x:c r="H966">
        <x:f>IFERROR(VLOOKUP(C966,02_Referentiels!$A$20:$D$99,3,FALSE),"")</x:f>
      </x:c>
      <x:c r="I966">
        <x:f>IFERROR(VLOOKUP(B966,02_Referentiels!$A$5:$C$16,2,FALSE),"")</x:f>
      </x:c>
      <x:c r="J966">
        <x:f>IF(A966="","",IF(OR(D966="",E966="",F966=""),1,IF(OR(D966&lt;0,D966&gt;3,E966&lt;0,E966&gt;3,F966&lt;0,F966&gt;3),1,0)))</x:f>
      </x:c>
      <x:c r="K966">
        <x:f>IF(A966="","",IF(G966="",1,0))</x:f>
      </x:c>
      <x:c r="L966">
        <x:f>IF(A966="","",IF(COUNTIFS($A$5:$A$2004,A966,$C$5:$C$2004,C966)&gt;1,1,0))</x:f>
      </x:c>
    </x:row>
    <x:row r="967">
      <x:c r="A967" s="8" t="n"/>
      <x:c r="B967" s="8" t="n"/>
      <x:c r="C967" s="8" t="n"/>
      <x:c r="D967" s="8" t="n"/>
      <x:c r="E967" s="8" t="n"/>
      <x:c r="F967" s="8" t="n"/>
      <x:c r="G967" s="7">
        <x:f>IF(A967="","",IF(01_Parametres!$B$11="Oui",IF((01_Parametres!$B$4*(D967&gt;0)+01_Parametres!$B$5*(E967&gt;0)+01_Parametres!$B$6*(F967&gt;0))=0,"",(01_Parametres!$B$4*IF(D967&gt;0,D967,0)+01_Parametres!$B$5*IF(E967&gt;0,E967,0)+01_Parametres!$B$6*IF(F967&gt;0,F967,0))/(01_Parametres!$B$4*(D967&gt;0)+01_Parametres!$B$5*(E967&gt;0)+01_Parametres!$B$6*(F967&gt;0))),IF(01_Parametres!$B$8=0,"",(01_Parametres!$B$4*D967+01_Parametres!$B$5*E967+01_Parametres!$B$6*F967)/01_Parametres!$B$8)))</x:f>
      </x:c>
      <x:c r="H967">
        <x:f>IFERROR(VLOOKUP(C967,02_Referentiels!$A$20:$D$99,3,FALSE),"")</x:f>
      </x:c>
      <x:c r="I967">
        <x:f>IFERROR(VLOOKUP(B967,02_Referentiels!$A$5:$C$16,2,FALSE),"")</x:f>
      </x:c>
      <x:c r="J967">
        <x:f>IF(A967="","",IF(OR(D967="",E967="",F967=""),1,IF(OR(D967&lt;0,D967&gt;3,E967&lt;0,E967&gt;3,F967&lt;0,F967&gt;3),1,0)))</x:f>
      </x:c>
      <x:c r="K967">
        <x:f>IF(A967="","",IF(G967="",1,0))</x:f>
      </x:c>
      <x:c r="L967">
        <x:f>IF(A967="","",IF(COUNTIFS($A$5:$A$2004,A967,$C$5:$C$2004,C967)&gt;1,1,0))</x:f>
      </x:c>
    </x:row>
    <x:row r="968">
      <x:c r="A968" s="8" t="n"/>
      <x:c r="B968" s="8" t="n"/>
      <x:c r="C968" s="8" t="n"/>
      <x:c r="D968" s="8" t="n"/>
      <x:c r="E968" s="8" t="n"/>
      <x:c r="F968" s="8" t="n"/>
      <x:c r="G968" s="7">
        <x:f>IF(A968="","",IF(01_Parametres!$B$11="Oui",IF((01_Parametres!$B$4*(D968&gt;0)+01_Parametres!$B$5*(E968&gt;0)+01_Parametres!$B$6*(F968&gt;0))=0,"",(01_Parametres!$B$4*IF(D968&gt;0,D968,0)+01_Parametres!$B$5*IF(E968&gt;0,E968,0)+01_Parametres!$B$6*IF(F968&gt;0,F968,0))/(01_Parametres!$B$4*(D968&gt;0)+01_Parametres!$B$5*(E968&gt;0)+01_Parametres!$B$6*(F968&gt;0))),IF(01_Parametres!$B$8=0,"",(01_Parametres!$B$4*D968+01_Parametres!$B$5*E968+01_Parametres!$B$6*F968)/01_Parametres!$B$8)))</x:f>
      </x:c>
      <x:c r="H968">
        <x:f>IFERROR(VLOOKUP(C968,02_Referentiels!$A$20:$D$99,3,FALSE),"")</x:f>
      </x:c>
      <x:c r="I968">
        <x:f>IFERROR(VLOOKUP(B968,02_Referentiels!$A$5:$C$16,2,FALSE),"")</x:f>
      </x:c>
      <x:c r="J968">
        <x:f>IF(A968="","",IF(OR(D968="",E968="",F968=""),1,IF(OR(D968&lt;0,D968&gt;3,E968&lt;0,E968&gt;3,F968&lt;0,F968&gt;3),1,0)))</x:f>
      </x:c>
      <x:c r="K968">
        <x:f>IF(A968="","",IF(G968="",1,0))</x:f>
      </x:c>
      <x:c r="L968">
        <x:f>IF(A968="","",IF(COUNTIFS($A$5:$A$2004,A968,$C$5:$C$2004,C968)&gt;1,1,0))</x:f>
      </x:c>
    </x:row>
    <x:row r="969">
      <x:c r="A969" s="8" t="n"/>
      <x:c r="B969" s="8" t="n"/>
      <x:c r="C969" s="8" t="n"/>
      <x:c r="D969" s="8" t="n"/>
      <x:c r="E969" s="8" t="n"/>
      <x:c r="F969" s="8" t="n"/>
      <x:c r="G969" s="7">
        <x:f>IF(A969="","",IF(01_Parametres!$B$11="Oui",IF((01_Parametres!$B$4*(D969&gt;0)+01_Parametres!$B$5*(E969&gt;0)+01_Parametres!$B$6*(F969&gt;0))=0,"",(01_Parametres!$B$4*IF(D969&gt;0,D969,0)+01_Parametres!$B$5*IF(E969&gt;0,E969,0)+01_Parametres!$B$6*IF(F969&gt;0,F969,0))/(01_Parametres!$B$4*(D969&gt;0)+01_Parametres!$B$5*(E969&gt;0)+01_Parametres!$B$6*(F969&gt;0))),IF(01_Parametres!$B$8=0,"",(01_Parametres!$B$4*D969+01_Parametres!$B$5*E969+01_Parametres!$B$6*F969)/01_Parametres!$B$8)))</x:f>
      </x:c>
      <x:c r="H969">
        <x:f>IFERROR(VLOOKUP(C969,02_Referentiels!$A$20:$D$99,3,FALSE),"")</x:f>
      </x:c>
      <x:c r="I969">
        <x:f>IFERROR(VLOOKUP(B969,02_Referentiels!$A$5:$C$16,2,FALSE),"")</x:f>
      </x:c>
      <x:c r="J969">
        <x:f>IF(A969="","",IF(OR(D969="",E969="",F969=""),1,IF(OR(D969&lt;0,D969&gt;3,E969&lt;0,E969&gt;3,F969&lt;0,F969&gt;3),1,0)))</x:f>
      </x:c>
      <x:c r="K969">
        <x:f>IF(A969="","",IF(G969="",1,0))</x:f>
      </x:c>
      <x:c r="L969">
        <x:f>IF(A969="","",IF(COUNTIFS($A$5:$A$2004,A969,$C$5:$C$2004,C969)&gt;1,1,0))</x:f>
      </x:c>
    </x:row>
    <x:row r="970">
      <x:c r="A970" s="8" t="n"/>
      <x:c r="B970" s="8" t="n"/>
      <x:c r="C970" s="8" t="n"/>
      <x:c r="D970" s="8" t="n"/>
      <x:c r="E970" s="8" t="n"/>
      <x:c r="F970" s="8" t="n"/>
      <x:c r="G970" s="7">
        <x:f>IF(A970="","",IF(01_Parametres!$B$11="Oui",IF((01_Parametres!$B$4*(D970&gt;0)+01_Parametres!$B$5*(E970&gt;0)+01_Parametres!$B$6*(F970&gt;0))=0,"",(01_Parametres!$B$4*IF(D970&gt;0,D970,0)+01_Parametres!$B$5*IF(E970&gt;0,E970,0)+01_Parametres!$B$6*IF(F970&gt;0,F970,0))/(01_Parametres!$B$4*(D970&gt;0)+01_Parametres!$B$5*(E970&gt;0)+01_Parametres!$B$6*(F970&gt;0))),IF(01_Parametres!$B$8=0,"",(01_Parametres!$B$4*D970+01_Parametres!$B$5*E970+01_Parametres!$B$6*F970)/01_Parametres!$B$8)))</x:f>
      </x:c>
      <x:c r="H970">
        <x:f>IFERROR(VLOOKUP(C970,02_Referentiels!$A$20:$D$99,3,FALSE),"")</x:f>
      </x:c>
      <x:c r="I970">
        <x:f>IFERROR(VLOOKUP(B970,02_Referentiels!$A$5:$C$16,2,FALSE),"")</x:f>
      </x:c>
      <x:c r="J970">
        <x:f>IF(A970="","",IF(OR(D970="",E970="",F970=""),1,IF(OR(D970&lt;0,D970&gt;3,E970&lt;0,E970&gt;3,F970&lt;0,F970&gt;3),1,0)))</x:f>
      </x:c>
      <x:c r="K970">
        <x:f>IF(A970="","",IF(G970="",1,0))</x:f>
      </x:c>
      <x:c r="L970">
        <x:f>IF(A970="","",IF(COUNTIFS($A$5:$A$2004,A970,$C$5:$C$2004,C970)&gt;1,1,0))</x:f>
      </x:c>
    </x:row>
    <x:row r="971">
      <x:c r="A971" s="8" t="n"/>
      <x:c r="B971" s="8" t="n"/>
      <x:c r="C971" s="8" t="n"/>
      <x:c r="D971" s="8" t="n"/>
      <x:c r="E971" s="8" t="n"/>
      <x:c r="F971" s="8" t="n"/>
      <x:c r="G971" s="7">
        <x:f>IF(A971="","",IF(01_Parametres!$B$11="Oui",IF((01_Parametres!$B$4*(D971&gt;0)+01_Parametres!$B$5*(E971&gt;0)+01_Parametres!$B$6*(F971&gt;0))=0,"",(01_Parametres!$B$4*IF(D971&gt;0,D971,0)+01_Parametres!$B$5*IF(E971&gt;0,E971,0)+01_Parametres!$B$6*IF(F971&gt;0,F971,0))/(01_Parametres!$B$4*(D971&gt;0)+01_Parametres!$B$5*(E971&gt;0)+01_Parametres!$B$6*(F971&gt;0))),IF(01_Parametres!$B$8=0,"",(01_Parametres!$B$4*D971+01_Parametres!$B$5*E971+01_Parametres!$B$6*F971)/01_Parametres!$B$8)))</x:f>
      </x:c>
      <x:c r="H971">
        <x:f>IFERROR(VLOOKUP(C971,02_Referentiels!$A$20:$D$99,3,FALSE),"")</x:f>
      </x:c>
      <x:c r="I971">
        <x:f>IFERROR(VLOOKUP(B971,02_Referentiels!$A$5:$C$16,2,FALSE),"")</x:f>
      </x:c>
      <x:c r="J971">
        <x:f>IF(A971="","",IF(OR(D971="",E971="",F971=""),1,IF(OR(D971&lt;0,D971&gt;3,E971&lt;0,E971&gt;3,F971&lt;0,F971&gt;3),1,0)))</x:f>
      </x:c>
      <x:c r="K971">
        <x:f>IF(A971="","",IF(G971="",1,0))</x:f>
      </x:c>
      <x:c r="L971">
        <x:f>IF(A971="","",IF(COUNTIFS($A$5:$A$2004,A971,$C$5:$C$2004,C971)&gt;1,1,0))</x:f>
      </x:c>
    </x:row>
    <x:row r="972">
      <x:c r="A972" s="8" t="n"/>
      <x:c r="B972" s="8" t="n"/>
      <x:c r="C972" s="8" t="n"/>
      <x:c r="D972" s="8" t="n"/>
      <x:c r="E972" s="8" t="n"/>
      <x:c r="F972" s="8" t="n"/>
      <x:c r="G972" s="7">
        <x:f>IF(A972="","",IF(01_Parametres!$B$11="Oui",IF((01_Parametres!$B$4*(D972&gt;0)+01_Parametres!$B$5*(E972&gt;0)+01_Parametres!$B$6*(F972&gt;0))=0,"",(01_Parametres!$B$4*IF(D972&gt;0,D972,0)+01_Parametres!$B$5*IF(E972&gt;0,E972,0)+01_Parametres!$B$6*IF(F972&gt;0,F972,0))/(01_Parametres!$B$4*(D972&gt;0)+01_Parametres!$B$5*(E972&gt;0)+01_Parametres!$B$6*(F972&gt;0))),IF(01_Parametres!$B$8=0,"",(01_Parametres!$B$4*D972+01_Parametres!$B$5*E972+01_Parametres!$B$6*F972)/01_Parametres!$B$8)))</x:f>
      </x:c>
      <x:c r="H972">
        <x:f>IFERROR(VLOOKUP(C972,02_Referentiels!$A$20:$D$99,3,FALSE),"")</x:f>
      </x:c>
      <x:c r="I972">
        <x:f>IFERROR(VLOOKUP(B972,02_Referentiels!$A$5:$C$16,2,FALSE),"")</x:f>
      </x:c>
      <x:c r="J972">
        <x:f>IF(A972="","",IF(OR(D972="",E972="",F972=""),1,IF(OR(D972&lt;0,D972&gt;3,E972&lt;0,E972&gt;3,F972&lt;0,F972&gt;3),1,0)))</x:f>
      </x:c>
      <x:c r="K972">
        <x:f>IF(A972="","",IF(G972="",1,0))</x:f>
      </x:c>
      <x:c r="L972">
        <x:f>IF(A972="","",IF(COUNTIFS($A$5:$A$2004,A972,$C$5:$C$2004,C972)&gt;1,1,0))</x:f>
      </x:c>
    </x:row>
    <x:row r="973">
      <x:c r="A973" s="8" t="n"/>
      <x:c r="B973" s="8" t="n"/>
      <x:c r="C973" s="8" t="n"/>
      <x:c r="D973" s="8" t="n"/>
      <x:c r="E973" s="8" t="n"/>
      <x:c r="F973" s="8" t="n"/>
      <x:c r="G973" s="7">
        <x:f>IF(A973="","",IF(01_Parametres!$B$11="Oui",IF((01_Parametres!$B$4*(D973&gt;0)+01_Parametres!$B$5*(E973&gt;0)+01_Parametres!$B$6*(F973&gt;0))=0,"",(01_Parametres!$B$4*IF(D973&gt;0,D973,0)+01_Parametres!$B$5*IF(E973&gt;0,E973,0)+01_Parametres!$B$6*IF(F973&gt;0,F973,0))/(01_Parametres!$B$4*(D973&gt;0)+01_Parametres!$B$5*(E973&gt;0)+01_Parametres!$B$6*(F973&gt;0))),IF(01_Parametres!$B$8=0,"",(01_Parametres!$B$4*D973+01_Parametres!$B$5*E973+01_Parametres!$B$6*F973)/01_Parametres!$B$8)))</x:f>
      </x:c>
      <x:c r="H973">
        <x:f>IFERROR(VLOOKUP(C973,02_Referentiels!$A$20:$D$99,3,FALSE),"")</x:f>
      </x:c>
      <x:c r="I973">
        <x:f>IFERROR(VLOOKUP(B973,02_Referentiels!$A$5:$C$16,2,FALSE),"")</x:f>
      </x:c>
      <x:c r="J973">
        <x:f>IF(A973="","",IF(OR(D973="",E973="",F973=""),1,IF(OR(D973&lt;0,D973&gt;3,E973&lt;0,E973&gt;3,F973&lt;0,F973&gt;3),1,0)))</x:f>
      </x:c>
      <x:c r="K973">
        <x:f>IF(A973="","",IF(G973="",1,0))</x:f>
      </x:c>
      <x:c r="L973">
        <x:f>IF(A973="","",IF(COUNTIFS($A$5:$A$2004,A973,$C$5:$C$2004,C973)&gt;1,1,0))</x:f>
      </x:c>
    </x:row>
    <x:row r="974">
      <x:c r="A974" s="8" t="n"/>
      <x:c r="B974" s="8" t="n"/>
      <x:c r="C974" s="8" t="n"/>
      <x:c r="D974" s="8" t="n"/>
      <x:c r="E974" s="8" t="n"/>
      <x:c r="F974" s="8" t="n"/>
      <x:c r="G974" s="7">
        <x:f>IF(A974="","",IF(01_Parametres!$B$11="Oui",IF((01_Parametres!$B$4*(D974&gt;0)+01_Parametres!$B$5*(E974&gt;0)+01_Parametres!$B$6*(F974&gt;0))=0,"",(01_Parametres!$B$4*IF(D974&gt;0,D974,0)+01_Parametres!$B$5*IF(E974&gt;0,E974,0)+01_Parametres!$B$6*IF(F974&gt;0,F974,0))/(01_Parametres!$B$4*(D974&gt;0)+01_Parametres!$B$5*(E974&gt;0)+01_Parametres!$B$6*(F974&gt;0))),IF(01_Parametres!$B$8=0,"",(01_Parametres!$B$4*D974+01_Parametres!$B$5*E974+01_Parametres!$B$6*F974)/01_Parametres!$B$8)))</x:f>
      </x:c>
      <x:c r="H974">
        <x:f>IFERROR(VLOOKUP(C974,02_Referentiels!$A$20:$D$99,3,FALSE),"")</x:f>
      </x:c>
      <x:c r="I974">
        <x:f>IFERROR(VLOOKUP(B974,02_Referentiels!$A$5:$C$16,2,FALSE),"")</x:f>
      </x:c>
      <x:c r="J974">
        <x:f>IF(A974="","",IF(OR(D974="",E974="",F974=""),1,IF(OR(D974&lt;0,D974&gt;3,E974&lt;0,E974&gt;3,F974&lt;0,F974&gt;3),1,0)))</x:f>
      </x:c>
      <x:c r="K974">
        <x:f>IF(A974="","",IF(G974="",1,0))</x:f>
      </x:c>
      <x:c r="L974">
        <x:f>IF(A974="","",IF(COUNTIFS($A$5:$A$2004,A974,$C$5:$C$2004,C974)&gt;1,1,0))</x:f>
      </x:c>
    </x:row>
    <x:row r="975">
      <x:c r="A975" s="8" t="n"/>
      <x:c r="B975" s="8" t="n"/>
      <x:c r="C975" s="8" t="n"/>
      <x:c r="D975" s="8" t="n"/>
      <x:c r="E975" s="8" t="n"/>
      <x:c r="F975" s="8" t="n"/>
      <x:c r="G975" s="7">
        <x:f>IF(A975="","",IF(01_Parametres!$B$11="Oui",IF((01_Parametres!$B$4*(D975&gt;0)+01_Parametres!$B$5*(E975&gt;0)+01_Parametres!$B$6*(F975&gt;0))=0,"",(01_Parametres!$B$4*IF(D975&gt;0,D975,0)+01_Parametres!$B$5*IF(E975&gt;0,E975,0)+01_Parametres!$B$6*IF(F975&gt;0,F975,0))/(01_Parametres!$B$4*(D975&gt;0)+01_Parametres!$B$5*(E975&gt;0)+01_Parametres!$B$6*(F975&gt;0))),IF(01_Parametres!$B$8=0,"",(01_Parametres!$B$4*D975+01_Parametres!$B$5*E975+01_Parametres!$B$6*F975)/01_Parametres!$B$8)))</x:f>
      </x:c>
      <x:c r="H975">
        <x:f>IFERROR(VLOOKUP(C975,02_Referentiels!$A$20:$D$99,3,FALSE),"")</x:f>
      </x:c>
      <x:c r="I975">
        <x:f>IFERROR(VLOOKUP(B975,02_Referentiels!$A$5:$C$16,2,FALSE),"")</x:f>
      </x:c>
      <x:c r="J975">
        <x:f>IF(A975="","",IF(OR(D975="",E975="",F975=""),1,IF(OR(D975&lt;0,D975&gt;3,E975&lt;0,E975&gt;3,F975&lt;0,F975&gt;3),1,0)))</x:f>
      </x:c>
      <x:c r="K975">
        <x:f>IF(A975="","",IF(G975="",1,0))</x:f>
      </x:c>
      <x:c r="L975">
        <x:f>IF(A975="","",IF(COUNTIFS($A$5:$A$2004,A975,$C$5:$C$2004,C975)&gt;1,1,0))</x:f>
      </x:c>
    </x:row>
    <x:row r="976">
      <x:c r="A976" s="8" t="n"/>
      <x:c r="B976" s="8" t="n"/>
      <x:c r="C976" s="8" t="n"/>
      <x:c r="D976" s="8" t="n"/>
      <x:c r="E976" s="8" t="n"/>
      <x:c r="F976" s="8" t="n"/>
      <x:c r="G976" s="7">
        <x:f>IF(A976="","",IF(01_Parametres!$B$11="Oui",IF((01_Parametres!$B$4*(D976&gt;0)+01_Parametres!$B$5*(E976&gt;0)+01_Parametres!$B$6*(F976&gt;0))=0,"",(01_Parametres!$B$4*IF(D976&gt;0,D976,0)+01_Parametres!$B$5*IF(E976&gt;0,E976,0)+01_Parametres!$B$6*IF(F976&gt;0,F976,0))/(01_Parametres!$B$4*(D976&gt;0)+01_Parametres!$B$5*(E976&gt;0)+01_Parametres!$B$6*(F976&gt;0))),IF(01_Parametres!$B$8=0,"",(01_Parametres!$B$4*D976+01_Parametres!$B$5*E976+01_Parametres!$B$6*F976)/01_Parametres!$B$8)))</x:f>
      </x:c>
      <x:c r="H976">
        <x:f>IFERROR(VLOOKUP(C976,02_Referentiels!$A$20:$D$99,3,FALSE),"")</x:f>
      </x:c>
      <x:c r="I976">
        <x:f>IFERROR(VLOOKUP(B976,02_Referentiels!$A$5:$C$16,2,FALSE),"")</x:f>
      </x:c>
      <x:c r="J976">
        <x:f>IF(A976="","",IF(OR(D976="",E976="",F976=""),1,IF(OR(D976&lt;0,D976&gt;3,E976&lt;0,E976&gt;3,F976&lt;0,F976&gt;3),1,0)))</x:f>
      </x:c>
      <x:c r="K976">
        <x:f>IF(A976="","",IF(G976="",1,0))</x:f>
      </x:c>
      <x:c r="L976">
        <x:f>IF(A976="","",IF(COUNTIFS($A$5:$A$2004,A976,$C$5:$C$2004,C976)&gt;1,1,0))</x:f>
      </x:c>
    </x:row>
    <x:row r="977">
      <x:c r="A977" s="8" t="n"/>
      <x:c r="B977" s="8" t="n"/>
      <x:c r="C977" s="8" t="n"/>
      <x:c r="D977" s="8" t="n"/>
      <x:c r="E977" s="8" t="n"/>
      <x:c r="F977" s="8" t="n"/>
      <x:c r="G977" s="7">
        <x:f>IF(A977="","",IF(01_Parametres!$B$11="Oui",IF((01_Parametres!$B$4*(D977&gt;0)+01_Parametres!$B$5*(E977&gt;0)+01_Parametres!$B$6*(F977&gt;0))=0,"",(01_Parametres!$B$4*IF(D977&gt;0,D977,0)+01_Parametres!$B$5*IF(E977&gt;0,E977,0)+01_Parametres!$B$6*IF(F977&gt;0,F977,0))/(01_Parametres!$B$4*(D977&gt;0)+01_Parametres!$B$5*(E977&gt;0)+01_Parametres!$B$6*(F977&gt;0))),IF(01_Parametres!$B$8=0,"",(01_Parametres!$B$4*D977+01_Parametres!$B$5*E977+01_Parametres!$B$6*F977)/01_Parametres!$B$8)))</x:f>
      </x:c>
      <x:c r="H977">
        <x:f>IFERROR(VLOOKUP(C977,02_Referentiels!$A$20:$D$99,3,FALSE),"")</x:f>
      </x:c>
      <x:c r="I977">
        <x:f>IFERROR(VLOOKUP(B977,02_Referentiels!$A$5:$C$16,2,FALSE),"")</x:f>
      </x:c>
      <x:c r="J977">
        <x:f>IF(A977="","",IF(OR(D977="",E977="",F977=""),1,IF(OR(D977&lt;0,D977&gt;3,E977&lt;0,E977&gt;3,F977&lt;0,F977&gt;3),1,0)))</x:f>
      </x:c>
      <x:c r="K977">
        <x:f>IF(A977="","",IF(G977="",1,0))</x:f>
      </x:c>
      <x:c r="L977">
        <x:f>IF(A977="","",IF(COUNTIFS($A$5:$A$2004,A977,$C$5:$C$2004,C977)&gt;1,1,0))</x:f>
      </x:c>
    </x:row>
    <x:row r="978">
      <x:c r="A978" s="8" t="n"/>
      <x:c r="B978" s="8" t="n"/>
      <x:c r="C978" s="8" t="n"/>
      <x:c r="D978" s="8" t="n"/>
      <x:c r="E978" s="8" t="n"/>
      <x:c r="F978" s="8" t="n"/>
      <x:c r="G978" s="7">
        <x:f>IF(A978="","",IF(01_Parametres!$B$11="Oui",IF((01_Parametres!$B$4*(D978&gt;0)+01_Parametres!$B$5*(E978&gt;0)+01_Parametres!$B$6*(F978&gt;0))=0,"",(01_Parametres!$B$4*IF(D978&gt;0,D978,0)+01_Parametres!$B$5*IF(E978&gt;0,E978,0)+01_Parametres!$B$6*IF(F978&gt;0,F978,0))/(01_Parametres!$B$4*(D978&gt;0)+01_Parametres!$B$5*(E978&gt;0)+01_Parametres!$B$6*(F978&gt;0))),IF(01_Parametres!$B$8=0,"",(01_Parametres!$B$4*D978+01_Parametres!$B$5*E978+01_Parametres!$B$6*F978)/01_Parametres!$B$8)))</x:f>
      </x:c>
      <x:c r="H978">
        <x:f>IFERROR(VLOOKUP(C978,02_Referentiels!$A$20:$D$99,3,FALSE),"")</x:f>
      </x:c>
      <x:c r="I978">
        <x:f>IFERROR(VLOOKUP(B978,02_Referentiels!$A$5:$C$16,2,FALSE),"")</x:f>
      </x:c>
      <x:c r="J978">
        <x:f>IF(A978="","",IF(OR(D978="",E978="",F978=""),1,IF(OR(D978&lt;0,D978&gt;3,E978&lt;0,E978&gt;3,F978&lt;0,F978&gt;3),1,0)))</x:f>
      </x:c>
      <x:c r="K978">
        <x:f>IF(A978="","",IF(G978="",1,0))</x:f>
      </x:c>
      <x:c r="L978">
        <x:f>IF(A978="","",IF(COUNTIFS($A$5:$A$2004,A978,$C$5:$C$2004,C978)&gt;1,1,0))</x:f>
      </x:c>
    </x:row>
    <x:row r="979">
      <x:c r="A979" s="8" t="n"/>
      <x:c r="B979" s="8" t="n"/>
      <x:c r="C979" s="8" t="n"/>
      <x:c r="D979" s="8" t="n"/>
      <x:c r="E979" s="8" t="n"/>
      <x:c r="F979" s="8" t="n"/>
      <x:c r="G979" s="7">
        <x:f>IF(A979="","",IF(01_Parametres!$B$11="Oui",IF((01_Parametres!$B$4*(D979&gt;0)+01_Parametres!$B$5*(E979&gt;0)+01_Parametres!$B$6*(F979&gt;0))=0,"",(01_Parametres!$B$4*IF(D979&gt;0,D979,0)+01_Parametres!$B$5*IF(E979&gt;0,E979,0)+01_Parametres!$B$6*IF(F979&gt;0,F979,0))/(01_Parametres!$B$4*(D979&gt;0)+01_Parametres!$B$5*(E979&gt;0)+01_Parametres!$B$6*(F979&gt;0))),IF(01_Parametres!$B$8=0,"",(01_Parametres!$B$4*D979+01_Parametres!$B$5*E979+01_Parametres!$B$6*F979)/01_Parametres!$B$8)))</x:f>
      </x:c>
      <x:c r="H979">
        <x:f>IFERROR(VLOOKUP(C979,02_Referentiels!$A$20:$D$99,3,FALSE),"")</x:f>
      </x:c>
      <x:c r="I979">
        <x:f>IFERROR(VLOOKUP(B979,02_Referentiels!$A$5:$C$16,2,FALSE),"")</x:f>
      </x:c>
      <x:c r="J979">
        <x:f>IF(A979="","",IF(OR(D979="",E979="",F979=""),1,IF(OR(D979&lt;0,D979&gt;3,E979&lt;0,E979&gt;3,F979&lt;0,F979&gt;3),1,0)))</x:f>
      </x:c>
      <x:c r="K979">
        <x:f>IF(A979="","",IF(G979="",1,0))</x:f>
      </x:c>
      <x:c r="L979">
        <x:f>IF(A979="","",IF(COUNTIFS($A$5:$A$2004,A979,$C$5:$C$2004,C979)&gt;1,1,0))</x:f>
      </x:c>
    </x:row>
    <x:row r="980">
      <x:c r="A980" s="8" t="n"/>
      <x:c r="B980" s="8" t="n"/>
      <x:c r="C980" s="8" t="n"/>
      <x:c r="D980" s="8" t="n"/>
      <x:c r="E980" s="8" t="n"/>
      <x:c r="F980" s="8" t="n"/>
      <x:c r="G980" s="7">
        <x:f>IF(A980="","",IF(01_Parametres!$B$11="Oui",IF((01_Parametres!$B$4*(D980&gt;0)+01_Parametres!$B$5*(E980&gt;0)+01_Parametres!$B$6*(F980&gt;0))=0,"",(01_Parametres!$B$4*IF(D980&gt;0,D980,0)+01_Parametres!$B$5*IF(E980&gt;0,E980,0)+01_Parametres!$B$6*IF(F980&gt;0,F980,0))/(01_Parametres!$B$4*(D980&gt;0)+01_Parametres!$B$5*(E980&gt;0)+01_Parametres!$B$6*(F980&gt;0))),IF(01_Parametres!$B$8=0,"",(01_Parametres!$B$4*D980+01_Parametres!$B$5*E980+01_Parametres!$B$6*F980)/01_Parametres!$B$8)))</x:f>
      </x:c>
      <x:c r="H980">
        <x:f>IFERROR(VLOOKUP(C980,02_Referentiels!$A$20:$D$99,3,FALSE),"")</x:f>
      </x:c>
      <x:c r="I980">
        <x:f>IFERROR(VLOOKUP(B980,02_Referentiels!$A$5:$C$16,2,FALSE),"")</x:f>
      </x:c>
      <x:c r="J980">
        <x:f>IF(A980="","",IF(OR(D980="",E980="",F980=""),1,IF(OR(D980&lt;0,D980&gt;3,E980&lt;0,E980&gt;3,F980&lt;0,F980&gt;3),1,0)))</x:f>
      </x:c>
      <x:c r="K980">
        <x:f>IF(A980="","",IF(G980="",1,0))</x:f>
      </x:c>
      <x:c r="L980">
        <x:f>IF(A980="","",IF(COUNTIFS($A$5:$A$2004,A980,$C$5:$C$2004,C980)&gt;1,1,0))</x:f>
      </x:c>
    </x:row>
    <x:row r="981">
      <x:c r="A981" s="8" t="n"/>
      <x:c r="B981" s="8" t="n"/>
      <x:c r="C981" s="8" t="n"/>
      <x:c r="D981" s="8" t="n"/>
      <x:c r="E981" s="8" t="n"/>
      <x:c r="F981" s="8" t="n"/>
      <x:c r="G981" s="7">
        <x:f>IF(A981="","",IF(01_Parametres!$B$11="Oui",IF((01_Parametres!$B$4*(D981&gt;0)+01_Parametres!$B$5*(E981&gt;0)+01_Parametres!$B$6*(F981&gt;0))=0,"",(01_Parametres!$B$4*IF(D981&gt;0,D981,0)+01_Parametres!$B$5*IF(E981&gt;0,E981,0)+01_Parametres!$B$6*IF(F981&gt;0,F981,0))/(01_Parametres!$B$4*(D981&gt;0)+01_Parametres!$B$5*(E981&gt;0)+01_Parametres!$B$6*(F981&gt;0))),IF(01_Parametres!$B$8=0,"",(01_Parametres!$B$4*D981+01_Parametres!$B$5*E981+01_Parametres!$B$6*F981)/01_Parametres!$B$8)))</x:f>
      </x:c>
      <x:c r="H981">
        <x:f>IFERROR(VLOOKUP(C981,02_Referentiels!$A$20:$D$99,3,FALSE),"")</x:f>
      </x:c>
      <x:c r="I981">
        <x:f>IFERROR(VLOOKUP(B981,02_Referentiels!$A$5:$C$16,2,FALSE),"")</x:f>
      </x:c>
      <x:c r="J981">
        <x:f>IF(A981="","",IF(OR(D981="",E981="",F981=""),1,IF(OR(D981&lt;0,D981&gt;3,E981&lt;0,E981&gt;3,F981&lt;0,F981&gt;3),1,0)))</x:f>
      </x:c>
      <x:c r="K981">
        <x:f>IF(A981="","",IF(G981="",1,0))</x:f>
      </x:c>
      <x:c r="L981">
        <x:f>IF(A981="","",IF(COUNTIFS($A$5:$A$2004,A981,$C$5:$C$2004,C981)&gt;1,1,0))</x:f>
      </x:c>
    </x:row>
    <x:row r="982">
      <x:c r="A982" s="8" t="n"/>
      <x:c r="B982" s="8" t="n"/>
      <x:c r="C982" s="8" t="n"/>
      <x:c r="D982" s="8" t="n"/>
      <x:c r="E982" s="8" t="n"/>
      <x:c r="F982" s="8" t="n"/>
      <x:c r="G982" s="7">
        <x:f>IF(A982="","",IF(01_Parametres!$B$11="Oui",IF((01_Parametres!$B$4*(D982&gt;0)+01_Parametres!$B$5*(E982&gt;0)+01_Parametres!$B$6*(F982&gt;0))=0,"",(01_Parametres!$B$4*IF(D982&gt;0,D982,0)+01_Parametres!$B$5*IF(E982&gt;0,E982,0)+01_Parametres!$B$6*IF(F982&gt;0,F982,0))/(01_Parametres!$B$4*(D982&gt;0)+01_Parametres!$B$5*(E982&gt;0)+01_Parametres!$B$6*(F982&gt;0))),IF(01_Parametres!$B$8=0,"",(01_Parametres!$B$4*D982+01_Parametres!$B$5*E982+01_Parametres!$B$6*F982)/01_Parametres!$B$8)))</x:f>
      </x:c>
      <x:c r="H982">
        <x:f>IFERROR(VLOOKUP(C982,02_Referentiels!$A$20:$D$99,3,FALSE),"")</x:f>
      </x:c>
      <x:c r="I982">
        <x:f>IFERROR(VLOOKUP(B982,02_Referentiels!$A$5:$C$16,2,FALSE),"")</x:f>
      </x:c>
      <x:c r="J982">
        <x:f>IF(A982="","",IF(OR(D982="",E982="",F982=""),1,IF(OR(D982&lt;0,D982&gt;3,E982&lt;0,E982&gt;3,F982&lt;0,F982&gt;3),1,0)))</x:f>
      </x:c>
      <x:c r="K982">
        <x:f>IF(A982="","",IF(G982="",1,0))</x:f>
      </x:c>
      <x:c r="L982">
        <x:f>IF(A982="","",IF(COUNTIFS($A$5:$A$2004,A982,$C$5:$C$2004,C982)&gt;1,1,0))</x:f>
      </x:c>
    </x:row>
    <x:row r="983">
      <x:c r="A983" s="8" t="n"/>
      <x:c r="B983" s="8" t="n"/>
      <x:c r="C983" s="8" t="n"/>
      <x:c r="D983" s="8" t="n"/>
      <x:c r="E983" s="8" t="n"/>
      <x:c r="F983" s="8" t="n"/>
      <x:c r="G983" s="7">
        <x:f>IF(A983="","",IF(01_Parametres!$B$11="Oui",IF((01_Parametres!$B$4*(D983&gt;0)+01_Parametres!$B$5*(E983&gt;0)+01_Parametres!$B$6*(F983&gt;0))=0,"",(01_Parametres!$B$4*IF(D983&gt;0,D983,0)+01_Parametres!$B$5*IF(E983&gt;0,E983,0)+01_Parametres!$B$6*IF(F983&gt;0,F983,0))/(01_Parametres!$B$4*(D983&gt;0)+01_Parametres!$B$5*(E983&gt;0)+01_Parametres!$B$6*(F983&gt;0))),IF(01_Parametres!$B$8=0,"",(01_Parametres!$B$4*D983+01_Parametres!$B$5*E983+01_Parametres!$B$6*F983)/01_Parametres!$B$8)))</x:f>
      </x:c>
      <x:c r="H983">
        <x:f>IFERROR(VLOOKUP(C983,02_Referentiels!$A$20:$D$99,3,FALSE),"")</x:f>
      </x:c>
      <x:c r="I983">
        <x:f>IFERROR(VLOOKUP(B983,02_Referentiels!$A$5:$C$16,2,FALSE),"")</x:f>
      </x:c>
      <x:c r="J983">
        <x:f>IF(A983="","",IF(OR(D983="",E983="",F983=""),1,IF(OR(D983&lt;0,D983&gt;3,E983&lt;0,E983&gt;3,F983&lt;0,F983&gt;3),1,0)))</x:f>
      </x:c>
      <x:c r="K983">
        <x:f>IF(A983="","",IF(G983="",1,0))</x:f>
      </x:c>
      <x:c r="L983">
        <x:f>IF(A983="","",IF(COUNTIFS($A$5:$A$2004,A983,$C$5:$C$2004,C983)&gt;1,1,0))</x:f>
      </x:c>
    </x:row>
    <x:row r="984">
      <x:c r="A984" s="8" t="n"/>
      <x:c r="B984" s="8" t="n"/>
      <x:c r="C984" s="8" t="n"/>
      <x:c r="D984" s="8" t="n"/>
      <x:c r="E984" s="8" t="n"/>
      <x:c r="F984" s="8" t="n"/>
      <x:c r="G984" s="7">
        <x:f>IF(A984="","",IF(01_Parametres!$B$11="Oui",IF((01_Parametres!$B$4*(D984&gt;0)+01_Parametres!$B$5*(E984&gt;0)+01_Parametres!$B$6*(F984&gt;0))=0,"",(01_Parametres!$B$4*IF(D984&gt;0,D984,0)+01_Parametres!$B$5*IF(E984&gt;0,E984,0)+01_Parametres!$B$6*IF(F984&gt;0,F984,0))/(01_Parametres!$B$4*(D984&gt;0)+01_Parametres!$B$5*(E984&gt;0)+01_Parametres!$B$6*(F984&gt;0))),IF(01_Parametres!$B$8=0,"",(01_Parametres!$B$4*D984+01_Parametres!$B$5*E984+01_Parametres!$B$6*F984)/01_Parametres!$B$8)))</x:f>
      </x:c>
      <x:c r="H984">
        <x:f>IFERROR(VLOOKUP(C984,02_Referentiels!$A$20:$D$99,3,FALSE),"")</x:f>
      </x:c>
      <x:c r="I984">
        <x:f>IFERROR(VLOOKUP(B984,02_Referentiels!$A$5:$C$16,2,FALSE),"")</x:f>
      </x:c>
      <x:c r="J984">
        <x:f>IF(A984="","",IF(OR(D984="",E984="",F984=""),1,IF(OR(D984&lt;0,D984&gt;3,E984&lt;0,E984&gt;3,F984&lt;0,F984&gt;3),1,0)))</x:f>
      </x:c>
      <x:c r="K984">
        <x:f>IF(A984="","",IF(G984="",1,0))</x:f>
      </x:c>
      <x:c r="L984">
        <x:f>IF(A984="","",IF(COUNTIFS($A$5:$A$2004,A984,$C$5:$C$2004,C984)&gt;1,1,0))</x:f>
      </x:c>
    </x:row>
    <x:row r="985">
      <x:c r="A985" s="8" t="n"/>
      <x:c r="B985" s="8" t="n"/>
      <x:c r="C985" s="8" t="n"/>
      <x:c r="D985" s="8" t="n"/>
      <x:c r="E985" s="8" t="n"/>
      <x:c r="F985" s="8" t="n"/>
      <x:c r="G985" s="7">
        <x:f>IF(A985="","",IF(01_Parametres!$B$11="Oui",IF((01_Parametres!$B$4*(D985&gt;0)+01_Parametres!$B$5*(E985&gt;0)+01_Parametres!$B$6*(F985&gt;0))=0,"",(01_Parametres!$B$4*IF(D985&gt;0,D985,0)+01_Parametres!$B$5*IF(E985&gt;0,E985,0)+01_Parametres!$B$6*IF(F985&gt;0,F985,0))/(01_Parametres!$B$4*(D985&gt;0)+01_Parametres!$B$5*(E985&gt;0)+01_Parametres!$B$6*(F985&gt;0))),IF(01_Parametres!$B$8=0,"",(01_Parametres!$B$4*D985+01_Parametres!$B$5*E985+01_Parametres!$B$6*F985)/01_Parametres!$B$8)))</x:f>
      </x:c>
      <x:c r="H985">
        <x:f>IFERROR(VLOOKUP(C985,02_Referentiels!$A$20:$D$99,3,FALSE),"")</x:f>
      </x:c>
      <x:c r="I985">
        <x:f>IFERROR(VLOOKUP(B985,02_Referentiels!$A$5:$C$16,2,FALSE),"")</x:f>
      </x:c>
      <x:c r="J985">
        <x:f>IF(A985="","",IF(OR(D985="",E985="",F985=""),1,IF(OR(D985&lt;0,D985&gt;3,E985&lt;0,E985&gt;3,F985&lt;0,F985&gt;3),1,0)))</x:f>
      </x:c>
      <x:c r="K985">
        <x:f>IF(A985="","",IF(G985="",1,0))</x:f>
      </x:c>
      <x:c r="L985">
        <x:f>IF(A985="","",IF(COUNTIFS($A$5:$A$2004,A985,$C$5:$C$2004,C985)&gt;1,1,0))</x:f>
      </x:c>
    </x:row>
    <x:row r="986">
      <x:c r="A986" s="8" t="n"/>
      <x:c r="B986" s="8" t="n"/>
      <x:c r="C986" s="8" t="n"/>
      <x:c r="D986" s="8" t="n"/>
      <x:c r="E986" s="8" t="n"/>
      <x:c r="F986" s="8" t="n"/>
      <x:c r="G986" s="7">
        <x:f>IF(A986="","",IF(01_Parametres!$B$11="Oui",IF((01_Parametres!$B$4*(D986&gt;0)+01_Parametres!$B$5*(E986&gt;0)+01_Parametres!$B$6*(F986&gt;0))=0,"",(01_Parametres!$B$4*IF(D986&gt;0,D986,0)+01_Parametres!$B$5*IF(E986&gt;0,E986,0)+01_Parametres!$B$6*IF(F986&gt;0,F986,0))/(01_Parametres!$B$4*(D986&gt;0)+01_Parametres!$B$5*(E986&gt;0)+01_Parametres!$B$6*(F986&gt;0))),IF(01_Parametres!$B$8=0,"",(01_Parametres!$B$4*D986+01_Parametres!$B$5*E986+01_Parametres!$B$6*F986)/01_Parametres!$B$8)))</x:f>
      </x:c>
      <x:c r="H986">
        <x:f>IFERROR(VLOOKUP(C986,02_Referentiels!$A$20:$D$99,3,FALSE),"")</x:f>
      </x:c>
      <x:c r="I986">
        <x:f>IFERROR(VLOOKUP(B986,02_Referentiels!$A$5:$C$16,2,FALSE),"")</x:f>
      </x:c>
      <x:c r="J986">
        <x:f>IF(A986="","",IF(OR(D986="",E986="",F986=""),1,IF(OR(D986&lt;0,D986&gt;3,E986&lt;0,E986&gt;3,F986&lt;0,F986&gt;3),1,0)))</x:f>
      </x:c>
      <x:c r="K986">
        <x:f>IF(A986="","",IF(G986="",1,0))</x:f>
      </x:c>
      <x:c r="L986">
        <x:f>IF(A986="","",IF(COUNTIFS($A$5:$A$2004,A986,$C$5:$C$2004,C986)&gt;1,1,0))</x:f>
      </x:c>
    </x:row>
    <x:row r="987">
      <x:c r="A987" s="8" t="n"/>
      <x:c r="B987" s="8" t="n"/>
      <x:c r="C987" s="8" t="n"/>
      <x:c r="D987" s="8" t="n"/>
      <x:c r="E987" s="8" t="n"/>
      <x:c r="F987" s="8" t="n"/>
      <x:c r="G987" s="7">
        <x:f>IF(A987="","",IF(01_Parametres!$B$11="Oui",IF((01_Parametres!$B$4*(D987&gt;0)+01_Parametres!$B$5*(E987&gt;0)+01_Parametres!$B$6*(F987&gt;0))=0,"",(01_Parametres!$B$4*IF(D987&gt;0,D987,0)+01_Parametres!$B$5*IF(E987&gt;0,E987,0)+01_Parametres!$B$6*IF(F987&gt;0,F987,0))/(01_Parametres!$B$4*(D987&gt;0)+01_Parametres!$B$5*(E987&gt;0)+01_Parametres!$B$6*(F987&gt;0))),IF(01_Parametres!$B$8=0,"",(01_Parametres!$B$4*D987+01_Parametres!$B$5*E987+01_Parametres!$B$6*F987)/01_Parametres!$B$8)))</x:f>
      </x:c>
      <x:c r="H987">
        <x:f>IFERROR(VLOOKUP(C987,02_Referentiels!$A$20:$D$99,3,FALSE),"")</x:f>
      </x:c>
      <x:c r="I987">
        <x:f>IFERROR(VLOOKUP(B987,02_Referentiels!$A$5:$C$16,2,FALSE),"")</x:f>
      </x:c>
      <x:c r="J987">
        <x:f>IF(A987="","",IF(OR(D987="",E987="",F987=""),1,IF(OR(D987&lt;0,D987&gt;3,E987&lt;0,E987&gt;3,F987&lt;0,F987&gt;3),1,0)))</x:f>
      </x:c>
      <x:c r="K987">
        <x:f>IF(A987="","",IF(G987="",1,0))</x:f>
      </x:c>
      <x:c r="L987">
        <x:f>IF(A987="","",IF(COUNTIFS($A$5:$A$2004,A987,$C$5:$C$2004,C987)&gt;1,1,0))</x:f>
      </x:c>
    </x:row>
    <x:row r="988">
      <x:c r="A988" s="8" t="n"/>
      <x:c r="B988" s="8" t="n"/>
      <x:c r="C988" s="8" t="n"/>
      <x:c r="D988" s="8" t="n"/>
      <x:c r="E988" s="8" t="n"/>
      <x:c r="F988" s="8" t="n"/>
      <x:c r="G988" s="7">
        <x:f>IF(A988="","",IF(01_Parametres!$B$11="Oui",IF((01_Parametres!$B$4*(D988&gt;0)+01_Parametres!$B$5*(E988&gt;0)+01_Parametres!$B$6*(F988&gt;0))=0,"",(01_Parametres!$B$4*IF(D988&gt;0,D988,0)+01_Parametres!$B$5*IF(E988&gt;0,E988,0)+01_Parametres!$B$6*IF(F988&gt;0,F988,0))/(01_Parametres!$B$4*(D988&gt;0)+01_Parametres!$B$5*(E988&gt;0)+01_Parametres!$B$6*(F988&gt;0))),IF(01_Parametres!$B$8=0,"",(01_Parametres!$B$4*D988+01_Parametres!$B$5*E988+01_Parametres!$B$6*F988)/01_Parametres!$B$8)))</x:f>
      </x:c>
      <x:c r="H988">
        <x:f>IFERROR(VLOOKUP(C988,02_Referentiels!$A$20:$D$99,3,FALSE),"")</x:f>
      </x:c>
      <x:c r="I988">
        <x:f>IFERROR(VLOOKUP(B988,02_Referentiels!$A$5:$C$16,2,FALSE),"")</x:f>
      </x:c>
      <x:c r="J988">
        <x:f>IF(A988="","",IF(OR(D988="",E988="",F988=""),1,IF(OR(D988&lt;0,D988&gt;3,E988&lt;0,E988&gt;3,F988&lt;0,F988&gt;3),1,0)))</x:f>
      </x:c>
      <x:c r="K988">
        <x:f>IF(A988="","",IF(G988="",1,0))</x:f>
      </x:c>
      <x:c r="L988">
        <x:f>IF(A988="","",IF(COUNTIFS($A$5:$A$2004,A988,$C$5:$C$2004,C988)&gt;1,1,0))</x:f>
      </x:c>
    </x:row>
    <x:row r="989">
      <x:c r="A989" s="8" t="n"/>
      <x:c r="B989" s="8" t="n"/>
      <x:c r="C989" s="8" t="n"/>
      <x:c r="D989" s="8" t="n"/>
      <x:c r="E989" s="8" t="n"/>
      <x:c r="F989" s="8" t="n"/>
      <x:c r="G989" s="7">
        <x:f>IF(A989="","",IF(01_Parametres!$B$11="Oui",IF((01_Parametres!$B$4*(D989&gt;0)+01_Parametres!$B$5*(E989&gt;0)+01_Parametres!$B$6*(F989&gt;0))=0,"",(01_Parametres!$B$4*IF(D989&gt;0,D989,0)+01_Parametres!$B$5*IF(E989&gt;0,E989,0)+01_Parametres!$B$6*IF(F989&gt;0,F989,0))/(01_Parametres!$B$4*(D989&gt;0)+01_Parametres!$B$5*(E989&gt;0)+01_Parametres!$B$6*(F989&gt;0))),IF(01_Parametres!$B$8=0,"",(01_Parametres!$B$4*D989+01_Parametres!$B$5*E989+01_Parametres!$B$6*F989)/01_Parametres!$B$8)))</x:f>
      </x:c>
      <x:c r="H989">
        <x:f>IFERROR(VLOOKUP(C989,02_Referentiels!$A$20:$D$99,3,FALSE),"")</x:f>
      </x:c>
      <x:c r="I989">
        <x:f>IFERROR(VLOOKUP(B989,02_Referentiels!$A$5:$C$16,2,FALSE),"")</x:f>
      </x:c>
      <x:c r="J989">
        <x:f>IF(A989="","",IF(OR(D989="",E989="",F989=""),1,IF(OR(D989&lt;0,D989&gt;3,E989&lt;0,E989&gt;3,F989&lt;0,F989&gt;3),1,0)))</x:f>
      </x:c>
      <x:c r="K989">
        <x:f>IF(A989="","",IF(G989="",1,0))</x:f>
      </x:c>
      <x:c r="L989">
        <x:f>IF(A989="","",IF(COUNTIFS($A$5:$A$2004,A989,$C$5:$C$2004,C989)&gt;1,1,0))</x:f>
      </x:c>
    </x:row>
    <x:row r="990">
      <x:c r="A990" s="8" t="n"/>
      <x:c r="B990" s="8" t="n"/>
      <x:c r="C990" s="8" t="n"/>
      <x:c r="D990" s="8" t="n"/>
      <x:c r="E990" s="8" t="n"/>
      <x:c r="F990" s="8" t="n"/>
      <x:c r="G990" s="7">
        <x:f>IF(A990="","",IF(01_Parametres!$B$11="Oui",IF((01_Parametres!$B$4*(D990&gt;0)+01_Parametres!$B$5*(E990&gt;0)+01_Parametres!$B$6*(F990&gt;0))=0,"",(01_Parametres!$B$4*IF(D990&gt;0,D990,0)+01_Parametres!$B$5*IF(E990&gt;0,E990,0)+01_Parametres!$B$6*IF(F990&gt;0,F990,0))/(01_Parametres!$B$4*(D990&gt;0)+01_Parametres!$B$5*(E990&gt;0)+01_Parametres!$B$6*(F990&gt;0))),IF(01_Parametres!$B$8=0,"",(01_Parametres!$B$4*D990+01_Parametres!$B$5*E990+01_Parametres!$B$6*F990)/01_Parametres!$B$8)))</x:f>
      </x:c>
      <x:c r="H990">
        <x:f>IFERROR(VLOOKUP(C990,02_Referentiels!$A$20:$D$99,3,FALSE),"")</x:f>
      </x:c>
      <x:c r="I990">
        <x:f>IFERROR(VLOOKUP(B990,02_Referentiels!$A$5:$C$16,2,FALSE),"")</x:f>
      </x:c>
      <x:c r="J990">
        <x:f>IF(A990="","",IF(OR(D990="",E990="",F990=""),1,IF(OR(D990&lt;0,D990&gt;3,E990&lt;0,E990&gt;3,F990&lt;0,F990&gt;3),1,0)))</x:f>
      </x:c>
      <x:c r="K990">
        <x:f>IF(A990="","",IF(G990="",1,0))</x:f>
      </x:c>
      <x:c r="L990">
        <x:f>IF(A990="","",IF(COUNTIFS($A$5:$A$2004,A990,$C$5:$C$2004,C990)&gt;1,1,0))</x:f>
      </x:c>
    </x:row>
    <x:row r="991">
      <x:c r="A991" s="8" t="n"/>
      <x:c r="B991" s="8" t="n"/>
      <x:c r="C991" s="8" t="n"/>
      <x:c r="D991" s="8" t="n"/>
      <x:c r="E991" s="8" t="n"/>
      <x:c r="F991" s="8" t="n"/>
      <x:c r="G991" s="7">
        <x:f>IF(A991="","",IF(01_Parametres!$B$11="Oui",IF((01_Parametres!$B$4*(D991&gt;0)+01_Parametres!$B$5*(E991&gt;0)+01_Parametres!$B$6*(F991&gt;0))=0,"",(01_Parametres!$B$4*IF(D991&gt;0,D991,0)+01_Parametres!$B$5*IF(E991&gt;0,E991,0)+01_Parametres!$B$6*IF(F991&gt;0,F991,0))/(01_Parametres!$B$4*(D991&gt;0)+01_Parametres!$B$5*(E991&gt;0)+01_Parametres!$B$6*(F991&gt;0))),IF(01_Parametres!$B$8=0,"",(01_Parametres!$B$4*D991+01_Parametres!$B$5*E991+01_Parametres!$B$6*F991)/01_Parametres!$B$8)))</x:f>
      </x:c>
      <x:c r="H991">
        <x:f>IFERROR(VLOOKUP(C991,02_Referentiels!$A$20:$D$99,3,FALSE),"")</x:f>
      </x:c>
      <x:c r="I991">
        <x:f>IFERROR(VLOOKUP(B991,02_Referentiels!$A$5:$C$16,2,FALSE),"")</x:f>
      </x:c>
      <x:c r="J991">
        <x:f>IF(A991="","",IF(OR(D991="",E991="",F991=""),1,IF(OR(D991&lt;0,D991&gt;3,E991&lt;0,E991&gt;3,F991&lt;0,F991&gt;3),1,0)))</x:f>
      </x:c>
      <x:c r="K991">
        <x:f>IF(A991="","",IF(G991="",1,0))</x:f>
      </x:c>
      <x:c r="L991">
        <x:f>IF(A991="","",IF(COUNTIFS($A$5:$A$2004,A991,$C$5:$C$2004,C991)&gt;1,1,0))</x:f>
      </x:c>
    </x:row>
    <x:row r="992">
      <x:c r="A992" s="8" t="n"/>
      <x:c r="B992" s="8" t="n"/>
      <x:c r="C992" s="8" t="n"/>
      <x:c r="D992" s="8" t="n"/>
      <x:c r="E992" s="8" t="n"/>
      <x:c r="F992" s="8" t="n"/>
      <x:c r="G992" s="7">
        <x:f>IF(A992="","",IF(01_Parametres!$B$11="Oui",IF((01_Parametres!$B$4*(D992&gt;0)+01_Parametres!$B$5*(E992&gt;0)+01_Parametres!$B$6*(F992&gt;0))=0,"",(01_Parametres!$B$4*IF(D992&gt;0,D992,0)+01_Parametres!$B$5*IF(E992&gt;0,E992,0)+01_Parametres!$B$6*IF(F992&gt;0,F992,0))/(01_Parametres!$B$4*(D992&gt;0)+01_Parametres!$B$5*(E992&gt;0)+01_Parametres!$B$6*(F992&gt;0))),IF(01_Parametres!$B$8=0,"",(01_Parametres!$B$4*D992+01_Parametres!$B$5*E992+01_Parametres!$B$6*F992)/01_Parametres!$B$8)))</x:f>
      </x:c>
      <x:c r="H992">
        <x:f>IFERROR(VLOOKUP(C992,02_Referentiels!$A$20:$D$99,3,FALSE),"")</x:f>
      </x:c>
      <x:c r="I992">
        <x:f>IFERROR(VLOOKUP(B992,02_Referentiels!$A$5:$C$16,2,FALSE),"")</x:f>
      </x:c>
      <x:c r="J992">
        <x:f>IF(A992="","",IF(OR(D992="",E992="",F992=""),1,IF(OR(D992&lt;0,D992&gt;3,E992&lt;0,E992&gt;3,F992&lt;0,F992&gt;3),1,0)))</x:f>
      </x:c>
      <x:c r="K992">
        <x:f>IF(A992="","",IF(G992="",1,0))</x:f>
      </x:c>
      <x:c r="L992">
        <x:f>IF(A992="","",IF(COUNTIFS($A$5:$A$2004,A992,$C$5:$C$2004,C992)&gt;1,1,0))</x:f>
      </x:c>
    </x:row>
    <x:row r="993">
      <x:c r="A993" s="8" t="n"/>
      <x:c r="B993" s="8" t="n"/>
      <x:c r="C993" s="8" t="n"/>
      <x:c r="D993" s="8" t="n"/>
      <x:c r="E993" s="8" t="n"/>
      <x:c r="F993" s="8" t="n"/>
      <x:c r="G993" s="7">
        <x:f>IF(A993="","",IF(01_Parametres!$B$11="Oui",IF((01_Parametres!$B$4*(D993&gt;0)+01_Parametres!$B$5*(E993&gt;0)+01_Parametres!$B$6*(F993&gt;0))=0,"",(01_Parametres!$B$4*IF(D993&gt;0,D993,0)+01_Parametres!$B$5*IF(E993&gt;0,E993,0)+01_Parametres!$B$6*IF(F993&gt;0,F993,0))/(01_Parametres!$B$4*(D993&gt;0)+01_Parametres!$B$5*(E993&gt;0)+01_Parametres!$B$6*(F993&gt;0))),IF(01_Parametres!$B$8=0,"",(01_Parametres!$B$4*D993+01_Parametres!$B$5*E993+01_Parametres!$B$6*F993)/01_Parametres!$B$8)))</x:f>
      </x:c>
      <x:c r="H993">
        <x:f>IFERROR(VLOOKUP(C993,02_Referentiels!$A$20:$D$99,3,FALSE),"")</x:f>
      </x:c>
      <x:c r="I993">
        <x:f>IFERROR(VLOOKUP(B993,02_Referentiels!$A$5:$C$16,2,FALSE),"")</x:f>
      </x:c>
      <x:c r="J993">
        <x:f>IF(A993="","",IF(OR(D993="",E993="",F993=""),1,IF(OR(D993&lt;0,D993&gt;3,E993&lt;0,E993&gt;3,F993&lt;0,F993&gt;3),1,0)))</x:f>
      </x:c>
      <x:c r="K993">
        <x:f>IF(A993="","",IF(G993="",1,0))</x:f>
      </x:c>
      <x:c r="L993">
        <x:f>IF(A993="","",IF(COUNTIFS($A$5:$A$2004,A993,$C$5:$C$2004,C993)&gt;1,1,0))</x:f>
      </x:c>
    </x:row>
    <x:row r="994">
      <x:c r="A994" s="8" t="n"/>
      <x:c r="B994" s="8" t="n"/>
      <x:c r="C994" s="8" t="n"/>
      <x:c r="D994" s="8" t="n"/>
      <x:c r="E994" s="8" t="n"/>
      <x:c r="F994" s="8" t="n"/>
      <x:c r="G994" s="7">
        <x:f>IF(A994="","",IF(01_Parametres!$B$11="Oui",IF((01_Parametres!$B$4*(D994&gt;0)+01_Parametres!$B$5*(E994&gt;0)+01_Parametres!$B$6*(F994&gt;0))=0,"",(01_Parametres!$B$4*IF(D994&gt;0,D994,0)+01_Parametres!$B$5*IF(E994&gt;0,E994,0)+01_Parametres!$B$6*IF(F994&gt;0,F994,0))/(01_Parametres!$B$4*(D994&gt;0)+01_Parametres!$B$5*(E994&gt;0)+01_Parametres!$B$6*(F994&gt;0))),IF(01_Parametres!$B$8=0,"",(01_Parametres!$B$4*D994+01_Parametres!$B$5*E994+01_Parametres!$B$6*F994)/01_Parametres!$B$8)))</x:f>
      </x:c>
      <x:c r="H994">
        <x:f>IFERROR(VLOOKUP(C994,02_Referentiels!$A$20:$D$99,3,FALSE),"")</x:f>
      </x:c>
      <x:c r="I994">
        <x:f>IFERROR(VLOOKUP(B994,02_Referentiels!$A$5:$C$16,2,FALSE),"")</x:f>
      </x:c>
      <x:c r="J994">
        <x:f>IF(A994="","",IF(OR(D994="",E994="",F994=""),1,IF(OR(D994&lt;0,D994&gt;3,E994&lt;0,E994&gt;3,F994&lt;0,F994&gt;3),1,0)))</x:f>
      </x:c>
      <x:c r="K994">
        <x:f>IF(A994="","",IF(G994="",1,0))</x:f>
      </x:c>
      <x:c r="L994">
        <x:f>IF(A994="","",IF(COUNTIFS($A$5:$A$2004,A994,$C$5:$C$2004,C994)&gt;1,1,0))</x:f>
      </x:c>
    </x:row>
    <x:row r="995">
      <x:c r="A995" s="8" t="n"/>
      <x:c r="B995" s="8" t="n"/>
      <x:c r="C995" s="8" t="n"/>
      <x:c r="D995" s="8" t="n"/>
      <x:c r="E995" s="8" t="n"/>
      <x:c r="F995" s="8" t="n"/>
      <x:c r="G995" s="7">
        <x:f>IF(A995="","",IF(01_Parametres!$B$11="Oui",IF((01_Parametres!$B$4*(D995&gt;0)+01_Parametres!$B$5*(E995&gt;0)+01_Parametres!$B$6*(F995&gt;0))=0,"",(01_Parametres!$B$4*IF(D995&gt;0,D995,0)+01_Parametres!$B$5*IF(E995&gt;0,E995,0)+01_Parametres!$B$6*IF(F995&gt;0,F995,0))/(01_Parametres!$B$4*(D995&gt;0)+01_Parametres!$B$5*(E995&gt;0)+01_Parametres!$B$6*(F995&gt;0))),IF(01_Parametres!$B$8=0,"",(01_Parametres!$B$4*D995+01_Parametres!$B$5*E995+01_Parametres!$B$6*F995)/01_Parametres!$B$8)))</x:f>
      </x:c>
      <x:c r="H995">
        <x:f>IFERROR(VLOOKUP(C995,02_Referentiels!$A$20:$D$99,3,FALSE),"")</x:f>
      </x:c>
      <x:c r="I995">
        <x:f>IFERROR(VLOOKUP(B995,02_Referentiels!$A$5:$C$16,2,FALSE),"")</x:f>
      </x:c>
      <x:c r="J995">
        <x:f>IF(A995="","",IF(OR(D995="",E995="",F995=""),1,IF(OR(D995&lt;0,D995&gt;3,E995&lt;0,E995&gt;3,F995&lt;0,F995&gt;3),1,0)))</x:f>
      </x:c>
      <x:c r="K995">
        <x:f>IF(A995="","",IF(G995="",1,0))</x:f>
      </x:c>
      <x:c r="L995">
        <x:f>IF(A995="","",IF(COUNTIFS($A$5:$A$2004,A995,$C$5:$C$2004,C995)&gt;1,1,0))</x:f>
      </x:c>
    </x:row>
    <x:row r="996">
      <x:c r="A996" s="8" t="n"/>
      <x:c r="B996" s="8" t="n"/>
      <x:c r="C996" s="8" t="n"/>
      <x:c r="D996" s="8" t="n"/>
      <x:c r="E996" s="8" t="n"/>
      <x:c r="F996" s="8" t="n"/>
      <x:c r="G996" s="7">
        <x:f>IF(A996="","",IF(01_Parametres!$B$11="Oui",IF((01_Parametres!$B$4*(D996&gt;0)+01_Parametres!$B$5*(E996&gt;0)+01_Parametres!$B$6*(F996&gt;0))=0,"",(01_Parametres!$B$4*IF(D996&gt;0,D996,0)+01_Parametres!$B$5*IF(E996&gt;0,E996,0)+01_Parametres!$B$6*IF(F996&gt;0,F996,0))/(01_Parametres!$B$4*(D996&gt;0)+01_Parametres!$B$5*(E996&gt;0)+01_Parametres!$B$6*(F996&gt;0))),IF(01_Parametres!$B$8=0,"",(01_Parametres!$B$4*D996+01_Parametres!$B$5*E996+01_Parametres!$B$6*F996)/01_Parametres!$B$8)))</x:f>
      </x:c>
      <x:c r="H996">
        <x:f>IFERROR(VLOOKUP(C996,02_Referentiels!$A$20:$D$99,3,FALSE),"")</x:f>
      </x:c>
      <x:c r="I996">
        <x:f>IFERROR(VLOOKUP(B996,02_Referentiels!$A$5:$C$16,2,FALSE),"")</x:f>
      </x:c>
      <x:c r="J996">
        <x:f>IF(A996="","",IF(OR(D996="",E996="",F996=""),1,IF(OR(D996&lt;0,D996&gt;3,E996&lt;0,E996&gt;3,F996&lt;0,F996&gt;3),1,0)))</x:f>
      </x:c>
      <x:c r="K996">
        <x:f>IF(A996="","",IF(G996="",1,0))</x:f>
      </x:c>
      <x:c r="L996">
        <x:f>IF(A996="","",IF(COUNTIFS($A$5:$A$2004,A996,$C$5:$C$2004,C996)&gt;1,1,0))</x:f>
      </x:c>
    </x:row>
    <x:row r="997">
      <x:c r="A997" s="8" t="n"/>
      <x:c r="B997" s="8" t="n"/>
      <x:c r="C997" s="8" t="n"/>
      <x:c r="D997" s="8" t="n"/>
      <x:c r="E997" s="8" t="n"/>
      <x:c r="F997" s="8" t="n"/>
      <x:c r="G997" s="7">
        <x:f>IF(A997="","",IF(01_Parametres!$B$11="Oui",IF((01_Parametres!$B$4*(D997&gt;0)+01_Parametres!$B$5*(E997&gt;0)+01_Parametres!$B$6*(F997&gt;0))=0,"",(01_Parametres!$B$4*IF(D997&gt;0,D997,0)+01_Parametres!$B$5*IF(E997&gt;0,E997,0)+01_Parametres!$B$6*IF(F997&gt;0,F997,0))/(01_Parametres!$B$4*(D997&gt;0)+01_Parametres!$B$5*(E997&gt;0)+01_Parametres!$B$6*(F997&gt;0))),IF(01_Parametres!$B$8=0,"",(01_Parametres!$B$4*D997+01_Parametres!$B$5*E997+01_Parametres!$B$6*F997)/01_Parametres!$B$8)))</x:f>
      </x:c>
      <x:c r="H997">
        <x:f>IFERROR(VLOOKUP(C997,02_Referentiels!$A$20:$D$99,3,FALSE),"")</x:f>
      </x:c>
      <x:c r="I997">
        <x:f>IFERROR(VLOOKUP(B997,02_Referentiels!$A$5:$C$16,2,FALSE),"")</x:f>
      </x:c>
      <x:c r="J997">
        <x:f>IF(A997="","",IF(OR(D997="",E997="",F997=""),1,IF(OR(D997&lt;0,D997&gt;3,E997&lt;0,E997&gt;3,F997&lt;0,F997&gt;3),1,0)))</x:f>
      </x:c>
      <x:c r="K997">
        <x:f>IF(A997="","",IF(G997="",1,0))</x:f>
      </x:c>
      <x:c r="L997">
        <x:f>IF(A997="","",IF(COUNTIFS($A$5:$A$2004,A997,$C$5:$C$2004,C997)&gt;1,1,0))</x:f>
      </x:c>
    </x:row>
    <x:row r="998">
      <x:c r="A998" s="8" t="n"/>
      <x:c r="B998" s="8" t="n"/>
      <x:c r="C998" s="8" t="n"/>
      <x:c r="D998" s="8" t="n"/>
      <x:c r="E998" s="8" t="n"/>
      <x:c r="F998" s="8" t="n"/>
      <x:c r="G998" s="7">
        <x:f>IF(A998="","",IF(01_Parametres!$B$11="Oui",IF((01_Parametres!$B$4*(D998&gt;0)+01_Parametres!$B$5*(E998&gt;0)+01_Parametres!$B$6*(F998&gt;0))=0,"",(01_Parametres!$B$4*IF(D998&gt;0,D998,0)+01_Parametres!$B$5*IF(E998&gt;0,E998,0)+01_Parametres!$B$6*IF(F998&gt;0,F998,0))/(01_Parametres!$B$4*(D998&gt;0)+01_Parametres!$B$5*(E998&gt;0)+01_Parametres!$B$6*(F998&gt;0))),IF(01_Parametres!$B$8=0,"",(01_Parametres!$B$4*D998+01_Parametres!$B$5*E998+01_Parametres!$B$6*F998)/01_Parametres!$B$8)))</x:f>
      </x:c>
      <x:c r="H998">
        <x:f>IFERROR(VLOOKUP(C998,02_Referentiels!$A$20:$D$99,3,FALSE),"")</x:f>
      </x:c>
      <x:c r="I998">
        <x:f>IFERROR(VLOOKUP(B998,02_Referentiels!$A$5:$C$16,2,FALSE),"")</x:f>
      </x:c>
      <x:c r="J998">
        <x:f>IF(A998="","",IF(OR(D998="",E998="",F998=""),1,IF(OR(D998&lt;0,D998&gt;3,E998&lt;0,E998&gt;3,F998&lt;0,F998&gt;3),1,0)))</x:f>
      </x:c>
      <x:c r="K998">
        <x:f>IF(A998="","",IF(G998="",1,0))</x:f>
      </x:c>
      <x:c r="L998">
        <x:f>IF(A998="","",IF(COUNTIFS($A$5:$A$2004,A998,$C$5:$C$2004,C998)&gt;1,1,0))</x:f>
      </x:c>
    </x:row>
    <x:row r="999">
      <x:c r="A999" s="8" t="n"/>
      <x:c r="B999" s="8" t="n"/>
      <x:c r="C999" s="8" t="n"/>
      <x:c r="D999" s="8" t="n"/>
      <x:c r="E999" s="8" t="n"/>
      <x:c r="F999" s="8" t="n"/>
      <x:c r="G999" s="7">
        <x:f>IF(A999="","",IF(01_Parametres!$B$11="Oui",IF((01_Parametres!$B$4*(D999&gt;0)+01_Parametres!$B$5*(E999&gt;0)+01_Parametres!$B$6*(F999&gt;0))=0,"",(01_Parametres!$B$4*IF(D999&gt;0,D999,0)+01_Parametres!$B$5*IF(E999&gt;0,E999,0)+01_Parametres!$B$6*IF(F999&gt;0,F999,0))/(01_Parametres!$B$4*(D999&gt;0)+01_Parametres!$B$5*(E999&gt;0)+01_Parametres!$B$6*(F999&gt;0))),IF(01_Parametres!$B$8=0,"",(01_Parametres!$B$4*D999+01_Parametres!$B$5*E999+01_Parametres!$B$6*F999)/01_Parametres!$B$8)))</x:f>
      </x:c>
      <x:c r="H999">
        <x:f>IFERROR(VLOOKUP(C999,02_Referentiels!$A$20:$D$99,3,FALSE),"")</x:f>
      </x:c>
      <x:c r="I999">
        <x:f>IFERROR(VLOOKUP(B999,02_Referentiels!$A$5:$C$16,2,FALSE),"")</x:f>
      </x:c>
      <x:c r="J999">
        <x:f>IF(A999="","",IF(OR(D999="",E999="",F999=""),1,IF(OR(D999&lt;0,D999&gt;3,E999&lt;0,E999&gt;3,F999&lt;0,F999&gt;3),1,0)))</x:f>
      </x:c>
      <x:c r="K999">
        <x:f>IF(A999="","",IF(G999="",1,0))</x:f>
      </x:c>
      <x:c r="L999">
        <x:f>IF(A999="","",IF(COUNTIFS($A$5:$A$2004,A999,$C$5:$C$2004,C999)&gt;1,1,0))</x:f>
      </x:c>
    </x:row>
    <x:row r="1000">
      <x:c r="A1000" s="8" t="n"/>
      <x:c r="B1000" s="8" t="n"/>
      <x:c r="C1000" s="8" t="n"/>
      <x:c r="D1000" s="8" t="n"/>
      <x:c r="E1000" s="8" t="n"/>
      <x:c r="F1000" s="8" t="n"/>
      <x:c r="G1000" s="7">
        <x:f>IF(A1000="","",IF(01_Parametres!$B$11="Oui",IF((01_Parametres!$B$4*(D1000&gt;0)+01_Parametres!$B$5*(E1000&gt;0)+01_Parametres!$B$6*(F1000&gt;0))=0,"",(01_Parametres!$B$4*IF(D1000&gt;0,D1000,0)+01_Parametres!$B$5*IF(E1000&gt;0,E1000,0)+01_Parametres!$B$6*IF(F1000&gt;0,F1000,0))/(01_Parametres!$B$4*(D1000&gt;0)+01_Parametres!$B$5*(E1000&gt;0)+01_Parametres!$B$6*(F1000&gt;0))),IF(01_Parametres!$B$8=0,"",(01_Parametres!$B$4*D1000+01_Parametres!$B$5*E1000+01_Parametres!$B$6*F1000)/01_Parametres!$B$8)))</x:f>
      </x:c>
      <x:c r="H1000">
        <x:f>IFERROR(VLOOKUP(C1000,02_Referentiels!$A$20:$D$99,3,FALSE),"")</x:f>
      </x:c>
      <x:c r="I1000">
        <x:f>IFERROR(VLOOKUP(B1000,02_Referentiels!$A$5:$C$16,2,FALSE),"")</x:f>
      </x:c>
      <x:c r="J1000">
        <x:f>IF(A1000="","",IF(OR(D1000="",E1000="",F1000=""),1,IF(OR(D1000&lt;0,D1000&gt;3,E1000&lt;0,E1000&gt;3,F1000&lt;0,F1000&gt;3),1,0)))</x:f>
      </x:c>
      <x:c r="K1000">
        <x:f>IF(A1000="","",IF(G1000="",1,0))</x:f>
      </x:c>
      <x:c r="L1000">
        <x:f>IF(A1000="","",IF(COUNTIFS($A$5:$A$2004,A1000,$C$5:$C$2004,C1000)&gt;1,1,0))</x:f>
      </x:c>
    </x:row>
    <x:row r="1001">
      <x:c r="A1001" s="8" t="n"/>
      <x:c r="B1001" s="8" t="n"/>
      <x:c r="C1001" s="8" t="n"/>
      <x:c r="D1001" s="8" t="n"/>
      <x:c r="E1001" s="8" t="n"/>
      <x:c r="F1001" s="8" t="n"/>
      <x:c r="G1001" s="7">
        <x:f>IF(A1001="","",IF(01_Parametres!$B$11="Oui",IF((01_Parametres!$B$4*(D1001&gt;0)+01_Parametres!$B$5*(E1001&gt;0)+01_Parametres!$B$6*(F1001&gt;0))=0,"",(01_Parametres!$B$4*IF(D1001&gt;0,D1001,0)+01_Parametres!$B$5*IF(E1001&gt;0,E1001,0)+01_Parametres!$B$6*IF(F1001&gt;0,F1001,0))/(01_Parametres!$B$4*(D1001&gt;0)+01_Parametres!$B$5*(E1001&gt;0)+01_Parametres!$B$6*(F1001&gt;0))),IF(01_Parametres!$B$8=0,"",(01_Parametres!$B$4*D1001+01_Parametres!$B$5*E1001+01_Parametres!$B$6*F1001)/01_Parametres!$B$8)))</x:f>
      </x:c>
      <x:c r="H1001">
        <x:f>IFERROR(VLOOKUP(C1001,02_Referentiels!$A$20:$D$99,3,FALSE),"")</x:f>
      </x:c>
      <x:c r="I1001">
        <x:f>IFERROR(VLOOKUP(B1001,02_Referentiels!$A$5:$C$16,2,FALSE),"")</x:f>
      </x:c>
      <x:c r="J1001">
        <x:f>IF(A1001="","",IF(OR(D1001="",E1001="",F1001=""),1,IF(OR(D1001&lt;0,D1001&gt;3,E1001&lt;0,E1001&gt;3,F1001&lt;0,F1001&gt;3),1,0)))</x:f>
      </x:c>
      <x:c r="K1001">
        <x:f>IF(A1001="","",IF(G1001="",1,0))</x:f>
      </x:c>
      <x:c r="L1001">
        <x:f>IF(A1001="","",IF(COUNTIFS($A$5:$A$2004,A1001,$C$5:$C$2004,C1001)&gt;1,1,0))</x:f>
      </x:c>
    </x:row>
    <x:row r="1002">
      <x:c r="A1002" s="8" t="n"/>
      <x:c r="B1002" s="8" t="n"/>
      <x:c r="C1002" s="8" t="n"/>
      <x:c r="D1002" s="8" t="n"/>
      <x:c r="E1002" s="8" t="n"/>
      <x:c r="F1002" s="8" t="n"/>
      <x:c r="G1002" s="7">
        <x:f>IF(A1002="","",IF(01_Parametres!$B$11="Oui",IF((01_Parametres!$B$4*(D1002&gt;0)+01_Parametres!$B$5*(E1002&gt;0)+01_Parametres!$B$6*(F1002&gt;0))=0,"",(01_Parametres!$B$4*IF(D1002&gt;0,D1002,0)+01_Parametres!$B$5*IF(E1002&gt;0,E1002,0)+01_Parametres!$B$6*IF(F1002&gt;0,F1002,0))/(01_Parametres!$B$4*(D1002&gt;0)+01_Parametres!$B$5*(E1002&gt;0)+01_Parametres!$B$6*(F1002&gt;0))),IF(01_Parametres!$B$8=0,"",(01_Parametres!$B$4*D1002+01_Parametres!$B$5*E1002+01_Parametres!$B$6*F1002)/01_Parametres!$B$8)))</x:f>
      </x:c>
      <x:c r="H1002">
        <x:f>IFERROR(VLOOKUP(C1002,02_Referentiels!$A$20:$D$99,3,FALSE),"")</x:f>
      </x:c>
      <x:c r="I1002">
        <x:f>IFERROR(VLOOKUP(B1002,02_Referentiels!$A$5:$C$16,2,FALSE),"")</x:f>
      </x:c>
      <x:c r="J1002">
        <x:f>IF(A1002="","",IF(OR(D1002="",E1002="",F1002=""),1,IF(OR(D1002&lt;0,D1002&gt;3,E1002&lt;0,E1002&gt;3,F1002&lt;0,F1002&gt;3),1,0)))</x:f>
      </x:c>
      <x:c r="K1002">
        <x:f>IF(A1002="","",IF(G1002="",1,0))</x:f>
      </x:c>
      <x:c r="L1002">
        <x:f>IF(A1002="","",IF(COUNTIFS($A$5:$A$2004,A1002,$C$5:$C$2004,C1002)&gt;1,1,0))</x:f>
      </x:c>
    </x:row>
    <x:row r="1003">
      <x:c r="A1003" s="8" t="n"/>
      <x:c r="B1003" s="8" t="n"/>
      <x:c r="C1003" s="8" t="n"/>
      <x:c r="D1003" s="8" t="n"/>
      <x:c r="E1003" s="8" t="n"/>
      <x:c r="F1003" s="8" t="n"/>
      <x:c r="G1003" s="7">
        <x:f>IF(A1003="","",IF(01_Parametres!$B$11="Oui",IF((01_Parametres!$B$4*(D1003&gt;0)+01_Parametres!$B$5*(E1003&gt;0)+01_Parametres!$B$6*(F1003&gt;0))=0,"",(01_Parametres!$B$4*IF(D1003&gt;0,D1003,0)+01_Parametres!$B$5*IF(E1003&gt;0,E1003,0)+01_Parametres!$B$6*IF(F1003&gt;0,F1003,0))/(01_Parametres!$B$4*(D1003&gt;0)+01_Parametres!$B$5*(E1003&gt;0)+01_Parametres!$B$6*(F1003&gt;0))),IF(01_Parametres!$B$8=0,"",(01_Parametres!$B$4*D1003+01_Parametres!$B$5*E1003+01_Parametres!$B$6*F1003)/01_Parametres!$B$8)))</x:f>
      </x:c>
      <x:c r="H1003">
        <x:f>IFERROR(VLOOKUP(C1003,02_Referentiels!$A$20:$D$99,3,FALSE),"")</x:f>
      </x:c>
      <x:c r="I1003">
        <x:f>IFERROR(VLOOKUP(B1003,02_Referentiels!$A$5:$C$16,2,FALSE),"")</x:f>
      </x:c>
      <x:c r="J1003">
        <x:f>IF(A1003="","",IF(OR(D1003="",E1003="",F1003=""),1,IF(OR(D1003&lt;0,D1003&gt;3,E1003&lt;0,E1003&gt;3,F1003&lt;0,F1003&gt;3),1,0)))</x:f>
      </x:c>
      <x:c r="K1003">
        <x:f>IF(A1003="","",IF(G1003="",1,0))</x:f>
      </x:c>
      <x:c r="L1003">
        <x:f>IF(A1003="","",IF(COUNTIFS($A$5:$A$2004,A1003,$C$5:$C$2004,C1003)&gt;1,1,0))</x:f>
      </x:c>
    </x:row>
    <x:row r="1004">
      <x:c r="A1004" s="8" t="n"/>
      <x:c r="B1004" s="8" t="n"/>
      <x:c r="C1004" s="8" t="n"/>
      <x:c r="D1004" s="8" t="n"/>
      <x:c r="E1004" s="8" t="n"/>
      <x:c r="F1004" s="8" t="n"/>
      <x:c r="G1004" s="7">
        <x:f>IF(A1004="","",IF(01_Parametres!$B$11="Oui",IF((01_Parametres!$B$4*(D1004&gt;0)+01_Parametres!$B$5*(E1004&gt;0)+01_Parametres!$B$6*(F1004&gt;0))=0,"",(01_Parametres!$B$4*IF(D1004&gt;0,D1004,0)+01_Parametres!$B$5*IF(E1004&gt;0,E1004,0)+01_Parametres!$B$6*IF(F1004&gt;0,F1004,0))/(01_Parametres!$B$4*(D1004&gt;0)+01_Parametres!$B$5*(E1004&gt;0)+01_Parametres!$B$6*(F1004&gt;0))),IF(01_Parametres!$B$8=0,"",(01_Parametres!$B$4*D1004+01_Parametres!$B$5*E1004+01_Parametres!$B$6*F1004)/01_Parametres!$B$8)))</x:f>
      </x:c>
      <x:c r="H1004">
        <x:f>IFERROR(VLOOKUP(C1004,02_Referentiels!$A$20:$D$99,3,FALSE),"")</x:f>
      </x:c>
      <x:c r="I1004">
        <x:f>IFERROR(VLOOKUP(B1004,02_Referentiels!$A$5:$C$16,2,FALSE),"")</x:f>
      </x:c>
      <x:c r="J1004">
        <x:f>IF(A1004="","",IF(OR(D1004="",E1004="",F1004=""),1,IF(OR(D1004&lt;0,D1004&gt;3,E1004&lt;0,E1004&gt;3,F1004&lt;0,F1004&gt;3),1,0)))</x:f>
      </x:c>
      <x:c r="K1004">
        <x:f>IF(A1004="","",IF(G1004="",1,0))</x:f>
      </x:c>
      <x:c r="L1004">
        <x:f>IF(A1004="","",IF(COUNTIFS($A$5:$A$2004,A1004,$C$5:$C$2004,C1004)&gt;1,1,0))</x:f>
      </x:c>
    </x:row>
    <x:row r="1005">
      <x:c r="A1005" s="8" t="n"/>
      <x:c r="B1005" s="8" t="n"/>
      <x:c r="C1005" s="8" t="n"/>
      <x:c r="D1005" s="8" t="n"/>
      <x:c r="E1005" s="8" t="n"/>
      <x:c r="F1005" s="8" t="n"/>
      <x:c r="G1005" s="7">
        <x:f>IF(A1005="","",IF(01_Parametres!$B$11="Oui",IF((01_Parametres!$B$4*(D1005&gt;0)+01_Parametres!$B$5*(E1005&gt;0)+01_Parametres!$B$6*(F1005&gt;0))=0,"",(01_Parametres!$B$4*IF(D1005&gt;0,D1005,0)+01_Parametres!$B$5*IF(E1005&gt;0,E1005,0)+01_Parametres!$B$6*IF(F1005&gt;0,F1005,0))/(01_Parametres!$B$4*(D1005&gt;0)+01_Parametres!$B$5*(E1005&gt;0)+01_Parametres!$B$6*(F1005&gt;0))),IF(01_Parametres!$B$8=0,"",(01_Parametres!$B$4*D1005+01_Parametres!$B$5*E1005+01_Parametres!$B$6*F1005)/01_Parametres!$B$8)))</x:f>
      </x:c>
      <x:c r="H1005">
        <x:f>IFERROR(VLOOKUP(C1005,02_Referentiels!$A$20:$D$99,3,FALSE),"")</x:f>
      </x:c>
      <x:c r="I1005">
        <x:f>IFERROR(VLOOKUP(B1005,02_Referentiels!$A$5:$C$16,2,FALSE),"")</x:f>
      </x:c>
      <x:c r="J1005">
        <x:f>IF(A1005="","",IF(OR(D1005="",E1005="",F1005=""),1,IF(OR(D1005&lt;0,D1005&gt;3,E1005&lt;0,E1005&gt;3,F1005&lt;0,F1005&gt;3),1,0)))</x:f>
      </x:c>
      <x:c r="K1005">
        <x:f>IF(A1005="","",IF(G1005="",1,0))</x:f>
      </x:c>
      <x:c r="L1005">
        <x:f>IF(A1005="","",IF(COUNTIFS($A$5:$A$2004,A1005,$C$5:$C$2004,C1005)&gt;1,1,0))</x:f>
      </x:c>
    </x:row>
    <x:row r="1006">
      <x:c r="A1006" s="8" t="n"/>
      <x:c r="B1006" s="8" t="n"/>
      <x:c r="C1006" s="8" t="n"/>
      <x:c r="D1006" s="8" t="n"/>
      <x:c r="E1006" s="8" t="n"/>
      <x:c r="F1006" s="8" t="n"/>
      <x:c r="G1006" s="7">
        <x:f>IF(A1006="","",IF(01_Parametres!$B$11="Oui",IF((01_Parametres!$B$4*(D1006&gt;0)+01_Parametres!$B$5*(E1006&gt;0)+01_Parametres!$B$6*(F1006&gt;0))=0,"",(01_Parametres!$B$4*IF(D1006&gt;0,D1006,0)+01_Parametres!$B$5*IF(E1006&gt;0,E1006,0)+01_Parametres!$B$6*IF(F1006&gt;0,F1006,0))/(01_Parametres!$B$4*(D1006&gt;0)+01_Parametres!$B$5*(E1006&gt;0)+01_Parametres!$B$6*(F1006&gt;0))),IF(01_Parametres!$B$8=0,"",(01_Parametres!$B$4*D1006+01_Parametres!$B$5*E1006+01_Parametres!$B$6*F1006)/01_Parametres!$B$8)))</x:f>
      </x:c>
      <x:c r="H1006">
        <x:f>IFERROR(VLOOKUP(C1006,02_Referentiels!$A$20:$D$99,3,FALSE),"")</x:f>
      </x:c>
      <x:c r="I1006">
        <x:f>IFERROR(VLOOKUP(B1006,02_Referentiels!$A$5:$C$16,2,FALSE),"")</x:f>
      </x:c>
      <x:c r="J1006">
        <x:f>IF(A1006="","",IF(OR(D1006="",E1006="",F1006=""),1,IF(OR(D1006&lt;0,D1006&gt;3,E1006&lt;0,E1006&gt;3,F1006&lt;0,F1006&gt;3),1,0)))</x:f>
      </x:c>
      <x:c r="K1006">
        <x:f>IF(A1006="","",IF(G1006="",1,0))</x:f>
      </x:c>
      <x:c r="L1006">
        <x:f>IF(A1006="","",IF(COUNTIFS($A$5:$A$2004,A1006,$C$5:$C$2004,C1006)&gt;1,1,0))</x:f>
      </x:c>
    </x:row>
    <x:row r="1007">
      <x:c r="A1007" s="8" t="n"/>
      <x:c r="B1007" s="8" t="n"/>
      <x:c r="C1007" s="8" t="n"/>
      <x:c r="D1007" s="8" t="n"/>
      <x:c r="E1007" s="8" t="n"/>
      <x:c r="F1007" s="8" t="n"/>
      <x:c r="G1007" s="7">
        <x:f>IF(A1007="","",IF(01_Parametres!$B$11="Oui",IF((01_Parametres!$B$4*(D1007&gt;0)+01_Parametres!$B$5*(E1007&gt;0)+01_Parametres!$B$6*(F1007&gt;0))=0,"",(01_Parametres!$B$4*IF(D1007&gt;0,D1007,0)+01_Parametres!$B$5*IF(E1007&gt;0,E1007,0)+01_Parametres!$B$6*IF(F1007&gt;0,F1007,0))/(01_Parametres!$B$4*(D1007&gt;0)+01_Parametres!$B$5*(E1007&gt;0)+01_Parametres!$B$6*(F1007&gt;0))),IF(01_Parametres!$B$8=0,"",(01_Parametres!$B$4*D1007+01_Parametres!$B$5*E1007+01_Parametres!$B$6*F1007)/01_Parametres!$B$8)))</x:f>
      </x:c>
      <x:c r="H1007">
        <x:f>IFERROR(VLOOKUP(C1007,02_Referentiels!$A$20:$D$99,3,FALSE),"")</x:f>
      </x:c>
      <x:c r="I1007">
        <x:f>IFERROR(VLOOKUP(B1007,02_Referentiels!$A$5:$C$16,2,FALSE),"")</x:f>
      </x:c>
      <x:c r="J1007">
        <x:f>IF(A1007="","",IF(OR(D1007="",E1007="",F1007=""),1,IF(OR(D1007&lt;0,D1007&gt;3,E1007&lt;0,E1007&gt;3,F1007&lt;0,F1007&gt;3),1,0)))</x:f>
      </x:c>
      <x:c r="K1007">
        <x:f>IF(A1007="","",IF(G1007="",1,0))</x:f>
      </x:c>
      <x:c r="L1007">
        <x:f>IF(A1007="","",IF(COUNTIFS($A$5:$A$2004,A1007,$C$5:$C$2004,C1007)&gt;1,1,0))</x:f>
      </x:c>
    </x:row>
    <x:row r="1008">
      <x:c r="A1008" s="8" t="n"/>
      <x:c r="B1008" s="8" t="n"/>
      <x:c r="C1008" s="8" t="n"/>
      <x:c r="D1008" s="8" t="n"/>
      <x:c r="E1008" s="8" t="n"/>
      <x:c r="F1008" s="8" t="n"/>
      <x:c r="G1008" s="7">
        <x:f>IF(A1008="","",IF(01_Parametres!$B$11="Oui",IF((01_Parametres!$B$4*(D1008&gt;0)+01_Parametres!$B$5*(E1008&gt;0)+01_Parametres!$B$6*(F1008&gt;0))=0,"",(01_Parametres!$B$4*IF(D1008&gt;0,D1008,0)+01_Parametres!$B$5*IF(E1008&gt;0,E1008,0)+01_Parametres!$B$6*IF(F1008&gt;0,F1008,0))/(01_Parametres!$B$4*(D1008&gt;0)+01_Parametres!$B$5*(E1008&gt;0)+01_Parametres!$B$6*(F1008&gt;0))),IF(01_Parametres!$B$8=0,"",(01_Parametres!$B$4*D1008+01_Parametres!$B$5*E1008+01_Parametres!$B$6*F1008)/01_Parametres!$B$8)))</x:f>
      </x:c>
      <x:c r="H1008">
        <x:f>IFERROR(VLOOKUP(C1008,02_Referentiels!$A$20:$D$99,3,FALSE),"")</x:f>
      </x:c>
      <x:c r="I1008">
        <x:f>IFERROR(VLOOKUP(B1008,02_Referentiels!$A$5:$C$16,2,FALSE),"")</x:f>
      </x:c>
      <x:c r="J1008">
        <x:f>IF(A1008="","",IF(OR(D1008="",E1008="",F1008=""),1,IF(OR(D1008&lt;0,D1008&gt;3,E1008&lt;0,E1008&gt;3,F1008&lt;0,F1008&gt;3),1,0)))</x:f>
      </x:c>
      <x:c r="K1008">
        <x:f>IF(A1008="","",IF(G1008="",1,0))</x:f>
      </x:c>
      <x:c r="L1008">
        <x:f>IF(A1008="","",IF(COUNTIFS($A$5:$A$2004,A1008,$C$5:$C$2004,C1008)&gt;1,1,0))</x:f>
      </x:c>
    </x:row>
    <x:row r="1009">
      <x:c r="A1009" s="8" t="n"/>
      <x:c r="B1009" s="8" t="n"/>
      <x:c r="C1009" s="8" t="n"/>
      <x:c r="D1009" s="8" t="n"/>
      <x:c r="E1009" s="8" t="n"/>
      <x:c r="F1009" s="8" t="n"/>
      <x:c r="G1009" s="7">
        <x:f>IF(A1009="","",IF(01_Parametres!$B$11="Oui",IF((01_Parametres!$B$4*(D1009&gt;0)+01_Parametres!$B$5*(E1009&gt;0)+01_Parametres!$B$6*(F1009&gt;0))=0,"",(01_Parametres!$B$4*IF(D1009&gt;0,D1009,0)+01_Parametres!$B$5*IF(E1009&gt;0,E1009,0)+01_Parametres!$B$6*IF(F1009&gt;0,F1009,0))/(01_Parametres!$B$4*(D1009&gt;0)+01_Parametres!$B$5*(E1009&gt;0)+01_Parametres!$B$6*(F1009&gt;0))),IF(01_Parametres!$B$8=0,"",(01_Parametres!$B$4*D1009+01_Parametres!$B$5*E1009+01_Parametres!$B$6*F1009)/01_Parametres!$B$8)))</x:f>
      </x:c>
      <x:c r="H1009">
        <x:f>IFERROR(VLOOKUP(C1009,02_Referentiels!$A$20:$D$99,3,FALSE),"")</x:f>
      </x:c>
      <x:c r="I1009">
        <x:f>IFERROR(VLOOKUP(B1009,02_Referentiels!$A$5:$C$16,2,FALSE),"")</x:f>
      </x:c>
      <x:c r="J1009">
        <x:f>IF(A1009="","",IF(OR(D1009="",E1009="",F1009=""),1,IF(OR(D1009&lt;0,D1009&gt;3,E1009&lt;0,E1009&gt;3,F1009&lt;0,F1009&gt;3),1,0)))</x:f>
      </x:c>
      <x:c r="K1009">
        <x:f>IF(A1009="","",IF(G1009="",1,0))</x:f>
      </x:c>
      <x:c r="L1009">
        <x:f>IF(A1009="","",IF(COUNTIFS($A$5:$A$2004,A1009,$C$5:$C$2004,C1009)&gt;1,1,0))</x:f>
      </x:c>
    </x:row>
    <x:row r="1010">
      <x:c r="A1010" s="8" t="n"/>
      <x:c r="B1010" s="8" t="n"/>
      <x:c r="C1010" s="8" t="n"/>
      <x:c r="D1010" s="8" t="n"/>
      <x:c r="E1010" s="8" t="n"/>
      <x:c r="F1010" s="8" t="n"/>
      <x:c r="G1010" s="7">
        <x:f>IF(A1010="","",IF(01_Parametres!$B$11="Oui",IF((01_Parametres!$B$4*(D1010&gt;0)+01_Parametres!$B$5*(E1010&gt;0)+01_Parametres!$B$6*(F1010&gt;0))=0,"",(01_Parametres!$B$4*IF(D1010&gt;0,D1010,0)+01_Parametres!$B$5*IF(E1010&gt;0,E1010,0)+01_Parametres!$B$6*IF(F1010&gt;0,F1010,0))/(01_Parametres!$B$4*(D1010&gt;0)+01_Parametres!$B$5*(E1010&gt;0)+01_Parametres!$B$6*(F1010&gt;0))),IF(01_Parametres!$B$8=0,"",(01_Parametres!$B$4*D1010+01_Parametres!$B$5*E1010+01_Parametres!$B$6*F1010)/01_Parametres!$B$8)))</x:f>
      </x:c>
      <x:c r="H1010">
        <x:f>IFERROR(VLOOKUP(C1010,02_Referentiels!$A$20:$D$99,3,FALSE),"")</x:f>
      </x:c>
      <x:c r="I1010">
        <x:f>IFERROR(VLOOKUP(B1010,02_Referentiels!$A$5:$C$16,2,FALSE),"")</x:f>
      </x:c>
      <x:c r="J1010">
        <x:f>IF(A1010="","",IF(OR(D1010="",E1010="",F1010=""),1,IF(OR(D1010&lt;0,D1010&gt;3,E1010&lt;0,E1010&gt;3,F1010&lt;0,F1010&gt;3),1,0)))</x:f>
      </x:c>
      <x:c r="K1010">
        <x:f>IF(A1010="","",IF(G1010="",1,0))</x:f>
      </x:c>
      <x:c r="L1010">
        <x:f>IF(A1010="","",IF(COUNTIFS($A$5:$A$2004,A1010,$C$5:$C$2004,C1010)&gt;1,1,0))</x:f>
      </x:c>
    </x:row>
    <x:row r="1011">
      <x:c r="A1011" s="8" t="n"/>
      <x:c r="B1011" s="8" t="n"/>
      <x:c r="C1011" s="8" t="n"/>
      <x:c r="D1011" s="8" t="n"/>
      <x:c r="E1011" s="8" t="n"/>
      <x:c r="F1011" s="8" t="n"/>
      <x:c r="G1011" s="7">
        <x:f>IF(A1011="","",IF(01_Parametres!$B$11="Oui",IF((01_Parametres!$B$4*(D1011&gt;0)+01_Parametres!$B$5*(E1011&gt;0)+01_Parametres!$B$6*(F1011&gt;0))=0,"",(01_Parametres!$B$4*IF(D1011&gt;0,D1011,0)+01_Parametres!$B$5*IF(E1011&gt;0,E1011,0)+01_Parametres!$B$6*IF(F1011&gt;0,F1011,0))/(01_Parametres!$B$4*(D1011&gt;0)+01_Parametres!$B$5*(E1011&gt;0)+01_Parametres!$B$6*(F1011&gt;0))),IF(01_Parametres!$B$8=0,"",(01_Parametres!$B$4*D1011+01_Parametres!$B$5*E1011+01_Parametres!$B$6*F1011)/01_Parametres!$B$8)))</x:f>
      </x:c>
      <x:c r="H1011">
        <x:f>IFERROR(VLOOKUP(C1011,02_Referentiels!$A$20:$D$99,3,FALSE),"")</x:f>
      </x:c>
      <x:c r="I1011">
        <x:f>IFERROR(VLOOKUP(B1011,02_Referentiels!$A$5:$C$16,2,FALSE),"")</x:f>
      </x:c>
      <x:c r="J1011">
        <x:f>IF(A1011="","",IF(OR(D1011="",E1011="",F1011=""),1,IF(OR(D1011&lt;0,D1011&gt;3,E1011&lt;0,E1011&gt;3,F1011&lt;0,F1011&gt;3),1,0)))</x:f>
      </x:c>
      <x:c r="K1011">
        <x:f>IF(A1011="","",IF(G1011="",1,0))</x:f>
      </x:c>
      <x:c r="L1011">
        <x:f>IF(A1011="","",IF(COUNTIFS($A$5:$A$2004,A1011,$C$5:$C$2004,C1011)&gt;1,1,0))</x:f>
      </x:c>
    </x:row>
    <x:row r="1012">
      <x:c r="A1012" s="8" t="n"/>
      <x:c r="B1012" s="8" t="n"/>
      <x:c r="C1012" s="8" t="n"/>
      <x:c r="D1012" s="8" t="n"/>
      <x:c r="E1012" s="8" t="n"/>
      <x:c r="F1012" s="8" t="n"/>
      <x:c r="G1012" s="7">
        <x:f>IF(A1012="","",IF(01_Parametres!$B$11="Oui",IF((01_Parametres!$B$4*(D1012&gt;0)+01_Parametres!$B$5*(E1012&gt;0)+01_Parametres!$B$6*(F1012&gt;0))=0,"",(01_Parametres!$B$4*IF(D1012&gt;0,D1012,0)+01_Parametres!$B$5*IF(E1012&gt;0,E1012,0)+01_Parametres!$B$6*IF(F1012&gt;0,F1012,0))/(01_Parametres!$B$4*(D1012&gt;0)+01_Parametres!$B$5*(E1012&gt;0)+01_Parametres!$B$6*(F1012&gt;0))),IF(01_Parametres!$B$8=0,"",(01_Parametres!$B$4*D1012+01_Parametres!$B$5*E1012+01_Parametres!$B$6*F1012)/01_Parametres!$B$8)))</x:f>
      </x:c>
      <x:c r="H1012">
        <x:f>IFERROR(VLOOKUP(C1012,02_Referentiels!$A$20:$D$99,3,FALSE),"")</x:f>
      </x:c>
      <x:c r="I1012">
        <x:f>IFERROR(VLOOKUP(B1012,02_Referentiels!$A$5:$C$16,2,FALSE),"")</x:f>
      </x:c>
      <x:c r="J1012">
        <x:f>IF(A1012="","",IF(OR(D1012="",E1012="",F1012=""),1,IF(OR(D1012&lt;0,D1012&gt;3,E1012&lt;0,E1012&gt;3,F1012&lt;0,F1012&gt;3),1,0)))</x:f>
      </x:c>
      <x:c r="K1012">
        <x:f>IF(A1012="","",IF(G1012="",1,0))</x:f>
      </x:c>
      <x:c r="L1012">
        <x:f>IF(A1012="","",IF(COUNTIFS($A$5:$A$2004,A1012,$C$5:$C$2004,C1012)&gt;1,1,0))</x:f>
      </x:c>
    </x:row>
    <x:row r="1013">
      <x:c r="A1013" s="8" t="n"/>
      <x:c r="B1013" s="8" t="n"/>
      <x:c r="C1013" s="8" t="n"/>
      <x:c r="D1013" s="8" t="n"/>
      <x:c r="E1013" s="8" t="n"/>
      <x:c r="F1013" s="8" t="n"/>
      <x:c r="G1013" s="7">
        <x:f>IF(A1013="","",IF(01_Parametres!$B$11="Oui",IF((01_Parametres!$B$4*(D1013&gt;0)+01_Parametres!$B$5*(E1013&gt;0)+01_Parametres!$B$6*(F1013&gt;0))=0,"",(01_Parametres!$B$4*IF(D1013&gt;0,D1013,0)+01_Parametres!$B$5*IF(E1013&gt;0,E1013,0)+01_Parametres!$B$6*IF(F1013&gt;0,F1013,0))/(01_Parametres!$B$4*(D1013&gt;0)+01_Parametres!$B$5*(E1013&gt;0)+01_Parametres!$B$6*(F1013&gt;0))),IF(01_Parametres!$B$8=0,"",(01_Parametres!$B$4*D1013+01_Parametres!$B$5*E1013+01_Parametres!$B$6*F1013)/01_Parametres!$B$8)))</x:f>
      </x:c>
      <x:c r="H1013">
        <x:f>IFERROR(VLOOKUP(C1013,02_Referentiels!$A$20:$D$99,3,FALSE),"")</x:f>
      </x:c>
      <x:c r="I1013">
        <x:f>IFERROR(VLOOKUP(B1013,02_Referentiels!$A$5:$C$16,2,FALSE),"")</x:f>
      </x:c>
      <x:c r="J1013">
        <x:f>IF(A1013="","",IF(OR(D1013="",E1013="",F1013=""),1,IF(OR(D1013&lt;0,D1013&gt;3,E1013&lt;0,E1013&gt;3,F1013&lt;0,F1013&gt;3),1,0)))</x:f>
      </x:c>
      <x:c r="K1013">
        <x:f>IF(A1013="","",IF(G1013="",1,0))</x:f>
      </x:c>
      <x:c r="L1013">
        <x:f>IF(A1013="","",IF(COUNTIFS($A$5:$A$2004,A1013,$C$5:$C$2004,C1013)&gt;1,1,0))</x:f>
      </x:c>
    </x:row>
    <x:row r="1014">
      <x:c r="A1014" s="8" t="n"/>
      <x:c r="B1014" s="8" t="n"/>
      <x:c r="C1014" s="8" t="n"/>
      <x:c r="D1014" s="8" t="n"/>
      <x:c r="E1014" s="8" t="n"/>
      <x:c r="F1014" s="8" t="n"/>
      <x:c r="G1014" s="7">
        <x:f>IF(A1014="","",IF(01_Parametres!$B$11="Oui",IF((01_Parametres!$B$4*(D1014&gt;0)+01_Parametres!$B$5*(E1014&gt;0)+01_Parametres!$B$6*(F1014&gt;0))=0,"",(01_Parametres!$B$4*IF(D1014&gt;0,D1014,0)+01_Parametres!$B$5*IF(E1014&gt;0,E1014,0)+01_Parametres!$B$6*IF(F1014&gt;0,F1014,0))/(01_Parametres!$B$4*(D1014&gt;0)+01_Parametres!$B$5*(E1014&gt;0)+01_Parametres!$B$6*(F1014&gt;0))),IF(01_Parametres!$B$8=0,"",(01_Parametres!$B$4*D1014+01_Parametres!$B$5*E1014+01_Parametres!$B$6*F1014)/01_Parametres!$B$8)))</x:f>
      </x:c>
      <x:c r="H1014">
        <x:f>IFERROR(VLOOKUP(C1014,02_Referentiels!$A$20:$D$99,3,FALSE),"")</x:f>
      </x:c>
      <x:c r="I1014">
        <x:f>IFERROR(VLOOKUP(B1014,02_Referentiels!$A$5:$C$16,2,FALSE),"")</x:f>
      </x:c>
      <x:c r="J1014">
        <x:f>IF(A1014="","",IF(OR(D1014="",E1014="",F1014=""),1,IF(OR(D1014&lt;0,D1014&gt;3,E1014&lt;0,E1014&gt;3,F1014&lt;0,F1014&gt;3),1,0)))</x:f>
      </x:c>
      <x:c r="K1014">
        <x:f>IF(A1014="","",IF(G1014="",1,0))</x:f>
      </x:c>
      <x:c r="L1014">
        <x:f>IF(A1014="","",IF(COUNTIFS($A$5:$A$2004,A1014,$C$5:$C$2004,C1014)&gt;1,1,0))</x:f>
      </x:c>
    </x:row>
    <x:row r="1015">
      <x:c r="A1015" s="8" t="n"/>
      <x:c r="B1015" s="8" t="n"/>
      <x:c r="C1015" s="8" t="n"/>
      <x:c r="D1015" s="8" t="n"/>
      <x:c r="E1015" s="8" t="n"/>
      <x:c r="F1015" s="8" t="n"/>
      <x:c r="G1015" s="7">
        <x:f>IF(A1015="","",IF(01_Parametres!$B$11="Oui",IF((01_Parametres!$B$4*(D1015&gt;0)+01_Parametres!$B$5*(E1015&gt;0)+01_Parametres!$B$6*(F1015&gt;0))=0,"",(01_Parametres!$B$4*IF(D1015&gt;0,D1015,0)+01_Parametres!$B$5*IF(E1015&gt;0,E1015,0)+01_Parametres!$B$6*IF(F1015&gt;0,F1015,0))/(01_Parametres!$B$4*(D1015&gt;0)+01_Parametres!$B$5*(E1015&gt;0)+01_Parametres!$B$6*(F1015&gt;0))),IF(01_Parametres!$B$8=0,"",(01_Parametres!$B$4*D1015+01_Parametres!$B$5*E1015+01_Parametres!$B$6*F1015)/01_Parametres!$B$8)))</x:f>
      </x:c>
      <x:c r="H1015">
        <x:f>IFERROR(VLOOKUP(C1015,02_Referentiels!$A$20:$D$99,3,FALSE),"")</x:f>
      </x:c>
      <x:c r="I1015">
        <x:f>IFERROR(VLOOKUP(B1015,02_Referentiels!$A$5:$C$16,2,FALSE),"")</x:f>
      </x:c>
      <x:c r="J1015">
        <x:f>IF(A1015="","",IF(OR(D1015="",E1015="",F1015=""),1,IF(OR(D1015&lt;0,D1015&gt;3,E1015&lt;0,E1015&gt;3,F1015&lt;0,F1015&gt;3),1,0)))</x:f>
      </x:c>
      <x:c r="K1015">
        <x:f>IF(A1015="","",IF(G1015="",1,0))</x:f>
      </x:c>
      <x:c r="L1015">
        <x:f>IF(A1015="","",IF(COUNTIFS($A$5:$A$2004,A1015,$C$5:$C$2004,C1015)&gt;1,1,0))</x:f>
      </x:c>
    </x:row>
    <x:row r="1016">
      <x:c r="A1016" s="8" t="n"/>
      <x:c r="B1016" s="8" t="n"/>
      <x:c r="C1016" s="8" t="n"/>
      <x:c r="D1016" s="8" t="n"/>
      <x:c r="E1016" s="8" t="n"/>
      <x:c r="F1016" s="8" t="n"/>
      <x:c r="G1016" s="7">
        <x:f>IF(A1016="","",IF(01_Parametres!$B$11="Oui",IF((01_Parametres!$B$4*(D1016&gt;0)+01_Parametres!$B$5*(E1016&gt;0)+01_Parametres!$B$6*(F1016&gt;0))=0,"",(01_Parametres!$B$4*IF(D1016&gt;0,D1016,0)+01_Parametres!$B$5*IF(E1016&gt;0,E1016,0)+01_Parametres!$B$6*IF(F1016&gt;0,F1016,0))/(01_Parametres!$B$4*(D1016&gt;0)+01_Parametres!$B$5*(E1016&gt;0)+01_Parametres!$B$6*(F1016&gt;0))),IF(01_Parametres!$B$8=0,"",(01_Parametres!$B$4*D1016+01_Parametres!$B$5*E1016+01_Parametres!$B$6*F1016)/01_Parametres!$B$8)))</x:f>
      </x:c>
      <x:c r="H1016">
        <x:f>IFERROR(VLOOKUP(C1016,02_Referentiels!$A$20:$D$99,3,FALSE),"")</x:f>
      </x:c>
      <x:c r="I1016">
        <x:f>IFERROR(VLOOKUP(B1016,02_Referentiels!$A$5:$C$16,2,FALSE),"")</x:f>
      </x:c>
      <x:c r="J1016">
        <x:f>IF(A1016="","",IF(OR(D1016="",E1016="",F1016=""),1,IF(OR(D1016&lt;0,D1016&gt;3,E1016&lt;0,E1016&gt;3,F1016&lt;0,F1016&gt;3),1,0)))</x:f>
      </x:c>
      <x:c r="K1016">
        <x:f>IF(A1016="","",IF(G1016="",1,0))</x:f>
      </x:c>
      <x:c r="L1016">
        <x:f>IF(A1016="","",IF(COUNTIFS($A$5:$A$2004,A1016,$C$5:$C$2004,C1016)&gt;1,1,0))</x:f>
      </x:c>
    </x:row>
    <x:row r="1017">
      <x:c r="A1017" s="8" t="n"/>
      <x:c r="B1017" s="8" t="n"/>
      <x:c r="C1017" s="8" t="n"/>
      <x:c r="D1017" s="8" t="n"/>
      <x:c r="E1017" s="8" t="n"/>
      <x:c r="F1017" s="8" t="n"/>
      <x:c r="G1017" s="7">
        <x:f>IF(A1017="","",IF(01_Parametres!$B$11="Oui",IF((01_Parametres!$B$4*(D1017&gt;0)+01_Parametres!$B$5*(E1017&gt;0)+01_Parametres!$B$6*(F1017&gt;0))=0,"",(01_Parametres!$B$4*IF(D1017&gt;0,D1017,0)+01_Parametres!$B$5*IF(E1017&gt;0,E1017,0)+01_Parametres!$B$6*IF(F1017&gt;0,F1017,0))/(01_Parametres!$B$4*(D1017&gt;0)+01_Parametres!$B$5*(E1017&gt;0)+01_Parametres!$B$6*(F1017&gt;0))),IF(01_Parametres!$B$8=0,"",(01_Parametres!$B$4*D1017+01_Parametres!$B$5*E1017+01_Parametres!$B$6*F1017)/01_Parametres!$B$8)))</x:f>
      </x:c>
      <x:c r="H1017">
        <x:f>IFERROR(VLOOKUP(C1017,02_Referentiels!$A$20:$D$99,3,FALSE),"")</x:f>
      </x:c>
      <x:c r="I1017">
        <x:f>IFERROR(VLOOKUP(B1017,02_Referentiels!$A$5:$C$16,2,FALSE),"")</x:f>
      </x:c>
      <x:c r="J1017">
        <x:f>IF(A1017="","",IF(OR(D1017="",E1017="",F1017=""),1,IF(OR(D1017&lt;0,D1017&gt;3,E1017&lt;0,E1017&gt;3,F1017&lt;0,F1017&gt;3),1,0)))</x:f>
      </x:c>
      <x:c r="K1017">
        <x:f>IF(A1017="","",IF(G1017="",1,0))</x:f>
      </x:c>
      <x:c r="L1017">
        <x:f>IF(A1017="","",IF(COUNTIFS($A$5:$A$2004,A1017,$C$5:$C$2004,C1017)&gt;1,1,0))</x:f>
      </x:c>
    </x:row>
    <x:row r="1018">
      <x:c r="A1018" s="8" t="n"/>
      <x:c r="B1018" s="8" t="n"/>
      <x:c r="C1018" s="8" t="n"/>
      <x:c r="D1018" s="8" t="n"/>
      <x:c r="E1018" s="8" t="n"/>
      <x:c r="F1018" s="8" t="n"/>
      <x:c r="G1018" s="7">
        <x:f>IF(A1018="","",IF(01_Parametres!$B$11="Oui",IF((01_Parametres!$B$4*(D1018&gt;0)+01_Parametres!$B$5*(E1018&gt;0)+01_Parametres!$B$6*(F1018&gt;0))=0,"",(01_Parametres!$B$4*IF(D1018&gt;0,D1018,0)+01_Parametres!$B$5*IF(E1018&gt;0,E1018,0)+01_Parametres!$B$6*IF(F1018&gt;0,F1018,0))/(01_Parametres!$B$4*(D1018&gt;0)+01_Parametres!$B$5*(E1018&gt;0)+01_Parametres!$B$6*(F1018&gt;0))),IF(01_Parametres!$B$8=0,"",(01_Parametres!$B$4*D1018+01_Parametres!$B$5*E1018+01_Parametres!$B$6*F1018)/01_Parametres!$B$8)))</x:f>
      </x:c>
      <x:c r="H1018">
        <x:f>IFERROR(VLOOKUP(C1018,02_Referentiels!$A$20:$D$99,3,FALSE),"")</x:f>
      </x:c>
      <x:c r="I1018">
        <x:f>IFERROR(VLOOKUP(B1018,02_Referentiels!$A$5:$C$16,2,FALSE),"")</x:f>
      </x:c>
      <x:c r="J1018">
        <x:f>IF(A1018="","",IF(OR(D1018="",E1018="",F1018=""),1,IF(OR(D1018&lt;0,D1018&gt;3,E1018&lt;0,E1018&gt;3,F1018&lt;0,F1018&gt;3),1,0)))</x:f>
      </x:c>
      <x:c r="K1018">
        <x:f>IF(A1018="","",IF(G1018="",1,0))</x:f>
      </x:c>
      <x:c r="L1018">
        <x:f>IF(A1018="","",IF(COUNTIFS($A$5:$A$2004,A1018,$C$5:$C$2004,C1018)&gt;1,1,0))</x:f>
      </x:c>
    </x:row>
    <x:row r="1019">
      <x:c r="A1019" s="8" t="n"/>
      <x:c r="B1019" s="8" t="n"/>
      <x:c r="C1019" s="8" t="n"/>
      <x:c r="D1019" s="8" t="n"/>
      <x:c r="E1019" s="8" t="n"/>
      <x:c r="F1019" s="8" t="n"/>
      <x:c r="G1019" s="7">
        <x:f>IF(A1019="","",IF(01_Parametres!$B$11="Oui",IF((01_Parametres!$B$4*(D1019&gt;0)+01_Parametres!$B$5*(E1019&gt;0)+01_Parametres!$B$6*(F1019&gt;0))=0,"",(01_Parametres!$B$4*IF(D1019&gt;0,D1019,0)+01_Parametres!$B$5*IF(E1019&gt;0,E1019,0)+01_Parametres!$B$6*IF(F1019&gt;0,F1019,0))/(01_Parametres!$B$4*(D1019&gt;0)+01_Parametres!$B$5*(E1019&gt;0)+01_Parametres!$B$6*(F1019&gt;0))),IF(01_Parametres!$B$8=0,"",(01_Parametres!$B$4*D1019+01_Parametres!$B$5*E1019+01_Parametres!$B$6*F1019)/01_Parametres!$B$8)))</x:f>
      </x:c>
      <x:c r="H1019">
        <x:f>IFERROR(VLOOKUP(C1019,02_Referentiels!$A$20:$D$99,3,FALSE),"")</x:f>
      </x:c>
      <x:c r="I1019">
        <x:f>IFERROR(VLOOKUP(B1019,02_Referentiels!$A$5:$C$16,2,FALSE),"")</x:f>
      </x:c>
      <x:c r="J1019">
        <x:f>IF(A1019="","",IF(OR(D1019="",E1019="",F1019=""),1,IF(OR(D1019&lt;0,D1019&gt;3,E1019&lt;0,E1019&gt;3,F1019&lt;0,F1019&gt;3),1,0)))</x:f>
      </x:c>
      <x:c r="K1019">
        <x:f>IF(A1019="","",IF(G1019="",1,0))</x:f>
      </x:c>
      <x:c r="L1019">
        <x:f>IF(A1019="","",IF(COUNTIFS($A$5:$A$2004,A1019,$C$5:$C$2004,C1019)&gt;1,1,0))</x:f>
      </x:c>
    </x:row>
    <x:row r="1020">
      <x:c r="A1020" s="8" t="n"/>
      <x:c r="B1020" s="8" t="n"/>
      <x:c r="C1020" s="8" t="n"/>
      <x:c r="D1020" s="8" t="n"/>
      <x:c r="E1020" s="8" t="n"/>
      <x:c r="F1020" s="8" t="n"/>
      <x:c r="G1020" s="7">
        <x:f>IF(A1020="","",IF(01_Parametres!$B$11="Oui",IF((01_Parametres!$B$4*(D1020&gt;0)+01_Parametres!$B$5*(E1020&gt;0)+01_Parametres!$B$6*(F1020&gt;0))=0,"",(01_Parametres!$B$4*IF(D1020&gt;0,D1020,0)+01_Parametres!$B$5*IF(E1020&gt;0,E1020,0)+01_Parametres!$B$6*IF(F1020&gt;0,F1020,0))/(01_Parametres!$B$4*(D1020&gt;0)+01_Parametres!$B$5*(E1020&gt;0)+01_Parametres!$B$6*(F1020&gt;0))),IF(01_Parametres!$B$8=0,"",(01_Parametres!$B$4*D1020+01_Parametres!$B$5*E1020+01_Parametres!$B$6*F1020)/01_Parametres!$B$8)))</x:f>
      </x:c>
      <x:c r="H1020">
        <x:f>IFERROR(VLOOKUP(C1020,02_Referentiels!$A$20:$D$99,3,FALSE),"")</x:f>
      </x:c>
      <x:c r="I1020">
        <x:f>IFERROR(VLOOKUP(B1020,02_Referentiels!$A$5:$C$16,2,FALSE),"")</x:f>
      </x:c>
      <x:c r="J1020">
        <x:f>IF(A1020="","",IF(OR(D1020="",E1020="",F1020=""),1,IF(OR(D1020&lt;0,D1020&gt;3,E1020&lt;0,E1020&gt;3,F1020&lt;0,F1020&gt;3),1,0)))</x:f>
      </x:c>
      <x:c r="K1020">
        <x:f>IF(A1020="","",IF(G1020="",1,0))</x:f>
      </x:c>
      <x:c r="L1020">
        <x:f>IF(A1020="","",IF(COUNTIFS($A$5:$A$2004,A1020,$C$5:$C$2004,C1020)&gt;1,1,0))</x:f>
      </x:c>
    </x:row>
    <x:row r="1021">
      <x:c r="A1021" s="8" t="n"/>
      <x:c r="B1021" s="8" t="n"/>
      <x:c r="C1021" s="8" t="n"/>
      <x:c r="D1021" s="8" t="n"/>
      <x:c r="E1021" s="8" t="n"/>
      <x:c r="F1021" s="8" t="n"/>
      <x:c r="G1021" s="7">
        <x:f>IF(A1021="","",IF(01_Parametres!$B$11="Oui",IF((01_Parametres!$B$4*(D1021&gt;0)+01_Parametres!$B$5*(E1021&gt;0)+01_Parametres!$B$6*(F1021&gt;0))=0,"",(01_Parametres!$B$4*IF(D1021&gt;0,D1021,0)+01_Parametres!$B$5*IF(E1021&gt;0,E1021,0)+01_Parametres!$B$6*IF(F1021&gt;0,F1021,0))/(01_Parametres!$B$4*(D1021&gt;0)+01_Parametres!$B$5*(E1021&gt;0)+01_Parametres!$B$6*(F1021&gt;0))),IF(01_Parametres!$B$8=0,"",(01_Parametres!$B$4*D1021+01_Parametres!$B$5*E1021+01_Parametres!$B$6*F1021)/01_Parametres!$B$8)))</x:f>
      </x:c>
      <x:c r="H1021">
        <x:f>IFERROR(VLOOKUP(C1021,02_Referentiels!$A$20:$D$99,3,FALSE),"")</x:f>
      </x:c>
      <x:c r="I1021">
        <x:f>IFERROR(VLOOKUP(B1021,02_Referentiels!$A$5:$C$16,2,FALSE),"")</x:f>
      </x:c>
      <x:c r="J1021">
        <x:f>IF(A1021="","",IF(OR(D1021="",E1021="",F1021=""),1,IF(OR(D1021&lt;0,D1021&gt;3,E1021&lt;0,E1021&gt;3,F1021&lt;0,F1021&gt;3),1,0)))</x:f>
      </x:c>
      <x:c r="K1021">
        <x:f>IF(A1021="","",IF(G1021="",1,0))</x:f>
      </x:c>
      <x:c r="L1021">
        <x:f>IF(A1021="","",IF(COUNTIFS($A$5:$A$2004,A1021,$C$5:$C$2004,C1021)&gt;1,1,0))</x:f>
      </x:c>
    </x:row>
    <x:row r="1022">
      <x:c r="A1022" s="8" t="n"/>
      <x:c r="B1022" s="8" t="n"/>
      <x:c r="C1022" s="8" t="n"/>
      <x:c r="D1022" s="8" t="n"/>
      <x:c r="E1022" s="8" t="n"/>
      <x:c r="F1022" s="8" t="n"/>
      <x:c r="G1022" s="7">
        <x:f>IF(A1022="","",IF(01_Parametres!$B$11="Oui",IF((01_Parametres!$B$4*(D1022&gt;0)+01_Parametres!$B$5*(E1022&gt;0)+01_Parametres!$B$6*(F1022&gt;0))=0,"",(01_Parametres!$B$4*IF(D1022&gt;0,D1022,0)+01_Parametres!$B$5*IF(E1022&gt;0,E1022,0)+01_Parametres!$B$6*IF(F1022&gt;0,F1022,0))/(01_Parametres!$B$4*(D1022&gt;0)+01_Parametres!$B$5*(E1022&gt;0)+01_Parametres!$B$6*(F1022&gt;0))),IF(01_Parametres!$B$8=0,"",(01_Parametres!$B$4*D1022+01_Parametres!$B$5*E1022+01_Parametres!$B$6*F1022)/01_Parametres!$B$8)))</x:f>
      </x:c>
      <x:c r="H1022">
        <x:f>IFERROR(VLOOKUP(C1022,02_Referentiels!$A$20:$D$99,3,FALSE),"")</x:f>
      </x:c>
      <x:c r="I1022">
        <x:f>IFERROR(VLOOKUP(B1022,02_Referentiels!$A$5:$C$16,2,FALSE),"")</x:f>
      </x:c>
      <x:c r="J1022">
        <x:f>IF(A1022="","",IF(OR(D1022="",E1022="",F1022=""),1,IF(OR(D1022&lt;0,D1022&gt;3,E1022&lt;0,E1022&gt;3,F1022&lt;0,F1022&gt;3),1,0)))</x:f>
      </x:c>
      <x:c r="K1022">
        <x:f>IF(A1022="","",IF(G1022="",1,0))</x:f>
      </x:c>
      <x:c r="L1022">
        <x:f>IF(A1022="","",IF(COUNTIFS($A$5:$A$2004,A1022,$C$5:$C$2004,C1022)&gt;1,1,0))</x:f>
      </x:c>
    </x:row>
    <x:row r="1023">
      <x:c r="A1023" s="8" t="n"/>
      <x:c r="B1023" s="8" t="n"/>
      <x:c r="C1023" s="8" t="n"/>
      <x:c r="D1023" s="8" t="n"/>
      <x:c r="E1023" s="8" t="n"/>
      <x:c r="F1023" s="8" t="n"/>
      <x:c r="G1023" s="7">
        <x:f>IF(A1023="","",IF(01_Parametres!$B$11="Oui",IF((01_Parametres!$B$4*(D1023&gt;0)+01_Parametres!$B$5*(E1023&gt;0)+01_Parametres!$B$6*(F1023&gt;0))=0,"",(01_Parametres!$B$4*IF(D1023&gt;0,D1023,0)+01_Parametres!$B$5*IF(E1023&gt;0,E1023,0)+01_Parametres!$B$6*IF(F1023&gt;0,F1023,0))/(01_Parametres!$B$4*(D1023&gt;0)+01_Parametres!$B$5*(E1023&gt;0)+01_Parametres!$B$6*(F1023&gt;0))),IF(01_Parametres!$B$8=0,"",(01_Parametres!$B$4*D1023+01_Parametres!$B$5*E1023+01_Parametres!$B$6*F1023)/01_Parametres!$B$8)))</x:f>
      </x:c>
      <x:c r="H1023">
        <x:f>IFERROR(VLOOKUP(C1023,02_Referentiels!$A$20:$D$99,3,FALSE),"")</x:f>
      </x:c>
      <x:c r="I1023">
        <x:f>IFERROR(VLOOKUP(B1023,02_Referentiels!$A$5:$C$16,2,FALSE),"")</x:f>
      </x:c>
      <x:c r="J1023">
        <x:f>IF(A1023="","",IF(OR(D1023="",E1023="",F1023=""),1,IF(OR(D1023&lt;0,D1023&gt;3,E1023&lt;0,E1023&gt;3,F1023&lt;0,F1023&gt;3),1,0)))</x:f>
      </x:c>
      <x:c r="K1023">
        <x:f>IF(A1023="","",IF(G1023="",1,0))</x:f>
      </x:c>
      <x:c r="L1023">
        <x:f>IF(A1023="","",IF(COUNTIFS($A$5:$A$2004,A1023,$C$5:$C$2004,C1023)&gt;1,1,0))</x:f>
      </x:c>
    </x:row>
    <x:row r="1024">
      <x:c r="A1024" s="8" t="n"/>
      <x:c r="B1024" s="8" t="n"/>
      <x:c r="C1024" s="8" t="n"/>
      <x:c r="D1024" s="8" t="n"/>
      <x:c r="E1024" s="8" t="n"/>
      <x:c r="F1024" s="8" t="n"/>
      <x:c r="G1024" s="7">
        <x:f>IF(A1024="","",IF(01_Parametres!$B$11="Oui",IF((01_Parametres!$B$4*(D1024&gt;0)+01_Parametres!$B$5*(E1024&gt;0)+01_Parametres!$B$6*(F1024&gt;0))=0,"",(01_Parametres!$B$4*IF(D1024&gt;0,D1024,0)+01_Parametres!$B$5*IF(E1024&gt;0,E1024,0)+01_Parametres!$B$6*IF(F1024&gt;0,F1024,0))/(01_Parametres!$B$4*(D1024&gt;0)+01_Parametres!$B$5*(E1024&gt;0)+01_Parametres!$B$6*(F1024&gt;0))),IF(01_Parametres!$B$8=0,"",(01_Parametres!$B$4*D1024+01_Parametres!$B$5*E1024+01_Parametres!$B$6*F1024)/01_Parametres!$B$8)))</x:f>
      </x:c>
      <x:c r="H1024">
        <x:f>IFERROR(VLOOKUP(C1024,02_Referentiels!$A$20:$D$99,3,FALSE),"")</x:f>
      </x:c>
      <x:c r="I1024">
        <x:f>IFERROR(VLOOKUP(B1024,02_Referentiels!$A$5:$C$16,2,FALSE),"")</x:f>
      </x:c>
      <x:c r="J1024">
        <x:f>IF(A1024="","",IF(OR(D1024="",E1024="",F1024=""),1,IF(OR(D1024&lt;0,D1024&gt;3,E1024&lt;0,E1024&gt;3,F1024&lt;0,F1024&gt;3),1,0)))</x:f>
      </x:c>
      <x:c r="K1024">
        <x:f>IF(A1024="","",IF(G1024="",1,0))</x:f>
      </x:c>
      <x:c r="L1024">
        <x:f>IF(A1024="","",IF(COUNTIFS($A$5:$A$2004,A1024,$C$5:$C$2004,C1024)&gt;1,1,0))</x:f>
      </x:c>
    </x:row>
    <x:row r="1025">
      <x:c r="A1025" s="8" t="n"/>
      <x:c r="B1025" s="8" t="n"/>
      <x:c r="C1025" s="8" t="n"/>
      <x:c r="D1025" s="8" t="n"/>
      <x:c r="E1025" s="8" t="n"/>
      <x:c r="F1025" s="8" t="n"/>
      <x:c r="G1025" s="7">
        <x:f>IF(A1025="","",IF(01_Parametres!$B$11="Oui",IF((01_Parametres!$B$4*(D1025&gt;0)+01_Parametres!$B$5*(E1025&gt;0)+01_Parametres!$B$6*(F1025&gt;0))=0,"",(01_Parametres!$B$4*IF(D1025&gt;0,D1025,0)+01_Parametres!$B$5*IF(E1025&gt;0,E1025,0)+01_Parametres!$B$6*IF(F1025&gt;0,F1025,0))/(01_Parametres!$B$4*(D1025&gt;0)+01_Parametres!$B$5*(E1025&gt;0)+01_Parametres!$B$6*(F1025&gt;0))),IF(01_Parametres!$B$8=0,"",(01_Parametres!$B$4*D1025+01_Parametres!$B$5*E1025+01_Parametres!$B$6*F1025)/01_Parametres!$B$8)))</x:f>
      </x:c>
      <x:c r="H1025">
        <x:f>IFERROR(VLOOKUP(C1025,02_Referentiels!$A$20:$D$99,3,FALSE),"")</x:f>
      </x:c>
      <x:c r="I1025">
        <x:f>IFERROR(VLOOKUP(B1025,02_Referentiels!$A$5:$C$16,2,FALSE),"")</x:f>
      </x:c>
      <x:c r="J1025">
        <x:f>IF(A1025="","",IF(OR(D1025="",E1025="",F1025=""),1,IF(OR(D1025&lt;0,D1025&gt;3,E1025&lt;0,E1025&gt;3,F1025&lt;0,F1025&gt;3),1,0)))</x:f>
      </x:c>
      <x:c r="K1025">
        <x:f>IF(A1025="","",IF(G1025="",1,0))</x:f>
      </x:c>
      <x:c r="L1025">
        <x:f>IF(A1025="","",IF(COUNTIFS($A$5:$A$2004,A1025,$C$5:$C$2004,C1025)&gt;1,1,0))</x:f>
      </x:c>
    </x:row>
    <x:row r="1026">
      <x:c r="A1026" s="8" t="n"/>
      <x:c r="B1026" s="8" t="n"/>
      <x:c r="C1026" s="8" t="n"/>
      <x:c r="D1026" s="8" t="n"/>
      <x:c r="E1026" s="8" t="n"/>
      <x:c r="F1026" s="8" t="n"/>
      <x:c r="G1026" s="7">
        <x:f>IF(A1026="","",IF(01_Parametres!$B$11="Oui",IF((01_Parametres!$B$4*(D1026&gt;0)+01_Parametres!$B$5*(E1026&gt;0)+01_Parametres!$B$6*(F1026&gt;0))=0,"",(01_Parametres!$B$4*IF(D1026&gt;0,D1026,0)+01_Parametres!$B$5*IF(E1026&gt;0,E1026,0)+01_Parametres!$B$6*IF(F1026&gt;0,F1026,0))/(01_Parametres!$B$4*(D1026&gt;0)+01_Parametres!$B$5*(E1026&gt;0)+01_Parametres!$B$6*(F1026&gt;0))),IF(01_Parametres!$B$8=0,"",(01_Parametres!$B$4*D1026+01_Parametres!$B$5*E1026+01_Parametres!$B$6*F1026)/01_Parametres!$B$8)))</x:f>
      </x:c>
      <x:c r="H1026">
        <x:f>IFERROR(VLOOKUP(C1026,02_Referentiels!$A$20:$D$99,3,FALSE),"")</x:f>
      </x:c>
      <x:c r="I1026">
        <x:f>IFERROR(VLOOKUP(B1026,02_Referentiels!$A$5:$C$16,2,FALSE),"")</x:f>
      </x:c>
      <x:c r="J1026">
        <x:f>IF(A1026="","",IF(OR(D1026="",E1026="",F1026=""),1,IF(OR(D1026&lt;0,D1026&gt;3,E1026&lt;0,E1026&gt;3,F1026&lt;0,F1026&gt;3),1,0)))</x:f>
      </x:c>
      <x:c r="K1026">
        <x:f>IF(A1026="","",IF(G1026="",1,0))</x:f>
      </x:c>
      <x:c r="L1026">
        <x:f>IF(A1026="","",IF(COUNTIFS($A$5:$A$2004,A1026,$C$5:$C$2004,C1026)&gt;1,1,0))</x:f>
      </x:c>
    </x:row>
    <x:row r="1027">
      <x:c r="A1027" s="8" t="n"/>
      <x:c r="B1027" s="8" t="n"/>
      <x:c r="C1027" s="8" t="n"/>
      <x:c r="D1027" s="8" t="n"/>
      <x:c r="E1027" s="8" t="n"/>
      <x:c r="F1027" s="8" t="n"/>
      <x:c r="G1027" s="7">
        <x:f>IF(A1027="","",IF(01_Parametres!$B$11="Oui",IF((01_Parametres!$B$4*(D1027&gt;0)+01_Parametres!$B$5*(E1027&gt;0)+01_Parametres!$B$6*(F1027&gt;0))=0,"",(01_Parametres!$B$4*IF(D1027&gt;0,D1027,0)+01_Parametres!$B$5*IF(E1027&gt;0,E1027,0)+01_Parametres!$B$6*IF(F1027&gt;0,F1027,0))/(01_Parametres!$B$4*(D1027&gt;0)+01_Parametres!$B$5*(E1027&gt;0)+01_Parametres!$B$6*(F1027&gt;0))),IF(01_Parametres!$B$8=0,"",(01_Parametres!$B$4*D1027+01_Parametres!$B$5*E1027+01_Parametres!$B$6*F1027)/01_Parametres!$B$8)))</x:f>
      </x:c>
      <x:c r="H1027">
        <x:f>IFERROR(VLOOKUP(C1027,02_Referentiels!$A$20:$D$99,3,FALSE),"")</x:f>
      </x:c>
      <x:c r="I1027">
        <x:f>IFERROR(VLOOKUP(B1027,02_Referentiels!$A$5:$C$16,2,FALSE),"")</x:f>
      </x:c>
      <x:c r="J1027">
        <x:f>IF(A1027="","",IF(OR(D1027="",E1027="",F1027=""),1,IF(OR(D1027&lt;0,D1027&gt;3,E1027&lt;0,E1027&gt;3,F1027&lt;0,F1027&gt;3),1,0)))</x:f>
      </x:c>
      <x:c r="K1027">
        <x:f>IF(A1027="","",IF(G1027="",1,0))</x:f>
      </x:c>
      <x:c r="L1027">
        <x:f>IF(A1027="","",IF(COUNTIFS($A$5:$A$2004,A1027,$C$5:$C$2004,C1027)&gt;1,1,0))</x:f>
      </x:c>
    </x:row>
    <x:row r="1028">
      <x:c r="A1028" s="8" t="n"/>
      <x:c r="B1028" s="8" t="n"/>
      <x:c r="C1028" s="8" t="n"/>
      <x:c r="D1028" s="8" t="n"/>
      <x:c r="E1028" s="8" t="n"/>
      <x:c r="F1028" s="8" t="n"/>
      <x:c r="G1028" s="7">
        <x:f>IF(A1028="","",IF(01_Parametres!$B$11="Oui",IF((01_Parametres!$B$4*(D1028&gt;0)+01_Parametres!$B$5*(E1028&gt;0)+01_Parametres!$B$6*(F1028&gt;0))=0,"",(01_Parametres!$B$4*IF(D1028&gt;0,D1028,0)+01_Parametres!$B$5*IF(E1028&gt;0,E1028,0)+01_Parametres!$B$6*IF(F1028&gt;0,F1028,0))/(01_Parametres!$B$4*(D1028&gt;0)+01_Parametres!$B$5*(E1028&gt;0)+01_Parametres!$B$6*(F1028&gt;0))),IF(01_Parametres!$B$8=0,"",(01_Parametres!$B$4*D1028+01_Parametres!$B$5*E1028+01_Parametres!$B$6*F1028)/01_Parametres!$B$8)))</x:f>
      </x:c>
      <x:c r="H1028">
        <x:f>IFERROR(VLOOKUP(C1028,02_Referentiels!$A$20:$D$99,3,FALSE),"")</x:f>
      </x:c>
      <x:c r="I1028">
        <x:f>IFERROR(VLOOKUP(B1028,02_Referentiels!$A$5:$C$16,2,FALSE),"")</x:f>
      </x:c>
      <x:c r="J1028">
        <x:f>IF(A1028="","",IF(OR(D1028="",E1028="",F1028=""),1,IF(OR(D1028&lt;0,D1028&gt;3,E1028&lt;0,E1028&gt;3,F1028&lt;0,F1028&gt;3),1,0)))</x:f>
      </x:c>
      <x:c r="K1028">
        <x:f>IF(A1028="","",IF(G1028="",1,0))</x:f>
      </x:c>
      <x:c r="L1028">
        <x:f>IF(A1028="","",IF(COUNTIFS($A$5:$A$2004,A1028,$C$5:$C$2004,C1028)&gt;1,1,0))</x:f>
      </x:c>
    </x:row>
    <x:row r="1029">
      <x:c r="A1029" s="8" t="n"/>
      <x:c r="B1029" s="8" t="n"/>
      <x:c r="C1029" s="8" t="n"/>
      <x:c r="D1029" s="8" t="n"/>
      <x:c r="E1029" s="8" t="n"/>
      <x:c r="F1029" s="8" t="n"/>
      <x:c r="G1029" s="7">
        <x:f>IF(A1029="","",IF(01_Parametres!$B$11="Oui",IF((01_Parametres!$B$4*(D1029&gt;0)+01_Parametres!$B$5*(E1029&gt;0)+01_Parametres!$B$6*(F1029&gt;0))=0,"",(01_Parametres!$B$4*IF(D1029&gt;0,D1029,0)+01_Parametres!$B$5*IF(E1029&gt;0,E1029,0)+01_Parametres!$B$6*IF(F1029&gt;0,F1029,0))/(01_Parametres!$B$4*(D1029&gt;0)+01_Parametres!$B$5*(E1029&gt;0)+01_Parametres!$B$6*(F1029&gt;0))),IF(01_Parametres!$B$8=0,"",(01_Parametres!$B$4*D1029+01_Parametres!$B$5*E1029+01_Parametres!$B$6*F1029)/01_Parametres!$B$8)))</x:f>
      </x:c>
      <x:c r="H1029">
        <x:f>IFERROR(VLOOKUP(C1029,02_Referentiels!$A$20:$D$99,3,FALSE),"")</x:f>
      </x:c>
      <x:c r="I1029">
        <x:f>IFERROR(VLOOKUP(B1029,02_Referentiels!$A$5:$C$16,2,FALSE),"")</x:f>
      </x:c>
      <x:c r="J1029">
        <x:f>IF(A1029="","",IF(OR(D1029="",E1029="",F1029=""),1,IF(OR(D1029&lt;0,D1029&gt;3,E1029&lt;0,E1029&gt;3,F1029&lt;0,F1029&gt;3),1,0)))</x:f>
      </x:c>
      <x:c r="K1029">
        <x:f>IF(A1029="","",IF(G1029="",1,0))</x:f>
      </x:c>
      <x:c r="L1029">
        <x:f>IF(A1029="","",IF(COUNTIFS($A$5:$A$2004,A1029,$C$5:$C$2004,C1029)&gt;1,1,0))</x:f>
      </x:c>
    </x:row>
    <x:row r="1030">
      <x:c r="A1030" s="8" t="n"/>
      <x:c r="B1030" s="8" t="n"/>
      <x:c r="C1030" s="8" t="n"/>
      <x:c r="D1030" s="8" t="n"/>
      <x:c r="E1030" s="8" t="n"/>
      <x:c r="F1030" s="8" t="n"/>
      <x:c r="G1030" s="7">
        <x:f>IF(A1030="","",IF(01_Parametres!$B$11="Oui",IF((01_Parametres!$B$4*(D1030&gt;0)+01_Parametres!$B$5*(E1030&gt;0)+01_Parametres!$B$6*(F1030&gt;0))=0,"",(01_Parametres!$B$4*IF(D1030&gt;0,D1030,0)+01_Parametres!$B$5*IF(E1030&gt;0,E1030,0)+01_Parametres!$B$6*IF(F1030&gt;0,F1030,0))/(01_Parametres!$B$4*(D1030&gt;0)+01_Parametres!$B$5*(E1030&gt;0)+01_Parametres!$B$6*(F1030&gt;0))),IF(01_Parametres!$B$8=0,"",(01_Parametres!$B$4*D1030+01_Parametres!$B$5*E1030+01_Parametres!$B$6*F1030)/01_Parametres!$B$8)))</x:f>
      </x:c>
      <x:c r="H1030">
        <x:f>IFERROR(VLOOKUP(C1030,02_Referentiels!$A$20:$D$99,3,FALSE),"")</x:f>
      </x:c>
      <x:c r="I1030">
        <x:f>IFERROR(VLOOKUP(B1030,02_Referentiels!$A$5:$C$16,2,FALSE),"")</x:f>
      </x:c>
      <x:c r="J1030">
        <x:f>IF(A1030="","",IF(OR(D1030="",E1030="",F1030=""),1,IF(OR(D1030&lt;0,D1030&gt;3,E1030&lt;0,E1030&gt;3,F1030&lt;0,F1030&gt;3),1,0)))</x:f>
      </x:c>
      <x:c r="K1030">
        <x:f>IF(A1030="","",IF(G1030="",1,0))</x:f>
      </x:c>
      <x:c r="L1030">
        <x:f>IF(A1030="","",IF(COUNTIFS($A$5:$A$2004,A1030,$C$5:$C$2004,C1030)&gt;1,1,0))</x:f>
      </x:c>
    </x:row>
    <x:row r="1031">
      <x:c r="A1031" s="8" t="n"/>
      <x:c r="B1031" s="8" t="n"/>
      <x:c r="C1031" s="8" t="n"/>
      <x:c r="D1031" s="8" t="n"/>
      <x:c r="E1031" s="8" t="n"/>
      <x:c r="F1031" s="8" t="n"/>
      <x:c r="G1031" s="7">
        <x:f>IF(A1031="","",IF(01_Parametres!$B$11="Oui",IF((01_Parametres!$B$4*(D1031&gt;0)+01_Parametres!$B$5*(E1031&gt;0)+01_Parametres!$B$6*(F1031&gt;0))=0,"",(01_Parametres!$B$4*IF(D1031&gt;0,D1031,0)+01_Parametres!$B$5*IF(E1031&gt;0,E1031,0)+01_Parametres!$B$6*IF(F1031&gt;0,F1031,0))/(01_Parametres!$B$4*(D1031&gt;0)+01_Parametres!$B$5*(E1031&gt;0)+01_Parametres!$B$6*(F1031&gt;0))),IF(01_Parametres!$B$8=0,"",(01_Parametres!$B$4*D1031+01_Parametres!$B$5*E1031+01_Parametres!$B$6*F1031)/01_Parametres!$B$8)))</x:f>
      </x:c>
      <x:c r="H1031">
        <x:f>IFERROR(VLOOKUP(C1031,02_Referentiels!$A$20:$D$99,3,FALSE),"")</x:f>
      </x:c>
      <x:c r="I1031">
        <x:f>IFERROR(VLOOKUP(B1031,02_Referentiels!$A$5:$C$16,2,FALSE),"")</x:f>
      </x:c>
      <x:c r="J1031">
        <x:f>IF(A1031="","",IF(OR(D1031="",E1031="",F1031=""),1,IF(OR(D1031&lt;0,D1031&gt;3,E1031&lt;0,E1031&gt;3,F1031&lt;0,F1031&gt;3),1,0)))</x:f>
      </x:c>
      <x:c r="K1031">
        <x:f>IF(A1031="","",IF(G1031="",1,0))</x:f>
      </x:c>
      <x:c r="L1031">
        <x:f>IF(A1031="","",IF(COUNTIFS($A$5:$A$2004,A1031,$C$5:$C$2004,C1031)&gt;1,1,0))</x:f>
      </x:c>
    </x:row>
    <x:row r="1032">
      <x:c r="A1032" s="8" t="n"/>
      <x:c r="B1032" s="8" t="n"/>
      <x:c r="C1032" s="8" t="n"/>
      <x:c r="D1032" s="8" t="n"/>
      <x:c r="E1032" s="8" t="n"/>
      <x:c r="F1032" s="8" t="n"/>
      <x:c r="G1032" s="7">
        <x:f>IF(A1032="","",IF(01_Parametres!$B$11="Oui",IF((01_Parametres!$B$4*(D1032&gt;0)+01_Parametres!$B$5*(E1032&gt;0)+01_Parametres!$B$6*(F1032&gt;0))=0,"",(01_Parametres!$B$4*IF(D1032&gt;0,D1032,0)+01_Parametres!$B$5*IF(E1032&gt;0,E1032,0)+01_Parametres!$B$6*IF(F1032&gt;0,F1032,0))/(01_Parametres!$B$4*(D1032&gt;0)+01_Parametres!$B$5*(E1032&gt;0)+01_Parametres!$B$6*(F1032&gt;0))),IF(01_Parametres!$B$8=0,"",(01_Parametres!$B$4*D1032+01_Parametres!$B$5*E1032+01_Parametres!$B$6*F1032)/01_Parametres!$B$8)))</x:f>
      </x:c>
      <x:c r="H1032">
        <x:f>IFERROR(VLOOKUP(C1032,02_Referentiels!$A$20:$D$99,3,FALSE),"")</x:f>
      </x:c>
      <x:c r="I1032">
        <x:f>IFERROR(VLOOKUP(B1032,02_Referentiels!$A$5:$C$16,2,FALSE),"")</x:f>
      </x:c>
      <x:c r="J1032">
        <x:f>IF(A1032="","",IF(OR(D1032="",E1032="",F1032=""),1,IF(OR(D1032&lt;0,D1032&gt;3,E1032&lt;0,E1032&gt;3,F1032&lt;0,F1032&gt;3),1,0)))</x:f>
      </x:c>
      <x:c r="K1032">
        <x:f>IF(A1032="","",IF(G1032="",1,0))</x:f>
      </x:c>
      <x:c r="L1032">
        <x:f>IF(A1032="","",IF(COUNTIFS($A$5:$A$2004,A1032,$C$5:$C$2004,C1032)&gt;1,1,0))</x:f>
      </x:c>
    </x:row>
    <x:row r="1033">
      <x:c r="A1033" s="8" t="n"/>
      <x:c r="B1033" s="8" t="n"/>
      <x:c r="C1033" s="8" t="n"/>
      <x:c r="D1033" s="8" t="n"/>
      <x:c r="E1033" s="8" t="n"/>
      <x:c r="F1033" s="8" t="n"/>
      <x:c r="G1033" s="7">
        <x:f>IF(A1033="","",IF(01_Parametres!$B$11="Oui",IF((01_Parametres!$B$4*(D1033&gt;0)+01_Parametres!$B$5*(E1033&gt;0)+01_Parametres!$B$6*(F1033&gt;0))=0,"",(01_Parametres!$B$4*IF(D1033&gt;0,D1033,0)+01_Parametres!$B$5*IF(E1033&gt;0,E1033,0)+01_Parametres!$B$6*IF(F1033&gt;0,F1033,0))/(01_Parametres!$B$4*(D1033&gt;0)+01_Parametres!$B$5*(E1033&gt;0)+01_Parametres!$B$6*(F1033&gt;0))),IF(01_Parametres!$B$8=0,"",(01_Parametres!$B$4*D1033+01_Parametres!$B$5*E1033+01_Parametres!$B$6*F1033)/01_Parametres!$B$8)))</x:f>
      </x:c>
      <x:c r="H1033">
        <x:f>IFERROR(VLOOKUP(C1033,02_Referentiels!$A$20:$D$99,3,FALSE),"")</x:f>
      </x:c>
      <x:c r="I1033">
        <x:f>IFERROR(VLOOKUP(B1033,02_Referentiels!$A$5:$C$16,2,FALSE),"")</x:f>
      </x:c>
      <x:c r="J1033">
        <x:f>IF(A1033="","",IF(OR(D1033="",E1033="",F1033=""),1,IF(OR(D1033&lt;0,D1033&gt;3,E1033&lt;0,E1033&gt;3,F1033&lt;0,F1033&gt;3),1,0)))</x:f>
      </x:c>
      <x:c r="K1033">
        <x:f>IF(A1033="","",IF(G1033="",1,0))</x:f>
      </x:c>
      <x:c r="L1033">
        <x:f>IF(A1033="","",IF(COUNTIFS($A$5:$A$2004,A1033,$C$5:$C$2004,C1033)&gt;1,1,0))</x:f>
      </x:c>
    </x:row>
    <x:row r="1034">
      <x:c r="A1034" s="8" t="n"/>
      <x:c r="B1034" s="8" t="n"/>
      <x:c r="C1034" s="8" t="n"/>
      <x:c r="D1034" s="8" t="n"/>
      <x:c r="E1034" s="8" t="n"/>
      <x:c r="F1034" s="8" t="n"/>
      <x:c r="G1034" s="7">
        <x:f>IF(A1034="","",IF(01_Parametres!$B$11="Oui",IF((01_Parametres!$B$4*(D1034&gt;0)+01_Parametres!$B$5*(E1034&gt;0)+01_Parametres!$B$6*(F1034&gt;0))=0,"",(01_Parametres!$B$4*IF(D1034&gt;0,D1034,0)+01_Parametres!$B$5*IF(E1034&gt;0,E1034,0)+01_Parametres!$B$6*IF(F1034&gt;0,F1034,0))/(01_Parametres!$B$4*(D1034&gt;0)+01_Parametres!$B$5*(E1034&gt;0)+01_Parametres!$B$6*(F1034&gt;0))),IF(01_Parametres!$B$8=0,"",(01_Parametres!$B$4*D1034+01_Parametres!$B$5*E1034+01_Parametres!$B$6*F1034)/01_Parametres!$B$8)))</x:f>
      </x:c>
      <x:c r="H1034">
        <x:f>IFERROR(VLOOKUP(C1034,02_Referentiels!$A$20:$D$99,3,FALSE),"")</x:f>
      </x:c>
      <x:c r="I1034">
        <x:f>IFERROR(VLOOKUP(B1034,02_Referentiels!$A$5:$C$16,2,FALSE),"")</x:f>
      </x:c>
      <x:c r="J1034">
        <x:f>IF(A1034="","",IF(OR(D1034="",E1034="",F1034=""),1,IF(OR(D1034&lt;0,D1034&gt;3,E1034&lt;0,E1034&gt;3,F1034&lt;0,F1034&gt;3),1,0)))</x:f>
      </x:c>
      <x:c r="K1034">
        <x:f>IF(A1034="","",IF(G1034="",1,0))</x:f>
      </x:c>
      <x:c r="L1034">
        <x:f>IF(A1034="","",IF(COUNTIFS($A$5:$A$2004,A1034,$C$5:$C$2004,C1034)&gt;1,1,0))</x:f>
      </x:c>
    </x:row>
    <x:row r="1035">
      <x:c r="A1035" s="8" t="n"/>
      <x:c r="B1035" s="8" t="n"/>
      <x:c r="C1035" s="8" t="n"/>
      <x:c r="D1035" s="8" t="n"/>
      <x:c r="E1035" s="8" t="n"/>
      <x:c r="F1035" s="8" t="n"/>
      <x:c r="G1035" s="7">
        <x:f>IF(A1035="","",IF(01_Parametres!$B$11="Oui",IF((01_Parametres!$B$4*(D1035&gt;0)+01_Parametres!$B$5*(E1035&gt;0)+01_Parametres!$B$6*(F1035&gt;0))=0,"",(01_Parametres!$B$4*IF(D1035&gt;0,D1035,0)+01_Parametres!$B$5*IF(E1035&gt;0,E1035,0)+01_Parametres!$B$6*IF(F1035&gt;0,F1035,0))/(01_Parametres!$B$4*(D1035&gt;0)+01_Parametres!$B$5*(E1035&gt;0)+01_Parametres!$B$6*(F1035&gt;0))),IF(01_Parametres!$B$8=0,"",(01_Parametres!$B$4*D1035+01_Parametres!$B$5*E1035+01_Parametres!$B$6*F1035)/01_Parametres!$B$8)))</x:f>
      </x:c>
      <x:c r="H1035">
        <x:f>IFERROR(VLOOKUP(C1035,02_Referentiels!$A$20:$D$99,3,FALSE),"")</x:f>
      </x:c>
      <x:c r="I1035">
        <x:f>IFERROR(VLOOKUP(B1035,02_Referentiels!$A$5:$C$16,2,FALSE),"")</x:f>
      </x:c>
      <x:c r="J1035">
        <x:f>IF(A1035="","",IF(OR(D1035="",E1035="",F1035=""),1,IF(OR(D1035&lt;0,D1035&gt;3,E1035&lt;0,E1035&gt;3,F1035&lt;0,F1035&gt;3),1,0)))</x:f>
      </x:c>
      <x:c r="K1035">
        <x:f>IF(A1035="","",IF(G1035="",1,0))</x:f>
      </x:c>
      <x:c r="L1035">
        <x:f>IF(A1035="","",IF(COUNTIFS($A$5:$A$2004,A1035,$C$5:$C$2004,C1035)&gt;1,1,0))</x:f>
      </x:c>
    </x:row>
    <x:row r="1036">
      <x:c r="A1036" s="8" t="n"/>
      <x:c r="B1036" s="8" t="n"/>
      <x:c r="C1036" s="8" t="n"/>
      <x:c r="D1036" s="8" t="n"/>
      <x:c r="E1036" s="8" t="n"/>
      <x:c r="F1036" s="8" t="n"/>
      <x:c r="G1036" s="7">
        <x:f>IF(A1036="","",IF(01_Parametres!$B$11="Oui",IF((01_Parametres!$B$4*(D1036&gt;0)+01_Parametres!$B$5*(E1036&gt;0)+01_Parametres!$B$6*(F1036&gt;0))=0,"",(01_Parametres!$B$4*IF(D1036&gt;0,D1036,0)+01_Parametres!$B$5*IF(E1036&gt;0,E1036,0)+01_Parametres!$B$6*IF(F1036&gt;0,F1036,0))/(01_Parametres!$B$4*(D1036&gt;0)+01_Parametres!$B$5*(E1036&gt;0)+01_Parametres!$B$6*(F1036&gt;0))),IF(01_Parametres!$B$8=0,"",(01_Parametres!$B$4*D1036+01_Parametres!$B$5*E1036+01_Parametres!$B$6*F1036)/01_Parametres!$B$8)))</x:f>
      </x:c>
      <x:c r="H1036">
        <x:f>IFERROR(VLOOKUP(C1036,02_Referentiels!$A$20:$D$99,3,FALSE),"")</x:f>
      </x:c>
      <x:c r="I1036">
        <x:f>IFERROR(VLOOKUP(B1036,02_Referentiels!$A$5:$C$16,2,FALSE),"")</x:f>
      </x:c>
      <x:c r="J1036">
        <x:f>IF(A1036="","",IF(OR(D1036="",E1036="",F1036=""),1,IF(OR(D1036&lt;0,D1036&gt;3,E1036&lt;0,E1036&gt;3,F1036&lt;0,F1036&gt;3),1,0)))</x:f>
      </x:c>
      <x:c r="K1036">
        <x:f>IF(A1036="","",IF(G1036="",1,0))</x:f>
      </x:c>
      <x:c r="L1036">
        <x:f>IF(A1036="","",IF(COUNTIFS($A$5:$A$2004,A1036,$C$5:$C$2004,C1036)&gt;1,1,0))</x:f>
      </x:c>
    </x:row>
    <x:row r="1037">
      <x:c r="A1037" s="8" t="n"/>
      <x:c r="B1037" s="8" t="n"/>
      <x:c r="C1037" s="8" t="n"/>
      <x:c r="D1037" s="8" t="n"/>
      <x:c r="E1037" s="8" t="n"/>
      <x:c r="F1037" s="8" t="n"/>
      <x:c r="G1037" s="7">
        <x:f>IF(A1037="","",IF(01_Parametres!$B$11="Oui",IF((01_Parametres!$B$4*(D1037&gt;0)+01_Parametres!$B$5*(E1037&gt;0)+01_Parametres!$B$6*(F1037&gt;0))=0,"",(01_Parametres!$B$4*IF(D1037&gt;0,D1037,0)+01_Parametres!$B$5*IF(E1037&gt;0,E1037,0)+01_Parametres!$B$6*IF(F1037&gt;0,F1037,0))/(01_Parametres!$B$4*(D1037&gt;0)+01_Parametres!$B$5*(E1037&gt;0)+01_Parametres!$B$6*(F1037&gt;0))),IF(01_Parametres!$B$8=0,"",(01_Parametres!$B$4*D1037+01_Parametres!$B$5*E1037+01_Parametres!$B$6*F1037)/01_Parametres!$B$8)))</x:f>
      </x:c>
      <x:c r="H1037">
        <x:f>IFERROR(VLOOKUP(C1037,02_Referentiels!$A$20:$D$99,3,FALSE),"")</x:f>
      </x:c>
      <x:c r="I1037">
        <x:f>IFERROR(VLOOKUP(B1037,02_Referentiels!$A$5:$C$16,2,FALSE),"")</x:f>
      </x:c>
      <x:c r="J1037">
        <x:f>IF(A1037="","",IF(OR(D1037="",E1037="",F1037=""),1,IF(OR(D1037&lt;0,D1037&gt;3,E1037&lt;0,E1037&gt;3,F1037&lt;0,F1037&gt;3),1,0)))</x:f>
      </x:c>
      <x:c r="K1037">
        <x:f>IF(A1037="","",IF(G1037="",1,0))</x:f>
      </x:c>
      <x:c r="L1037">
        <x:f>IF(A1037="","",IF(COUNTIFS($A$5:$A$2004,A1037,$C$5:$C$2004,C1037)&gt;1,1,0))</x:f>
      </x:c>
    </x:row>
    <x:row r="1038">
      <x:c r="A1038" s="8" t="n"/>
      <x:c r="B1038" s="8" t="n"/>
      <x:c r="C1038" s="8" t="n"/>
      <x:c r="D1038" s="8" t="n"/>
      <x:c r="E1038" s="8" t="n"/>
      <x:c r="F1038" s="8" t="n"/>
      <x:c r="G1038" s="7">
        <x:f>IF(A1038="","",IF(01_Parametres!$B$11="Oui",IF((01_Parametres!$B$4*(D1038&gt;0)+01_Parametres!$B$5*(E1038&gt;0)+01_Parametres!$B$6*(F1038&gt;0))=0,"",(01_Parametres!$B$4*IF(D1038&gt;0,D1038,0)+01_Parametres!$B$5*IF(E1038&gt;0,E1038,0)+01_Parametres!$B$6*IF(F1038&gt;0,F1038,0))/(01_Parametres!$B$4*(D1038&gt;0)+01_Parametres!$B$5*(E1038&gt;0)+01_Parametres!$B$6*(F1038&gt;0))),IF(01_Parametres!$B$8=0,"",(01_Parametres!$B$4*D1038+01_Parametres!$B$5*E1038+01_Parametres!$B$6*F1038)/01_Parametres!$B$8)))</x:f>
      </x:c>
      <x:c r="H1038">
        <x:f>IFERROR(VLOOKUP(C1038,02_Referentiels!$A$20:$D$99,3,FALSE),"")</x:f>
      </x:c>
      <x:c r="I1038">
        <x:f>IFERROR(VLOOKUP(B1038,02_Referentiels!$A$5:$C$16,2,FALSE),"")</x:f>
      </x:c>
      <x:c r="J1038">
        <x:f>IF(A1038="","",IF(OR(D1038="",E1038="",F1038=""),1,IF(OR(D1038&lt;0,D1038&gt;3,E1038&lt;0,E1038&gt;3,F1038&lt;0,F1038&gt;3),1,0)))</x:f>
      </x:c>
      <x:c r="K1038">
        <x:f>IF(A1038="","",IF(G1038="",1,0))</x:f>
      </x:c>
      <x:c r="L1038">
        <x:f>IF(A1038="","",IF(COUNTIFS($A$5:$A$2004,A1038,$C$5:$C$2004,C1038)&gt;1,1,0))</x:f>
      </x:c>
    </x:row>
    <x:row r="1039">
      <x:c r="A1039" s="8" t="n"/>
      <x:c r="B1039" s="8" t="n"/>
      <x:c r="C1039" s="8" t="n"/>
      <x:c r="D1039" s="8" t="n"/>
      <x:c r="E1039" s="8" t="n"/>
      <x:c r="F1039" s="8" t="n"/>
      <x:c r="G1039" s="7">
        <x:f>IF(A1039="","",IF(01_Parametres!$B$11="Oui",IF((01_Parametres!$B$4*(D1039&gt;0)+01_Parametres!$B$5*(E1039&gt;0)+01_Parametres!$B$6*(F1039&gt;0))=0,"",(01_Parametres!$B$4*IF(D1039&gt;0,D1039,0)+01_Parametres!$B$5*IF(E1039&gt;0,E1039,0)+01_Parametres!$B$6*IF(F1039&gt;0,F1039,0))/(01_Parametres!$B$4*(D1039&gt;0)+01_Parametres!$B$5*(E1039&gt;0)+01_Parametres!$B$6*(F1039&gt;0))),IF(01_Parametres!$B$8=0,"",(01_Parametres!$B$4*D1039+01_Parametres!$B$5*E1039+01_Parametres!$B$6*F1039)/01_Parametres!$B$8)))</x:f>
      </x:c>
      <x:c r="H1039">
        <x:f>IFERROR(VLOOKUP(C1039,02_Referentiels!$A$20:$D$99,3,FALSE),"")</x:f>
      </x:c>
      <x:c r="I1039">
        <x:f>IFERROR(VLOOKUP(B1039,02_Referentiels!$A$5:$C$16,2,FALSE),"")</x:f>
      </x:c>
      <x:c r="J1039">
        <x:f>IF(A1039="","",IF(OR(D1039="",E1039="",F1039=""),1,IF(OR(D1039&lt;0,D1039&gt;3,E1039&lt;0,E1039&gt;3,F1039&lt;0,F1039&gt;3),1,0)))</x:f>
      </x:c>
      <x:c r="K1039">
        <x:f>IF(A1039="","",IF(G1039="",1,0))</x:f>
      </x:c>
      <x:c r="L1039">
        <x:f>IF(A1039="","",IF(COUNTIFS($A$5:$A$2004,A1039,$C$5:$C$2004,C1039)&gt;1,1,0))</x:f>
      </x:c>
    </x:row>
    <x:row r="1040">
      <x:c r="A1040" s="8" t="n"/>
      <x:c r="B1040" s="8" t="n"/>
      <x:c r="C1040" s="8" t="n"/>
      <x:c r="D1040" s="8" t="n"/>
      <x:c r="E1040" s="8" t="n"/>
      <x:c r="F1040" s="8" t="n"/>
      <x:c r="G1040" s="7">
        <x:f>IF(A1040="","",IF(01_Parametres!$B$11="Oui",IF((01_Parametres!$B$4*(D1040&gt;0)+01_Parametres!$B$5*(E1040&gt;0)+01_Parametres!$B$6*(F1040&gt;0))=0,"",(01_Parametres!$B$4*IF(D1040&gt;0,D1040,0)+01_Parametres!$B$5*IF(E1040&gt;0,E1040,0)+01_Parametres!$B$6*IF(F1040&gt;0,F1040,0))/(01_Parametres!$B$4*(D1040&gt;0)+01_Parametres!$B$5*(E1040&gt;0)+01_Parametres!$B$6*(F1040&gt;0))),IF(01_Parametres!$B$8=0,"",(01_Parametres!$B$4*D1040+01_Parametres!$B$5*E1040+01_Parametres!$B$6*F1040)/01_Parametres!$B$8)))</x:f>
      </x:c>
      <x:c r="H1040">
        <x:f>IFERROR(VLOOKUP(C1040,02_Referentiels!$A$20:$D$99,3,FALSE),"")</x:f>
      </x:c>
      <x:c r="I1040">
        <x:f>IFERROR(VLOOKUP(B1040,02_Referentiels!$A$5:$C$16,2,FALSE),"")</x:f>
      </x:c>
      <x:c r="J1040">
        <x:f>IF(A1040="","",IF(OR(D1040="",E1040="",F1040=""),1,IF(OR(D1040&lt;0,D1040&gt;3,E1040&lt;0,E1040&gt;3,F1040&lt;0,F1040&gt;3),1,0)))</x:f>
      </x:c>
      <x:c r="K1040">
        <x:f>IF(A1040="","",IF(G1040="",1,0))</x:f>
      </x:c>
      <x:c r="L1040">
        <x:f>IF(A1040="","",IF(COUNTIFS($A$5:$A$2004,A1040,$C$5:$C$2004,C1040)&gt;1,1,0))</x:f>
      </x:c>
    </x:row>
    <x:row r="1041">
      <x:c r="A1041" s="8" t="n"/>
      <x:c r="B1041" s="8" t="n"/>
      <x:c r="C1041" s="8" t="n"/>
      <x:c r="D1041" s="8" t="n"/>
      <x:c r="E1041" s="8" t="n"/>
      <x:c r="F1041" s="8" t="n"/>
      <x:c r="G1041" s="7">
        <x:f>IF(A1041="","",IF(01_Parametres!$B$11="Oui",IF((01_Parametres!$B$4*(D1041&gt;0)+01_Parametres!$B$5*(E1041&gt;0)+01_Parametres!$B$6*(F1041&gt;0))=0,"",(01_Parametres!$B$4*IF(D1041&gt;0,D1041,0)+01_Parametres!$B$5*IF(E1041&gt;0,E1041,0)+01_Parametres!$B$6*IF(F1041&gt;0,F1041,0))/(01_Parametres!$B$4*(D1041&gt;0)+01_Parametres!$B$5*(E1041&gt;0)+01_Parametres!$B$6*(F1041&gt;0))),IF(01_Parametres!$B$8=0,"",(01_Parametres!$B$4*D1041+01_Parametres!$B$5*E1041+01_Parametres!$B$6*F1041)/01_Parametres!$B$8)))</x:f>
      </x:c>
      <x:c r="H1041">
        <x:f>IFERROR(VLOOKUP(C1041,02_Referentiels!$A$20:$D$99,3,FALSE),"")</x:f>
      </x:c>
      <x:c r="I1041">
        <x:f>IFERROR(VLOOKUP(B1041,02_Referentiels!$A$5:$C$16,2,FALSE),"")</x:f>
      </x:c>
      <x:c r="J1041">
        <x:f>IF(A1041="","",IF(OR(D1041="",E1041="",F1041=""),1,IF(OR(D1041&lt;0,D1041&gt;3,E1041&lt;0,E1041&gt;3,F1041&lt;0,F1041&gt;3),1,0)))</x:f>
      </x:c>
      <x:c r="K1041">
        <x:f>IF(A1041="","",IF(G1041="",1,0))</x:f>
      </x:c>
      <x:c r="L1041">
        <x:f>IF(A1041="","",IF(COUNTIFS($A$5:$A$2004,A1041,$C$5:$C$2004,C1041)&gt;1,1,0))</x:f>
      </x:c>
    </x:row>
    <x:row r="1042">
      <x:c r="A1042" s="8" t="n"/>
      <x:c r="B1042" s="8" t="n"/>
      <x:c r="C1042" s="8" t="n"/>
      <x:c r="D1042" s="8" t="n"/>
      <x:c r="E1042" s="8" t="n"/>
      <x:c r="F1042" s="8" t="n"/>
      <x:c r="G1042" s="7">
        <x:f>IF(A1042="","",IF(01_Parametres!$B$11="Oui",IF((01_Parametres!$B$4*(D1042&gt;0)+01_Parametres!$B$5*(E1042&gt;0)+01_Parametres!$B$6*(F1042&gt;0))=0,"",(01_Parametres!$B$4*IF(D1042&gt;0,D1042,0)+01_Parametres!$B$5*IF(E1042&gt;0,E1042,0)+01_Parametres!$B$6*IF(F1042&gt;0,F1042,0))/(01_Parametres!$B$4*(D1042&gt;0)+01_Parametres!$B$5*(E1042&gt;0)+01_Parametres!$B$6*(F1042&gt;0))),IF(01_Parametres!$B$8=0,"",(01_Parametres!$B$4*D1042+01_Parametres!$B$5*E1042+01_Parametres!$B$6*F1042)/01_Parametres!$B$8)))</x:f>
      </x:c>
      <x:c r="H1042">
        <x:f>IFERROR(VLOOKUP(C1042,02_Referentiels!$A$20:$D$99,3,FALSE),"")</x:f>
      </x:c>
      <x:c r="I1042">
        <x:f>IFERROR(VLOOKUP(B1042,02_Referentiels!$A$5:$C$16,2,FALSE),"")</x:f>
      </x:c>
      <x:c r="J1042">
        <x:f>IF(A1042="","",IF(OR(D1042="",E1042="",F1042=""),1,IF(OR(D1042&lt;0,D1042&gt;3,E1042&lt;0,E1042&gt;3,F1042&lt;0,F1042&gt;3),1,0)))</x:f>
      </x:c>
      <x:c r="K1042">
        <x:f>IF(A1042="","",IF(G1042="",1,0))</x:f>
      </x:c>
      <x:c r="L1042">
        <x:f>IF(A1042="","",IF(COUNTIFS($A$5:$A$2004,A1042,$C$5:$C$2004,C1042)&gt;1,1,0))</x:f>
      </x:c>
    </x:row>
    <x:row r="1043">
      <x:c r="A1043" s="8" t="n"/>
      <x:c r="B1043" s="8" t="n"/>
      <x:c r="C1043" s="8" t="n"/>
      <x:c r="D1043" s="8" t="n"/>
      <x:c r="E1043" s="8" t="n"/>
      <x:c r="F1043" s="8" t="n"/>
      <x:c r="G1043" s="7">
        <x:f>IF(A1043="","",IF(01_Parametres!$B$11="Oui",IF((01_Parametres!$B$4*(D1043&gt;0)+01_Parametres!$B$5*(E1043&gt;0)+01_Parametres!$B$6*(F1043&gt;0))=0,"",(01_Parametres!$B$4*IF(D1043&gt;0,D1043,0)+01_Parametres!$B$5*IF(E1043&gt;0,E1043,0)+01_Parametres!$B$6*IF(F1043&gt;0,F1043,0))/(01_Parametres!$B$4*(D1043&gt;0)+01_Parametres!$B$5*(E1043&gt;0)+01_Parametres!$B$6*(F1043&gt;0))),IF(01_Parametres!$B$8=0,"",(01_Parametres!$B$4*D1043+01_Parametres!$B$5*E1043+01_Parametres!$B$6*F1043)/01_Parametres!$B$8)))</x:f>
      </x:c>
      <x:c r="H1043">
        <x:f>IFERROR(VLOOKUP(C1043,02_Referentiels!$A$20:$D$99,3,FALSE),"")</x:f>
      </x:c>
      <x:c r="I1043">
        <x:f>IFERROR(VLOOKUP(B1043,02_Referentiels!$A$5:$C$16,2,FALSE),"")</x:f>
      </x:c>
      <x:c r="J1043">
        <x:f>IF(A1043="","",IF(OR(D1043="",E1043="",F1043=""),1,IF(OR(D1043&lt;0,D1043&gt;3,E1043&lt;0,E1043&gt;3,F1043&lt;0,F1043&gt;3),1,0)))</x:f>
      </x:c>
      <x:c r="K1043">
        <x:f>IF(A1043="","",IF(G1043="",1,0))</x:f>
      </x:c>
      <x:c r="L1043">
        <x:f>IF(A1043="","",IF(COUNTIFS($A$5:$A$2004,A1043,$C$5:$C$2004,C1043)&gt;1,1,0))</x:f>
      </x:c>
    </x:row>
    <x:row r="1044">
      <x:c r="A1044" s="8" t="n"/>
      <x:c r="B1044" s="8" t="n"/>
      <x:c r="C1044" s="8" t="n"/>
      <x:c r="D1044" s="8" t="n"/>
      <x:c r="E1044" s="8" t="n"/>
      <x:c r="F1044" s="8" t="n"/>
      <x:c r="G1044" s="7">
        <x:f>IF(A1044="","",IF(01_Parametres!$B$11="Oui",IF((01_Parametres!$B$4*(D1044&gt;0)+01_Parametres!$B$5*(E1044&gt;0)+01_Parametres!$B$6*(F1044&gt;0))=0,"",(01_Parametres!$B$4*IF(D1044&gt;0,D1044,0)+01_Parametres!$B$5*IF(E1044&gt;0,E1044,0)+01_Parametres!$B$6*IF(F1044&gt;0,F1044,0))/(01_Parametres!$B$4*(D1044&gt;0)+01_Parametres!$B$5*(E1044&gt;0)+01_Parametres!$B$6*(F1044&gt;0))),IF(01_Parametres!$B$8=0,"",(01_Parametres!$B$4*D1044+01_Parametres!$B$5*E1044+01_Parametres!$B$6*F1044)/01_Parametres!$B$8)))</x:f>
      </x:c>
      <x:c r="H1044">
        <x:f>IFERROR(VLOOKUP(C1044,02_Referentiels!$A$20:$D$99,3,FALSE),"")</x:f>
      </x:c>
      <x:c r="I1044">
        <x:f>IFERROR(VLOOKUP(B1044,02_Referentiels!$A$5:$C$16,2,FALSE),"")</x:f>
      </x:c>
      <x:c r="J1044">
        <x:f>IF(A1044="","",IF(OR(D1044="",E1044="",F1044=""),1,IF(OR(D1044&lt;0,D1044&gt;3,E1044&lt;0,E1044&gt;3,F1044&lt;0,F1044&gt;3),1,0)))</x:f>
      </x:c>
      <x:c r="K1044">
        <x:f>IF(A1044="","",IF(G1044="",1,0))</x:f>
      </x:c>
      <x:c r="L1044">
        <x:f>IF(A1044="","",IF(COUNTIFS($A$5:$A$2004,A1044,$C$5:$C$2004,C1044)&gt;1,1,0))</x:f>
      </x:c>
    </x:row>
    <x:row r="1045">
      <x:c r="A1045" s="8" t="n"/>
      <x:c r="B1045" s="8" t="n"/>
      <x:c r="C1045" s="8" t="n"/>
      <x:c r="D1045" s="8" t="n"/>
      <x:c r="E1045" s="8" t="n"/>
      <x:c r="F1045" s="8" t="n"/>
      <x:c r="G1045" s="7">
        <x:f>IF(A1045="","",IF(01_Parametres!$B$11="Oui",IF((01_Parametres!$B$4*(D1045&gt;0)+01_Parametres!$B$5*(E1045&gt;0)+01_Parametres!$B$6*(F1045&gt;0))=0,"",(01_Parametres!$B$4*IF(D1045&gt;0,D1045,0)+01_Parametres!$B$5*IF(E1045&gt;0,E1045,0)+01_Parametres!$B$6*IF(F1045&gt;0,F1045,0))/(01_Parametres!$B$4*(D1045&gt;0)+01_Parametres!$B$5*(E1045&gt;0)+01_Parametres!$B$6*(F1045&gt;0))),IF(01_Parametres!$B$8=0,"",(01_Parametres!$B$4*D1045+01_Parametres!$B$5*E1045+01_Parametres!$B$6*F1045)/01_Parametres!$B$8)))</x:f>
      </x:c>
      <x:c r="H1045">
        <x:f>IFERROR(VLOOKUP(C1045,02_Referentiels!$A$20:$D$99,3,FALSE),"")</x:f>
      </x:c>
      <x:c r="I1045">
        <x:f>IFERROR(VLOOKUP(B1045,02_Referentiels!$A$5:$C$16,2,FALSE),"")</x:f>
      </x:c>
      <x:c r="J1045">
        <x:f>IF(A1045="","",IF(OR(D1045="",E1045="",F1045=""),1,IF(OR(D1045&lt;0,D1045&gt;3,E1045&lt;0,E1045&gt;3,F1045&lt;0,F1045&gt;3),1,0)))</x:f>
      </x:c>
      <x:c r="K1045">
        <x:f>IF(A1045="","",IF(G1045="",1,0))</x:f>
      </x:c>
      <x:c r="L1045">
        <x:f>IF(A1045="","",IF(COUNTIFS($A$5:$A$2004,A1045,$C$5:$C$2004,C1045)&gt;1,1,0))</x:f>
      </x:c>
    </x:row>
    <x:row r="1046">
      <x:c r="A1046" s="8" t="n"/>
      <x:c r="B1046" s="8" t="n"/>
      <x:c r="C1046" s="8" t="n"/>
      <x:c r="D1046" s="8" t="n"/>
      <x:c r="E1046" s="8" t="n"/>
      <x:c r="F1046" s="8" t="n"/>
      <x:c r="G1046" s="7">
        <x:f>IF(A1046="","",IF(01_Parametres!$B$11="Oui",IF((01_Parametres!$B$4*(D1046&gt;0)+01_Parametres!$B$5*(E1046&gt;0)+01_Parametres!$B$6*(F1046&gt;0))=0,"",(01_Parametres!$B$4*IF(D1046&gt;0,D1046,0)+01_Parametres!$B$5*IF(E1046&gt;0,E1046,0)+01_Parametres!$B$6*IF(F1046&gt;0,F1046,0))/(01_Parametres!$B$4*(D1046&gt;0)+01_Parametres!$B$5*(E1046&gt;0)+01_Parametres!$B$6*(F1046&gt;0))),IF(01_Parametres!$B$8=0,"",(01_Parametres!$B$4*D1046+01_Parametres!$B$5*E1046+01_Parametres!$B$6*F1046)/01_Parametres!$B$8)))</x:f>
      </x:c>
      <x:c r="H1046">
        <x:f>IFERROR(VLOOKUP(C1046,02_Referentiels!$A$20:$D$99,3,FALSE),"")</x:f>
      </x:c>
      <x:c r="I1046">
        <x:f>IFERROR(VLOOKUP(B1046,02_Referentiels!$A$5:$C$16,2,FALSE),"")</x:f>
      </x:c>
      <x:c r="J1046">
        <x:f>IF(A1046="","",IF(OR(D1046="",E1046="",F1046=""),1,IF(OR(D1046&lt;0,D1046&gt;3,E1046&lt;0,E1046&gt;3,F1046&lt;0,F1046&gt;3),1,0)))</x:f>
      </x:c>
      <x:c r="K1046">
        <x:f>IF(A1046="","",IF(G1046="",1,0))</x:f>
      </x:c>
      <x:c r="L1046">
        <x:f>IF(A1046="","",IF(COUNTIFS($A$5:$A$2004,A1046,$C$5:$C$2004,C1046)&gt;1,1,0))</x:f>
      </x:c>
    </x:row>
    <x:row r="1047">
      <x:c r="A1047" s="8" t="n"/>
      <x:c r="B1047" s="8" t="n"/>
      <x:c r="C1047" s="8" t="n"/>
      <x:c r="D1047" s="8" t="n"/>
      <x:c r="E1047" s="8" t="n"/>
      <x:c r="F1047" s="8" t="n"/>
      <x:c r="G1047" s="7">
        <x:f>IF(A1047="","",IF(01_Parametres!$B$11="Oui",IF((01_Parametres!$B$4*(D1047&gt;0)+01_Parametres!$B$5*(E1047&gt;0)+01_Parametres!$B$6*(F1047&gt;0))=0,"",(01_Parametres!$B$4*IF(D1047&gt;0,D1047,0)+01_Parametres!$B$5*IF(E1047&gt;0,E1047,0)+01_Parametres!$B$6*IF(F1047&gt;0,F1047,0))/(01_Parametres!$B$4*(D1047&gt;0)+01_Parametres!$B$5*(E1047&gt;0)+01_Parametres!$B$6*(F1047&gt;0))),IF(01_Parametres!$B$8=0,"",(01_Parametres!$B$4*D1047+01_Parametres!$B$5*E1047+01_Parametres!$B$6*F1047)/01_Parametres!$B$8)))</x:f>
      </x:c>
      <x:c r="H1047">
        <x:f>IFERROR(VLOOKUP(C1047,02_Referentiels!$A$20:$D$99,3,FALSE),"")</x:f>
      </x:c>
      <x:c r="I1047">
        <x:f>IFERROR(VLOOKUP(B1047,02_Referentiels!$A$5:$C$16,2,FALSE),"")</x:f>
      </x:c>
      <x:c r="J1047">
        <x:f>IF(A1047="","",IF(OR(D1047="",E1047="",F1047=""),1,IF(OR(D1047&lt;0,D1047&gt;3,E1047&lt;0,E1047&gt;3,F1047&lt;0,F1047&gt;3),1,0)))</x:f>
      </x:c>
      <x:c r="K1047">
        <x:f>IF(A1047="","",IF(G1047="",1,0))</x:f>
      </x:c>
      <x:c r="L1047">
        <x:f>IF(A1047="","",IF(COUNTIFS($A$5:$A$2004,A1047,$C$5:$C$2004,C1047)&gt;1,1,0))</x:f>
      </x:c>
    </x:row>
    <x:row r="1048">
      <x:c r="A1048" s="8" t="n"/>
      <x:c r="B1048" s="8" t="n"/>
      <x:c r="C1048" s="8" t="n"/>
      <x:c r="D1048" s="8" t="n"/>
      <x:c r="E1048" s="8" t="n"/>
      <x:c r="F1048" s="8" t="n"/>
      <x:c r="G1048" s="7">
        <x:f>IF(A1048="","",IF(01_Parametres!$B$11="Oui",IF((01_Parametres!$B$4*(D1048&gt;0)+01_Parametres!$B$5*(E1048&gt;0)+01_Parametres!$B$6*(F1048&gt;0))=0,"",(01_Parametres!$B$4*IF(D1048&gt;0,D1048,0)+01_Parametres!$B$5*IF(E1048&gt;0,E1048,0)+01_Parametres!$B$6*IF(F1048&gt;0,F1048,0))/(01_Parametres!$B$4*(D1048&gt;0)+01_Parametres!$B$5*(E1048&gt;0)+01_Parametres!$B$6*(F1048&gt;0))),IF(01_Parametres!$B$8=0,"",(01_Parametres!$B$4*D1048+01_Parametres!$B$5*E1048+01_Parametres!$B$6*F1048)/01_Parametres!$B$8)))</x:f>
      </x:c>
      <x:c r="H1048">
        <x:f>IFERROR(VLOOKUP(C1048,02_Referentiels!$A$20:$D$99,3,FALSE),"")</x:f>
      </x:c>
      <x:c r="I1048">
        <x:f>IFERROR(VLOOKUP(B1048,02_Referentiels!$A$5:$C$16,2,FALSE),"")</x:f>
      </x:c>
      <x:c r="J1048">
        <x:f>IF(A1048="","",IF(OR(D1048="",E1048="",F1048=""),1,IF(OR(D1048&lt;0,D1048&gt;3,E1048&lt;0,E1048&gt;3,F1048&lt;0,F1048&gt;3),1,0)))</x:f>
      </x:c>
      <x:c r="K1048">
        <x:f>IF(A1048="","",IF(G1048="",1,0))</x:f>
      </x:c>
      <x:c r="L1048">
        <x:f>IF(A1048="","",IF(COUNTIFS($A$5:$A$2004,A1048,$C$5:$C$2004,C1048)&gt;1,1,0))</x:f>
      </x:c>
    </x:row>
    <x:row r="1049">
      <x:c r="A1049" s="8" t="n"/>
      <x:c r="B1049" s="8" t="n"/>
      <x:c r="C1049" s="8" t="n"/>
      <x:c r="D1049" s="8" t="n"/>
      <x:c r="E1049" s="8" t="n"/>
      <x:c r="F1049" s="8" t="n"/>
      <x:c r="G1049" s="7">
        <x:f>IF(A1049="","",IF(01_Parametres!$B$11="Oui",IF((01_Parametres!$B$4*(D1049&gt;0)+01_Parametres!$B$5*(E1049&gt;0)+01_Parametres!$B$6*(F1049&gt;0))=0,"",(01_Parametres!$B$4*IF(D1049&gt;0,D1049,0)+01_Parametres!$B$5*IF(E1049&gt;0,E1049,0)+01_Parametres!$B$6*IF(F1049&gt;0,F1049,0))/(01_Parametres!$B$4*(D1049&gt;0)+01_Parametres!$B$5*(E1049&gt;0)+01_Parametres!$B$6*(F1049&gt;0))),IF(01_Parametres!$B$8=0,"",(01_Parametres!$B$4*D1049+01_Parametres!$B$5*E1049+01_Parametres!$B$6*F1049)/01_Parametres!$B$8)))</x:f>
      </x:c>
      <x:c r="H1049">
        <x:f>IFERROR(VLOOKUP(C1049,02_Referentiels!$A$20:$D$99,3,FALSE),"")</x:f>
      </x:c>
      <x:c r="I1049">
        <x:f>IFERROR(VLOOKUP(B1049,02_Referentiels!$A$5:$C$16,2,FALSE),"")</x:f>
      </x:c>
      <x:c r="J1049">
        <x:f>IF(A1049="","",IF(OR(D1049="",E1049="",F1049=""),1,IF(OR(D1049&lt;0,D1049&gt;3,E1049&lt;0,E1049&gt;3,F1049&lt;0,F1049&gt;3),1,0)))</x:f>
      </x:c>
      <x:c r="K1049">
        <x:f>IF(A1049="","",IF(G1049="",1,0))</x:f>
      </x:c>
      <x:c r="L1049">
        <x:f>IF(A1049="","",IF(COUNTIFS($A$5:$A$2004,A1049,$C$5:$C$2004,C1049)&gt;1,1,0))</x:f>
      </x:c>
    </x:row>
    <x:row r="1050">
      <x:c r="A1050" s="8" t="n"/>
      <x:c r="B1050" s="8" t="n"/>
      <x:c r="C1050" s="8" t="n"/>
      <x:c r="D1050" s="8" t="n"/>
      <x:c r="E1050" s="8" t="n"/>
      <x:c r="F1050" s="8" t="n"/>
      <x:c r="G1050" s="7">
        <x:f>IF(A1050="","",IF(01_Parametres!$B$11="Oui",IF((01_Parametres!$B$4*(D1050&gt;0)+01_Parametres!$B$5*(E1050&gt;0)+01_Parametres!$B$6*(F1050&gt;0))=0,"",(01_Parametres!$B$4*IF(D1050&gt;0,D1050,0)+01_Parametres!$B$5*IF(E1050&gt;0,E1050,0)+01_Parametres!$B$6*IF(F1050&gt;0,F1050,0))/(01_Parametres!$B$4*(D1050&gt;0)+01_Parametres!$B$5*(E1050&gt;0)+01_Parametres!$B$6*(F1050&gt;0))),IF(01_Parametres!$B$8=0,"",(01_Parametres!$B$4*D1050+01_Parametres!$B$5*E1050+01_Parametres!$B$6*F1050)/01_Parametres!$B$8)))</x:f>
      </x:c>
      <x:c r="H1050">
        <x:f>IFERROR(VLOOKUP(C1050,02_Referentiels!$A$20:$D$99,3,FALSE),"")</x:f>
      </x:c>
      <x:c r="I1050">
        <x:f>IFERROR(VLOOKUP(B1050,02_Referentiels!$A$5:$C$16,2,FALSE),"")</x:f>
      </x:c>
      <x:c r="J1050">
        <x:f>IF(A1050="","",IF(OR(D1050="",E1050="",F1050=""),1,IF(OR(D1050&lt;0,D1050&gt;3,E1050&lt;0,E1050&gt;3,F1050&lt;0,F1050&gt;3),1,0)))</x:f>
      </x:c>
      <x:c r="K1050">
        <x:f>IF(A1050="","",IF(G1050="",1,0))</x:f>
      </x:c>
      <x:c r="L1050">
        <x:f>IF(A1050="","",IF(COUNTIFS($A$5:$A$2004,A1050,$C$5:$C$2004,C1050)&gt;1,1,0))</x:f>
      </x:c>
    </x:row>
    <x:row r="1051">
      <x:c r="A1051" s="8" t="n"/>
      <x:c r="B1051" s="8" t="n"/>
      <x:c r="C1051" s="8" t="n"/>
      <x:c r="D1051" s="8" t="n"/>
      <x:c r="E1051" s="8" t="n"/>
      <x:c r="F1051" s="8" t="n"/>
      <x:c r="G1051" s="7">
        <x:f>IF(A1051="","",IF(01_Parametres!$B$11="Oui",IF((01_Parametres!$B$4*(D1051&gt;0)+01_Parametres!$B$5*(E1051&gt;0)+01_Parametres!$B$6*(F1051&gt;0))=0,"",(01_Parametres!$B$4*IF(D1051&gt;0,D1051,0)+01_Parametres!$B$5*IF(E1051&gt;0,E1051,0)+01_Parametres!$B$6*IF(F1051&gt;0,F1051,0))/(01_Parametres!$B$4*(D1051&gt;0)+01_Parametres!$B$5*(E1051&gt;0)+01_Parametres!$B$6*(F1051&gt;0))),IF(01_Parametres!$B$8=0,"",(01_Parametres!$B$4*D1051+01_Parametres!$B$5*E1051+01_Parametres!$B$6*F1051)/01_Parametres!$B$8)))</x:f>
      </x:c>
      <x:c r="H1051">
        <x:f>IFERROR(VLOOKUP(C1051,02_Referentiels!$A$20:$D$99,3,FALSE),"")</x:f>
      </x:c>
      <x:c r="I1051">
        <x:f>IFERROR(VLOOKUP(B1051,02_Referentiels!$A$5:$C$16,2,FALSE),"")</x:f>
      </x:c>
      <x:c r="J1051">
        <x:f>IF(A1051="","",IF(OR(D1051="",E1051="",F1051=""),1,IF(OR(D1051&lt;0,D1051&gt;3,E1051&lt;0,E1051&gt;3,F1051&lt;0,F1051&gt;3),1,0)))</x:f>
      </x:c>
      <x:c r="K1051">
        <x:f>IF(A1051="","",IF(G1051="",1,0))</x:f>
      </x:c>
      <x:c r="L1051">
        <x:f>IF(A1051="","",IF(COUNTIFS($A$5:$A$2004,A1051,$C$5:$C$2004,C1051)&gt;1,1,0))</x:f>
      </x:c>
    </x:row>
    <x:row r="1052">
      <x:c r="A1052" s="8" t="n"/>
      <x:c r="B1052" s="8" t="n"/>
      <x:c r="C1052" s="8" t="n"/>
      <x:c r="D1052" s="8" t="n"/>
      <x:c r="E1052" s="8" t="n"/>
      <x:c r="F1052" s="8" t="n"/>
      <x:c r="G1052" s="7">
        <x:f>IF(A1052="","",IF(01_Parametres!$B$11="Oui",IF((01_Parametres!$B$4*(D1052&gt;0)+01_Parametres!$B$5*(E1052&gt;0)+01_Parametres!$B$6*(F1052&gt;0))=0,"",(01_Parametres!$B$4*IF(D1052&gt;0,D1052,0)+01_Parametres!$B$5*IF(E1052&gt;0,E1052,0)+01_Parametres!$B$6*IF(F1052&gt;0,F1052,0))/(01_Parametres!$B$4*(D1052&gt;0)+01_Parametres!$B$5*(E1052&gt;0)+01_Parametres!$B$6*(F1052&gt;0))),IF(01_Parametres!$B$8=0,"",(01_Parametres!$B$4*D1052+01_Parametres!$B$5*E1052+01_Parametres!$B$6*F1052)/01_Parametres!$B$8)))</x:f>
      </x:c>
      <x:c r="H1052">
        <x:f>IFERROR(VLOOKUP(C1052,02_Referentiels!$A$20:$D$99,3,FALSE),"")</x:f>
      </x:c>
      <x:c r="I1052">
        <x:f>IFERROR(VLOOKUP(B1052,02_Referentiels!$A$5:$C$16,2,FALSE),"")</x:f>
      </x:c>
      <x:c r="J1052">
        <x:f>IF(A1052="","",IF(OR(D1052="",E1052="",F1052=""),1,IF(OR(D1052&lt;0,D1052&gt;3,E1052&lt;0,E1052&gt;3,F1052&lt;0,F1052&gt;3),1,0)))</x:f>
      </x:c>
      <x:c r="K1052">
        <x:f>IF(A1052="","",IF(G1052="",1,0))</x:f>
      </x:c>
      <x:c r="L1052">
        <x:f>IF(A1052="","",IF(COUNTIFS($A$5:$A$2004,A1052,$C$5:$C$2004,C1052)&gt;1,1,0))</x:f>
      </x:c>
    </x:row>
    <x:row r="1053">
      <x:c r="A1053" s="8" t="n"/>
      <x:c r="B1053" s="8" t="n"/>
      <x:c r="C1053" s="8" t="n"/>
      <x:c r="D1053" s="8" t="n"/>
      <x:c r="E1053" s="8" t="n"/>
      <x:c r="F1053" s="8" t="n"/>
      <x:c r="G1053" s="7">
        <x:f>IF(A1053="","",IF(01_Parametres!$B$11="Oui",IF((01_Parametres!$B$4*(D1053&gt;0)+01_Parametres!$B$5*(E1053&gt;0)+01_Parametres!$B$6*(F1053&gt;0))=0,"",(01_Parametres!$B$4*IF(D1053&gt;0,D1053,0)+01_Parametres!$B$5*IF(E1053&gt;0,E1053,0)+01_Parametres!$B$6*IF(F1053&gt;0,F1053,0))/(01_Parametres!$B$4*(D1053&gt;0)+01_Parametres!$B$5*(E1053&gt;0)+01_Parametres!$B$6*(F1053&gt;0))),IF(01_Parametres!$B$8=0,"",(01_Parametres!$B$4*D1053+01_Parametres!$B$5*E1053+01_Parametres!$B$6*F1053)/01_Parametres!$B$8)))</x:f>
      </x:c>
      <x:c r="H1053">
        <x:f>IFERROR(VLOOKUP(C1053,02_Referentiels!$A$20:$D$99,3,FALSE),"")</x:f>
      </x:c>
      <x:c r="I1053">
        <x:f>IFERROR(VLOOKUP(B1053,02_Referentiels!$A$5:$C$16,2,FALSE),"")</x:f>
      </x:c>
      <x:c r="J1053">
        <x:f>IF(A1053="","",IF(OR(D1053="",E1053="",F1053=""),1,IF(OR(D1053&lt;0,D1053&gt;3,E1053&lt;0,E1053&gt;3,F1053&lt;0,F1053&gt;3),1,0)))</x:f>
      </x:c>
      <x:c r="K1053">
        <x:f>IF(A1053="","",IF(G1053="",1,0))</x:f>
      </x:c>
      <x:c r="L1053">
        <x:f>IF(A1053="","",IF(COUNTIFS($A$5:$A$2004,A1053,$C$5:$C$2004,C1053)&gt;1,1,0))</x:f>
      </x:c>
    </x:row>
    <x:row r="1054">
      <x:c r="A1054" s="8" t="n"/>
      <x:c r="B1054" s="8" t="n"/>
      <x:c r="C1054" s="8" t="n"/>
      <x:c r="D1054" s="8" t="n"/>
      <x:c r="E1054" s="8" t="n"/>
      <x:c r="F1054" s="8" t="n"/>
      <x:c r="G1054" s="7">
        <x:f>IF(A1054="","",IF(01_Parametres!$B$11="Oui",IF((01_Parametres!$B$4*(D1054&gt;0)+01_Parametres!$B$5*(E1054&gt;0)+01_Parametres!$B$6*(F1054&gt;0))=0,"",(01_Parametres!$B$4*IF(D1054&gt;0,D1054,0)+01_Parametres!$B$5*IF(E1054&gt;0,E1054,0)+01_Parametres!$B$6*IF(F1054&gt;0,F1054,0))/(01_Parametres!$B$4*(D1054&gt;0)+01_Parametres!$B$5*(E1054&gt;0)+01_Parametres!$B$6*(F1054&gt;0))),IF(01_Parametres!$B$8=0,"",(01_Parametres!$B$4*D1054+01_Parametres!$B$5*E1054+01_Parametres!$B$6*F1054)/01_Parametres!$B$8)))</x:f>
      </x:c>
      <x:c r="H1054">
        <x:f>IFERROR(VLOOKUP(C1054,02_Referentiels!$A$20:$D$99,3,FALSE),"")</x:f>
      </x:c>
      <x:c r="I1054">
        <x:f>IFERROR(VLOOKUP(B1054,02_Referentiels!$A$5:$C$16,2,FALSE),"")</x:f>
      </x:c>
      <x:c r="J1054">
        <x:f>IF(A1054="","",IF(OR(D1054="",E1054="",F1054=""),1,IF(OR(D1054&lt;0,D1054&gt;3,E1054&lt;0,E1054&gt;3,F1054&lt;0,F1054&gt;3),1,0)))</x:f>
      </x:c>
      <x:c r="K1054">
        <x:f>IF(A1054="","",IF(G1054="",1,0))</x:f>
      </x:c>
      <x:c r="L1054">
        <x:f>IF(A1054="","",IF(COUNTIFS($A$5:$A$2004,A1054,$C$5:$C$2004,C1054)&gt;1,1,0))</x:f>
      </x:c>
    </x:row>
    <x:row r="1055">
      <x:c r="A1055" s="8" t="n"/>
      <x:c r="B1055" s="8" t="n"/>
      <x:c r="C1055" s="8" t="n"/>
      <x:c r="D1055" s="8" t="n"/>
      <x:c r="E1055" s="8" t="n"/>
      <x:c r="F1055" s="8" t="n"/>
      <x:c r="G1055" s="7">
        <x:f>IF(A1055="","",IF(01_Parametres!$B$11="Oui",IF((01_Parametres!$B$4*(D1055&gt;0)+01_Parametres!$B$5*(E1055&gt;0)+01_Parametres!$B$6*(F1055&gt;0))=0,"",(01_Parametres!$B$4*IF(D1055&gt;0,D1055,0)+01_Parametres!$B$5*IF(E1055&gt;0,E1055,0)+01_Parametres!$B$6*IF(F1055&gt;0,F1055,0))/(01_Parametres!$B$4*(D1055&gt;0)+01_Parametres!$B$5*(E1055&gt;0)+01_Parametres!$B$6*(F1055&gt;0))),IF(01_Parametres!$B$8=0,"",(01_Parametres!$B$4*D1055+01_Parametres!$B$5*E1055+01_Parametres!$B$6*F1055)/01_Parametres!$B$8)))</x:f>
      </x:c>
      <x:c r="H1055">
        <x:f>IFERROR(VLOOKUP(C1055,02_Referentiels!$A$20:$D$99,3,FALSE),"")</x:f>
      </x:c>
      <x:c r="I1055">
        <x:f>IFERROR(VLOOKUP(B1055,02_Referentiels!$A$5:$C$16,2,FALSE),"")</x:f>
      </x:c>
      <x:c r="J1055">
        <x:f>IF(A1055="","",IF(OR(D1055="",E1055="",F1055=""),1,IF(OR(D1055&lt;0,D1055&gt;3,E1055&lt;0,E1055&gt;3,F1055&lt;0,F1055&gt;3),1,0)))</x:f>
      </x:c>
      <x:c r="K1055">
        <x:f>IF(A1055="","",IF(G1055="",1,0))</x:f>
      </x:c>
      <x:c r="L1055">
        <x:f>IF(A1055="","",IF(COUNTIFS($A$5:$A$2004,A1055,$C$5:$C$2004,C1055)&gt;1,1,0))</x:f>
      </x:c>
    </x:row>
    <x:row r="1056">
      <x:c r="A1056" s="8" t="n"/>
      <x:c r="B1056" s="8" t="n"/>
      <x:c r="C1056" s="8" t="n"/>
      <x:c r="D1056" s="8" t="n"/>
      <x:c r="E1056" s="8" t="n"/>
      <x:c r="F1056" s="8" t="n"/>
      <x:c r="G1056" s="7">
        <x:f>IF(A1056="","",IF(01_Parametres!$B$11="Oui",IF((01_Parametres!$B$4*(D1056&gt;0)+01_Parametres!$B$5*(E1056&gt;0)+01_Parametres!$B$6*(F1056&gt;0))=0,"",(01_Parametres!$B$4*IF(D1056&gt;0,D1056,0)+01_Parametres!$B$5*IF(E1056&gt;0,E1056,0)+01_Parametres!$B$6*IF(F1056&gt;0,F1056,0))/(01_Parametres!$B$4*(D1056&gt;0)+01_Parametres!$B$5*(E1056&gt;0)+01_Parametres!$B$6*(F1056&gt;0))),IF(01_Parametres!$B$8=0,"",(01_Parametres!$B$4*D1056+01_Parametres!$B$5*E1056+01_Parametres!$B$6*F1056)/01_Parametres!$B$8)))</x:f>
      </x:c>
      <x:c r="H1056">
        <x:f>IFERROR(VLOOKUP(C1056,02_Referentiels!$A$20:$D$99,3,FALSE),"")</x:f>
      </x:c>
      <x:c r="I1056">
        <x:f>IFERROR(VLOOKUP(B1056,02_Referentiels!$A$5:$C$16,2,FALSE),"")</x:f>
      </x:c>
      <x:c r="J1056">
        <x:f>IF(A1056="","",IF(OR(D1056="",E1056="",F1056=""),1,IF(OR(D1056&lt;0,D1056&gt;3,E1056&lt;0,E1056&gt;3,F1056&lt;0,F1056&gt;3),1,0)))</x:f>
      </x:c>
      <x:c r="K1056">
        <x:f>IF(A1056="","",IF(G1056="",1,0))</x:f>
      </x:c>
      <x:c r="L1056">
        <x:f>IF(A1056="","",IF(COUNTIFS($A$5:$A$2004,A1056,$C$5:$C$2004,C1056)&gt;1,1,0))</x:f>
      </x:c>
    </x:row>
    <x:row r="1057">
      <x:c r="A1057" s="8" t="n"/>
      <x:c r="B1057" s="8" t="n"/>
      <x:c r="C1057" s="8" t="n"/>
      <x:c r="D1057" s="8" t="n"/>
      <x:c r="E1057" s="8" t="n"/>
      <x:c r="F1057" s="8" t="n"/>
      <x:c r="G1057" s="7">
        <x:f>IF(A1057="","",IF(01_Parametres!$B$11="Oui",IF((01_Parametres!$B$4*(D1057&gt;0)+01_Parametres!$B$5*(E1057&gt;0)+01_Parametres!$B$6*(F1057&gt;0))=0,"",(01_Parametres!$B$4*IF(D1057&gt;0,D1057,0)+01_Parametres!$B$5*IF(E1057&gt;0,E1057,0)+01_Parametres!$B$6*IF(F1057&gt;0,F1057,0))/(01_Parametres!$B$4*(D1057&gt;0)+01_Parametres!$B$5*(E1057&gt;0)+01_Parametres!$B$6*(F1057&gt;0))),IF(01_Parametres!$B$8=0,"",(01_Parametres!$B$4*D1057+01_Parametres!$B$5*E1057+01_Parametres!$B$6*F1057)/01_Parametres!$B$8)))</x:f>
      </x:c>
      <x:c r="H1057">
        <x:f>IFERROR(VLOOKUP(C1057,02_Referentiels!$A$20:$D$99,3,FALSE),"")</x:f>
      </x:c>
      <x:c r="I1057">
        <x:f>IFERROR(VLOOKUP(B1057,02_Referentiels!$A$5:$C$16,2,FALSE),"")</x:f>
      </x:c>
      <x:c r="J1057">
        <x:f>IF(A1057="","",IF(OR(D1057="",E1057="",F1057=""),1,IF(OR(D1057&lt;0,D1057&gt;3,E1057&lt;0,E1057&gt;3,F1057&lt;0,F1057&gt;3),1,0)))</x:f>
      </x:c>
      <x:c r="K1057">
        <x:f>IF(A1057="","",IF(G1057="",1,0))</x:f>
      </x:c>
      <x:c r="L1057">
        <x:f>IF(A1057="","",IF(COUNTIFS($A$5:$A$2004,A1057,$C$5:$C$2004,C1057)&gt;1,1,0))</x:f>
      </x:c>
    </x:row>
    <x:row r="1058">
      <x:c r="A1058" s="8" t="n"/>
      <x:c r="B1058" s="8" t="n"/>
      <x:c r="C1058" s="8" t="n"/>
      <x:c r="D1058" s="8" t="n"/>
      <x:c r="E1058" s="8" t="n"/>
      <x:c r="F1058" s="8" t="n"/>
      <x:c r="G1058" s="7">
        <x:f>IF(A1058="","",IF(01_Parametres!$B$11="Oui",IF((01_Parametres!$B$4*(D1058&gt;0)+01_Parametres!$B$5*(E1058&gt;0)+01_Parametres!$B$6*(F1058&gt;0))=0,"",(01_Parametres!$B$4*IF(D1058&gt;0,D1058,0)+01_Parametres!$B$5*IF(E1058&gt;0,E1058,0)+01_Parametres!$B$6*IF(F1058&gt;0,F1058,0))/(01_Parametres!$B$4*(D1058&gt;0)+01_Parametres!$B$5*(E1058&gt;0)+01_Parametres!$B$6*(F1058&gt;0))),IF(01_Parametres!$B$8=0,"",(01_Parametres!$B$4*D1058+01_Parametres!$B$5*E1058+01_Parametres!$B$6*F1058)/01_Parametres!$B$8)))</x:f>
      </x:c>
      <x:c r="H1058">
        <x:f>IFERROR(VLOOKUP(C1058,02_Referentiels!$A$20:$D$99,3,FALSE),"")</x:f>
      </x:c>
      <x:c r="I1058">
        <x:f>IFERROR(VLOOKUP(B1058,02_Referentiels!$A$5:$C$16,2,FALSE),"")</x:f>
      </x:c>
      <x:c r="J1058">
        <x:f>IF(A1058="","",IF(OR(D1058="",E1058="",F1058=""),1,IF(OR(D1058&lt;0,D1058&gt;3,E1058&lt;0,E1058&gt;3,F1058&lt;0,F1058&gt;3),1,0)))</x:f>
      </x:c>
      <x:c r="K1058">
        <x:f>IF(A1058="","",IF(G1058="",1,0))</x:f>
      </x:c>
      <x:c r="L1058">
        <x:f>IF(A1058="","",IF(COUNTIFS($A$5:$A$2004,A1058,$C$5:$C$2004,C1058)&gt;1,1,0))</x:f>
      </x:c>
    </x:row>
    <x:row r="1059">
      <x:c r="A1059" s="8" t="n"/>
      <x:c r="B1059" s="8" t="n"/>
      <x:c r="C1059" s="8" t="n"/>
      <x:c r="D1059" s="8" t="n"/>
      <x:c r="E1059" s="8" t="n"/>
      <x:c r="F1059" s="8" t="n"/>
      <x:c r="G1059" s="7">
        <x:f>IF(A1059="","",IF(01_Parametres!$B$11="Oui",IF((01_Parametres!$B$4*(D1059&gt;0)+01_Parametres!$B$5*(E1059&gt;0)+01_Parametres!$B$6*(F1059&gt;0))=0,"",(01_Parametres!$B$4*IF(D1059&gt;0,D1059,0)+01_Parametres!$B$5*IF(E1059&gt;0,E1059,0)+01_Parametres!$B$6*IF(F1059&gt;0,F1059,0))/(01_Parametres!$B$4*(D1059&gt;0)+01_Parametres!$B$5*(E1059&gt;0)+01_Parametres!$B$6*(F1059&gt;0))),IF(01_Parametres!$B$8=0,"",(01_Parametres!$B$4*D1059+01_Parametres!$B$5*E1059+01_Parametres!$B$6*F1059)/01_Parametres!$B$8)))</x:f>
      </x:c>
      <x:c r="H1059">
        <x:f>IFERROR(VLOOKUP(C1059,02_Referentiels!$A$20:$D$99,3,FALSE),"")</x:f>
      </x:c>
      <x:c r="I1059">
        <x:f>IFERROR(VLOOKUP(B1059,02_Referentiels!$A$5:$C$16,2,FALSE),"")</x:f>
      </x:c>
      <x:c r="J1059">
        <x:f>IF(A1059="","",IF(OR(D1059="",E1059="",F1059=""),1,IF(OR(D1059&lt;0,D1059&gt;3,E1059&lt;0,E1059&gt;3,F1059&lt;0,F1059&gt;3),1,0)))</x:f>
      </x:c>
      <x:c r="K1059">
        <x:f>IF(A1059="","",IF(G1059="",1,0))</x:f>
      </x:c>
      <x:c r="L1059">
        <x:f>IF(A1059="","",IF(COUNTIFS($A$5:$A$2004,A1059,$C$5:$C$2004,C1059)&gt;1,1,0))</x:f>
      </x:c>
    </x:row>
    <x:row r="1060">
      <x:c r="A1060" s="8" t="n"/>
      <x:c r="B1060" s="8" t="n"/>
      <x:c r="C1060" s="8" t="n"/>
      <x:c r="D1060" s="8" t="n"/>
      <x:c r="E1060" s="8" t="n"/>
      <x:c r="F1060" s="8" t="n"/>
      <x:c r="G1060" s="7">
        <x:f>IF(A1060="","",IF(01_Parametres!$B$11="Oui",IF((01_Parametres!$B$4*(D1060&gt;0)+01_Parametres!$B$5*(E1060&gt;0)+01_Parametres!$B$6*(F1060&gt;0))=0,"",(01_Parametres!$B$4*IF(D1060&gt;0,D1060,0)+01_Parametres!$B$5*IF(E1060&gt;0,E1060,0)+01_Parametres!$B$6*IF(F1060&gt;0,F1060,0))/(01_Parametres!$B$4*(D1060&gt;0)+01_Parametres!$B$5*(E1060&gt;0)+01_Parametres!$B$6*(F1060&gt;0))),IF(01_Parametres!$B$8=0,"",(01_Parametres!$B$4*D1060+01_Parametres!$B$5*E1060+01_Parametres!$B$6*F1060)/01_Parametres!$B$8)))</x:f>
      </x:c>
      <x:c r="H1060">
        <x:f>IFERROR(VLOOKUP(C1060,02_Referentiels!$A$20:$D$99,3,FALSE),"")</x:f>
      </x:c>
      <x:c r="I1060">
        <x:f>IFERROR(VLOOKUP(B1060,02_Referentiels!$A$5:$C$16,2,FALSE),"")</x:f>
      </x:c>
      <x:c r="J1060">
        <x:f>IF(A1060="","",IF(OR(D1060="",E1060="",F1060=""),1,IF(OR(D1060&lt;0,D1060&gt;3,E1060&lt;0,E1060&gt;3,F1060&lt;0,F1060&gt;3),1,0)))</x:f>
      </x:c>
      <x:c r="K1060">
        <x:f>IF(A1060="","",IF(G1060="",1,0))</x:f>
      </x:c>
      <x:c r="L1060">
        <x:f>IF(A1060="","",IF(COUNTIFS($A$5:$A$2004,A1060,$C$5:$C$2004,C1060)&gt;1,1,0))</x:f>
      </x:c>
    </x:row>
    <x:row r="1061">
      <x:c r="A1061" s="8" t="n"/>
      <x:c r="B1061" s="8" t="n"/>
      <x:c r="C1061" s="8" t="n"/>
      <x:c r="D1061" s="8" t="n"/>
      <x:c r="E1061" s="8" t="n"/>
      <x:c r="F1061" s="8" t="n"/>
      <x:c r="G1061" s="7">
        <x:f>IF(A1061="","",IF(01_Parametres!$B$11="Oui",IF((01_Parametres!$B$4*(D1061&gt;0)+01_Parametres!$B$5*(E1061&gt;0)+01_Parametres!$B$6*(F1061&gt;0))=0,"",(01_Parametres!$B$4*IF(D1061&gt;0,D1061,0)+01_Parametres!$B$5*IF(E1061&gt;0,E1061,0)+01_Parametres!$B$6*IF(F1061&gt;0,F1061,0))/(01_Parametres!$B$4*(D1061&gt;0)+01_Parametres!$B$5*(E1061&gt;0)+01_Parametres!$B$6*(F1061&gt;0))),IF(01_Parametres!$B$8=0,"",(01_Parametres!$B$4*D1061+01_Parametres!$B$5*E1061+01_Parametres!$B$6*F1061)/01_Parametres!$B$8)))</x:f>
      </x:c>
      <x:c r="H1061">
        <x:f>IFERROR(VLOOKUP(C1061,02_Referentiels!$A$20:$D$99,3,FALSE),"")</x:f>
      </x:c>
      <x:c r="I1061">
        <x:f>IFERROR(VLOOKUP(B1061,02_Referentiels!$A$5:$C$16,2,FALSE),"")</x:f>
      </x:c>
      <x:c r="J1061">
        <x:f>IF(A1061="","",IF(OR(D1061="",E1061="",F1061=""),1,IF(OR(D1061&lt;0,D1061&gt;3,E1061&lt;0,E1061&gt;3,F1061&lt;0,F1061&gt;3),1,0)))</x:f>
      </x:c>
      <x:c r="K1061">
        <x:f>IF(A1061="","",IF(G1061="",1,0))</x:f>
      </x:c>
      <x:c r="L1061">
        <x:f>IF(A1061="","",IF(COUNTIFS($A$5:$A$2004,A1061,$C$5:$C$2004,C1061)&gt;1,1,0))</x:f>
      </x:c>
    </x:row>
    <x:row r="1062">
      <x:c r="A1062" s="8" t="n"/>
      <x:c r="B1062" s="8" t="n"/>
      <x:c r="C1062" s="8" t="n"/>
      <x:c r="D1062" s="8" t="n"/>
      <x:c r="E1062" s="8" t="n"/>
      <x:c r="F1062" s="8" t="n"/>
      <x:c r="G1062" s="7">
        <x:f>IF(A1062="","",IF(01_Parametres!$B$11="Oui",IF((01_Parametres!$B$4*(D1062&gt;0)+01_Parametres!$B$5*(E1062&gt;0)+01_Parametres!$B$6*(F1062&gt;0))=0,"",(01_Parametres!$B$4*IF(D1062&gt;0,D1062,0)+01_Parametres!$B$5*IF(E1062&gt;0,E1062,0)+01_Parametres!$B$6*IF(F1062&gt;0,F1062,0))/(01_Parametres!$B$4*(D1062&gt;0)+01_Parametres!$B$5*(E1062&gt;0)+01_Parametres!$B$6*(F1062&gt;0))),IF(01_Parametres!$B$8=0,"",(01_Parametres!$B$4*D1062+01_Parametres!$B$5*E1062+01_Parametres!$B$6*F1062)/01_Parametres!$B$8)))</x:f>
      </x:c>
      <x:c r="H1062">
        <x:f>IFERROR(VLOOKUP(C1062,02_Referentiels!$A$20:$D$99,3,FALSE),"")</x:f>
      </x:c>
      <x:c r="I1062">
        <x:f>IFERROR(VLOOKUP(B1062,02_Referentiels!$A$5:$C$16,2,FALSE),"")</x:f>
      </x:c>
      <x:c r="J1062">
        <x:f>IF(A1062="","",IF(OR(D1062="",E1062="",F1062=""),1,IF(OR(D1062&lt;0,D1062&gt;3,E1062&lt;0,E1062&gt;3,F1062&lt;0,F1062&gt;3),1,0)))</x:f>
      </x:c>
      <x:c r="K1062">
        <x:f>IF(A1062="","",IF(G1062="",1,0))</x:f>
      </x:c>
      <x:c r="L1062">
        <x:f>IF(A1062="","",IF(COUNTIFS($A$5:$A$2004,A1062,$C$5:$C$2004,C1062)&gt;1,1,0))</x:f>
      </x:c>
    </x:row>
    <x:row r="1063">
      <x:c r="A1063" s="8" t="n"/>
      <x:c r="B1063" s="8" t="n"/>
      <x:c r="C1063" s="8" t="n"/>
      <x:c r="D1063" s="8" t="n"/>
      <x:c r="E1063" s="8" t="n"/>
      <x:c r="F1063" s="8" t="n"/>
      <x:c r="G1063" s="7">
        <x:f>IF(A1063="","",IF(01_Parametres!$B$11="Oui",IF((01_Parametres!$B$4*(D1063&gt;0)+01_Parametres!$B$5*(E1063&gt;0)+01_Parametres!$B$6*(F1063&gt;0))=0,"",(01_Parametres!$B$4*IF(D1063&gt;0,D1063,0)+01_Parametres!$B$5*IF(E1063&gt;0,E1063,0)+01_Parametres!$B$6*IF(F1063&gt;0,F1063,0))/(01_Parametres!$B$4*(D1063&gt;0)+01_Parametres!$B$5*(E1063&gt;0)+01_Parametres!$B$6*(F1063&gt;0))),IF(01_Parametres!$B$8=0,"",(01_Parametres!$B$4*D1063+01_Parametres!$B$5*E1063+01_Parametres!$B$6*F1063)/01_Parametres!$B$8)))</x:f>
      </x:c>
      <x:c r="H1063">
        <x:f>IFERROR(VLOOKUP(C1063,02_Referentiels!$A$20:$D$99,3,FALSE),"")</x:f>
      </x:c>
      <x:c r="I1063">
        <x:f>IFERROR(VLOOKUP(B1063,02_Referentiels!$A$5:$C$16,2,FALSE),"")</x:f>
      </x:c>
      <x:c r="J1063">
        <x:f>IF(A1063="","",IF(OR(D1063="",E1063="",F1063=""),1,IF(OR(D1063&lt;0,D1063&gt;3,E1063&lt;0,E1063&gt;3,F1063&lt;0,F1063&gt;3),1,0)))</x:f>
      </x:c>
      <x:c r="K1063">
        <x:f>IF(A1063="","",IF(G1063="",1,0))</x:f>
      </x:c>
      <x:c r="L1063">
        <x:f>IF(A1063="","",IF(COUNTIFS($A$5:$A$2004,A1063,$C$5:$C$2004,C1063)&gt;1,1,0))</x:f>
      </x:c>
    </x:row>
    <x:row r="1064">
      <x:c r="A1064" s="8" t="n"/>
      <x:c r="B1064" s="8" t="n"/>
      <x:c r="C1064" s="8" t="n"/>
      <x:c r="D1064" s="8" t="n"/>
      <x:c r="E1064" s="8" t="n"/>
      <x:c r="F1064" s="8" t="n"/>
      <x:c r="G1064" s="7">
        <x:f>IF(A1064="","",IF(01_Parametres!$B$11="Oui",IF((01_Parametres!$B$4*(D1064&gt;0)+01_Parametres!$B$5*(E1064&gt;0)+01_Parametres!$B$6*(F1064&gt;0))=0,"",(01_Parametres!$B$4*IF(D1064&gt;0,D1064,0)+01_Parametres!$B$5*IF(E1064&gt;0,E1064,0)+01_Parametres!$B$6*IF(F1064&gt;0,F1064,0))/(01_Parametres!$B$4*(D1064&gt;0)+01_Parametres!$B$5*(E1064&gt;0)+01_Parametres!$B$6*(F1064&gt;0))),IF(01_Parametres!$B$8=0,"",(01_Parametres!$B$4*D1064+01_Parametres!$B$5*E1064+01_Parametres!$B$6*F1064)/01_Parametres!$B$8)))</x:f>
      </x:c>
      <x:c r="H1064">
        <x:f>IFERROR(VLOOKUP(C1064,02_Referentiels!$A$20:$D$99,3,FALSE),"")</x:f>
      </x:c>
      <x:c r="I1064">
        <x:f>IFERROR(VLOOKUP(B1064,02_Referentiels!$A$5:$C$16,2,FALSE),"")</x:f>
      </x:c>
      <x:c r="J1064">
        <x:f>IF(A1064="","",IF(OR(D1064="",E1064="",F1064=""),1,IF(OR(D1064&lt;0,D1064&gt;3,E1064&lt;0,E1064&gt;3,F1064&lt;0,F1064&gt;3),1,0)))</x:f>
      </x:c>
      <x:c r="K1064">
        <x:f>IF(A1064="","",IF(G1064="",1,0))</x:f>
      </x:c>
      <x:c r="L1064">
        <x:f>IF(A1064="","",IF(COUNTIFS($A$5:$A$2004,A1064,$C$5:$C$2004,C1064)&gt;1,1,0))</x:f>
      </x:c>
    </x:row>
    <x:row r="1065">
      <x:c r="A1065" s="8" t="n"/>
      <x:c r="B1065" s="8" t="n"/>
      <x:c r="C1065" s="8" t="n"/>
      <x:c r="D1065" s="8" t="n"/>
      <x:c r="E1065" s="8" t="n"/>
      <x:c r="F1065" s="8" t="n"/>
      <x:c r="G1065" s="7">
        <x:f>IF(A1065="","",IF(01_Parametres!$B$11="Oui",IF((01_Parametres!$B$4*(D1065&gt;0)+01_Parametres!$B$5*(E1065&gt;0)+01_Parametres!$B$6*(F1065&gt;0))=0,"",(01_Parametres!$B$4*IF(D1065&gt;0,D1065,0)+01_Parametres!$B$5*IF(E1065&gt;0,E1065,0)+01_Parametres!$B$6*IF(F1065&gt;0,F1065,0))/(01_Parametres!$B$4*(D1065&gt;0)+01_Parametres!$B$5*(E1065&gt;0)+01_Parametres!$B$6*(F1065&gt;0))),IF(01_Parametres!$B$8=0,"",(01_Parametres!$B$4*D1065+01_Parametres!$B$5*E1065+01_Parametres!$B$6*F1065)/01_Parametres!$B$8)))</x:f>
      </x:c>
      <x:c r="H1065">
        <x:f>IFERROR(VLOOKUP(C1065,02_Referentiels!$A$20:$D$99,3,FALSE),"")</x:f>
      </x:c>
      <x:c r="I1065">
        <x:f>IFERROR(VLOOKUP(B1065,02_Referentiels!$A$5:$C$16,2,FALSE),"")</x:f>
      </x:c>
      <x:c r="J1065">
        <x:f>IF(A1065="","",IF(OR(D1065="",E1065="",F1065=""),1,IF(OR(D1065&lt;0,D1065&gt;3,E1065&lt;0,E1065&gt;3,F1065&lt;0,F1065&gt;3),1,0)))</x:f>
      </x:c>
      <x:c r="K1065">
        <x:f>IF(A1065="","",IF(G1065="",1,0))</x:f>
      </x:c>
      <x:c r="L1065">
        <x:f>IF(A1065="","",IF(COUNTIFS($A$5:$A$2004,A1065,$C$5:$C$2004,C1065)&gt;1,1,0))</x:f>
      </x:c>
    </x:row>
    <x:row r="1066">
      <x:c r="A1066" s="8" t="n"/>
      <x:c r="B1066" s="8" t="n"/>
      <x:c r="C1066" s="8" t="n"/>
      <x:c r="D1066" s="8" t="n"/>
      <x:c r="E1066" s="8" t="n"/>
      <x:c r="F1066" s="8" t="n"/>
      <x:c r="G1066" s="7">
        <x:f>IF(A1066="","",IF(01_Parametres!$B$11="Oui",IF((01_Parametres!$B$4*(D1066&gt;0)+01_Parametres!$B$5*(E1066&gt;0)+01_Parametres!$B$6*(F1066&gt;0))=0,"",(01_Parametres!$B$4*IF(D1066&gt;0,D1066,0)+01_Parametres!$B$5*IF(E1066&gt;0,E1066,0)+01_Parametres!$B$6*IF(F1066&gt;0,F1066,0))/(01_Parametres!$B$4*(D1066&gt;0)+01_Parametres!$B$5*(E1066&gt;0)+01_Parametres!$B$6*(F1066&gt;0))),IF(01_Parametres!$B$8=0,"",(01_Parametres!$B$4*D1066+01_Parametres!$B$5*E1066+01_Parametres!$B$6*F1066)/01_Parametres!$B$8)))</x:f>
      </x:c>
      <x:c r="H1066">
        <x:f>IFERROR(VLOOKUP(C1066,02_Referentiels!$A$20:$D$99,3,FALSE),"")</x:f>
      </x:c>
      <x:c r="I1066">
        <x:f>IFERROR(VLOOKUP(B1066,02_Referentiels!$A$5:$C$16,2,FALSE),"")</x:f>
      </x:c>
      <x:c r="J1066">
        <x:f>IF(A1066="","",IF(OR(D1066="",E1066="",F1066=""),1,IF(OR(D1066&lt;0,D1066&gt;3,E1066&lt;0,E1066&gt;3,F1066&lt;0,F1066&gt;3),1,0)))</x:f>
      </x:c>
      <x:c r="K1066">
        <x:f>IF(A1066="","",IF(G1066="",1,0))</x:f>
      </x:c>
      <x:c r="L1066">
        <x:f>IF(A1066="","",IF(COUNTIFS($A$5:$A$2004,A1066,$C$5:$C$2004,C1066)&gt;1,1,0))</x:f>
      </x:c>
    </x:row>
    <x:row r="1067">
      <x:c r="A1067" s="8" t="n"/>
      <x:c r="B1067" s="8" t="n"/>
      <x:c r="C1067" s="8" t="n"/>
      <x:c r="D1067" s="8" t="n"/>
      <x:c r="E1067" s="8" t="n"/>
      <x:c r="F1067" s="8" t="n"/>
      <x:c r="G1067" s="7">
        <x:f>IF(A1067="","",IF(01_Parametres!$B$11="Oui",IF((01_Parametres!$B$4*(D1067&gt;0)+01_Parametres!$B$5*(E1067&gt;0)+01_Parametres!$B$6*(F1067&gt;0))=0,"",(01_Parametres!$B$4*IF(D1067&gt;0,D1067,0)+01_Parametres!$B$5*IF(E1067&gt;0,E1067,0)+01_Parametres!$B$6*IF(F1067&gt;0,F1067,0))/(01_Parametres!$B$4*(D1067&gt;0)+01_Parametres!$B$5*(E1067&gt;0)+01_Parametres!$B$6*(F1067&gt;0))),IF(01_Parametres!$B$8=0,"",(01_Parametres!$B$4*D1067+01_Parametres!$B$5*E1067+01_Parametres!$B$6*F1067)/01_Parametres!$B$8)))</x:f>
      </x:c>
      <x:c r="H1067">
        <x:f>IFERROR(VLOOKUP(C1067,02_Referentiels!$A$20:$D$99,3,FALSE),"")</x:f>
      </x:c>
      <x:c r="I1067">
        <x:f>IFERROR(VLOOKUP(B1067,02_Referentiels!$A$5:$C$16,2,FALSE),"")</x:f>
      </x:c>
      <x:c r="J1067">
        <x:f>IF(A1067="","",IF(OR(D1067="",E1067="",F1067=""),1,IF(OR(D1067&lt;0,D1067&gt;3,E1067&lt;0,E1067&gt;3,F1067&lt;0,F1067&gt;3),1,0)))</x:f>
      </x:c>
      <x:c r="K1067">
        <x:f>IF(A1067="","",IF(G1067="",1,0))</x:f>
      </x:c>
      <x:c r="L1067">
        <x:f>IF(A1067="","",IF(COUNTIFS($A$5:$A$2004,A1067,$C$5:$C$2004,C1067)&gt;1,1,0))</x:f>
      </x:c>
    </x:row>
    <x:row r="1068">
      <x:c r="A1068" s="8" t="n"/>
      <x:c r="B1068" s="8" t="n"/>
      <x:c r="C1068" s="8" t="n"/>
      <x:c r="D1068" s="8" t="n"/>
      <x:c r="E1068" s="8" t="n"/>
      <x:c r="F1068" s="8" t="n"/>
      <x:c r="G1068" s="7">
        <x:f>IF(A1068="","",IF(01_Parametres!$B$11="Oui",IF((01_Parametres!$B$4*(D1068&gt;0)+01_Parametres!$B$5*(E1068&gt;0)+01_Parametres!$B$6*(F1068&gt;0))=0,"",(01_Parametres!$B$4*IF(D1068&gt;0,D1068,0)+01_Parametres!$B$5*IF(E1068&gt;0,E1068,0)+01_Parametres!$B$6*IF(F1068&gt;0,F1068,0))/(01_Parametres!$B$4*(D1068&gt;0)+01_Parametres!$B$5*(E1068&gt;0)+01_Parametres!$B$6*(F1068&gt;0))),IF(01_Parametres!$B$8=0,"",(01_Parametres!$B$4*D1068+01_Parametres!$B$5*E1068+01_Parametres!$B$6*F1068)/01_Parametres!$B$8)))</x:f>
      </x:c>
      <x:c r="H1068">
        <x:f>IFERROR(VLOOKUP(C1068,02_Referentiels!$A$20:$D$99,3,FALSE),"")</x:f>
      </x:c>
      <x:c r="I1068">
        <x:f>IFERROR(VLOOKUP(B1068,02_Referentiels!$A$5:$C$16,2,FALSE),"")</x:f>
      </x:c>
      <x:c r="J1068">
        <x:f>IF(A1068="","",IF(OR(D1068="",E1068="",F1068=""),1,IF(OR(D1068&lt;0,D1068&gt;3,E1068&lt;0,E1068&gt;3,F1068&lt;0,F1068&gt;3),1,0)))</x:f>
      </x:c>
      <x:c r="K1068">
        <x:f>IF(A1068="","",IF(G1068="",1,0))</x:f>
      </x:c>
      <x:c r="L1068">
        <x:f>IF(A1068="","",IF(COUNTIFS($A$5:$A$2004,A1068,$C$5:$C$2004,C1068)&gt;1,1,0))</x:f>
      </x:c>
    </x:row>
    <x:row r="1069">
      <x:c r="A1069" s="8" t="n"/>
      <x:c r="B1069" s="8" t="n"/>
      <x:c r="C1069" s="8" t="n"/>
      <x:c r="D1069" s="8" t="n"/>
      <x:c r="E1069" s="8" t="n"/>
      <x:c r="F1069" s="8" t="n"/>
      <x:c r="G1069" s="7">
        <x:f>IF(A1069="","",IF(01_Parametres!$B$11="Oui",IF((01_Parametres!$B$4*(D1069&gt;0)+01_Parametres!$B$5*(E1069&gt;0)+01_Parametres!$B$6*(F1069&gt;0))=0,"",(01_Parametres!$B$4*IF(D1069&gt;0,D1069,0)+01_Parametres!$B$5*IF(E1069&gt;0,E1069,0)+01_Parametres!$B$6*IF(F1069&gt;0,F1069,0))/(01_Parametres!$B$4*(D1069&gt;0)+01_Parametres!$B$5*(E1069&gt;0)+01_Parametres!$B$6*(F1069&gt;0))),IF(01_Parametres!$B$8=0,"",(01_Parametres!$B$4*D1069+01_Parametres!$B$5*E1069+01_Parametres!$B$6*F1069)/01_Parametres!$B$8)))</x:f>
      </x:c>
      <x:c r="H1069">
        <x:f>IFERROR(VLOOKUP(C1069,02_Referentiels!$A$20:$D$99,3,FALSE),"")</x:f>
      </x:c>
      <x:c r="I1069">
        <x:f>IFERROR(VLOOKUP(B1069,02_Referentiels!$A$5:$C$16,2,FALSE),"")</x:f>
      </x:c>
      <x:c r="J1069">
        <x:f>IF(A1069="","",IF(OR(D1069="",E1069="",F1069=""),1,IF(OR(D1069&lt;0,D1069&gt;3,E1069&lt;0,E1069&gt;3,F1069&lt;0,F1069&gt;3),1,0)))</x:f>
      </x:c>
      <x:c r="K1069">
        <x:f>IF(A1069="","",IF(G1069="",1,0))</x:f>
      </x:c>
      <x:c r="L1069">
        <x:f>IF(A1069="","",IF(COUNTIFS($A$5:$A$2004,A1069,$C$5:$C$2004,C1069)&gt;1,1,0))</x:f>
      </x:c>
    </x:row>
    <x:row r="1070">
      <x:c r="A1070" s="8" t="n"/>
      <x:c r="B1070" s="8" t="n"/>
      <x:c r="C1070" s="8" t="n"/>
      <x:c r="D1070" s="8" t="n"/>
      <x:c r="E1070" s="8" t="n"/>
      <x:c r="F1070" s="8" t="n"/>
      <x:c r="G1070" s="7">
        <x:f>IF(A1070="","",IF(01_Parametres!$B$11="Oui",IF((01_Parametres!$B$4*(D1070&gt;0)+01_Parametres!$B$5*(E1070&gt;0)+01_Parametres!$B$6*(F1070&gt;0))=0,"",(01_Parametres!$B$4*IF(D1070&gt;0,D1070,0)+01_Parametres!$B$5*IF(E1070&gt;0,E1070,0)+01_Parametres!$B$6*IF(F1070&gt;0,F1070,0))/(01_Parametres!$B$4*(D1070&gt;0)+01_Parametres!$B$5*(E1070&gt;0)+01_Parametres!$B$6*(F1070&gt;0))),IF(01_Parametres!$B$8=0,"",(01_Parametres!$B$4*D1070+01_Parametres!$B$5*E1070+01_Parametres!$B$6*F1070)/01_Parametres!$B$8)))</x:f>
      </x:c>
      <x:c r="H1070">
        <x:f>IFERROR(VLOOKUP(C1070,02_Referentiels!$A$20:$D$99,3,FALSE),"")</x:f>
      </x:c>
      <x:c r="I1070">
        <x:f>IFERROR(VLOOKUP(B1070,02_Referentiels!$A$5:$C$16,2,FALSE),"")</x:f>
      </x:c>
      <x:c r="J1070">
        <x:f>IF(A1070="","",IF(OR(D1070="",E1070="",F1070=""),1,IF(OR(D1070&lt;0,D1070&gt;3,E1070&lt;0,E1070&gt;3,F1070&lt;0,F1070&gt;3),1,0)))</x:f>
      </x:c>
      <x:c r="K1070">
        <x:f>IF(A1070="","",IF(G1070="",1,0))</x:f>
      </x:c>
      <x:c r="L1070">
        <x:f>IF(A1070="","",IF(COUNTIFS($A$5:$A$2004,A1070,$C$5:$C$2004,C1070)&gt;1,1,0))</x:f>
      </x:c>
    </x:row>
    <x:row r="1071">
      <x:c r="A1071" s="8" t="n"/>
      <x:c r="B1071" s="8" t="n"/>
      <x:c r="C1071" s="8" t="n"/>
      <x:c r="D1071" s="8" t="n"/>
      <x:c r="E1071" s="8" t="n"/>
      <x:c r="F1071" s="8" t="n"/>
      <x:c r="G1071" s="7">
        <x:f>IF(A1071="","",IF(01_Parametres!$B$11="Oui",IF((01_Parametres!$B$4*(D1071&gt;0)+01_Parametres!$B$5*(E1071&gt;0)+01_Parametres!$B$6*(F1071&gt;0))=0,"",(01_Parametres!$B$4*IF(D1071&gt;0,D1071,0)+01_Parametres!$B$5*IF(E1071&gt;0,E1071,0)+01_Parametres!$B$6*IF(F1071&gt;0,F1071,0))/(01_Parametres!$B$4*(D1071&gt;0)+01_Parametres!$B$5*(E1071&gt;0)+01_Parametres!$B$6*(F1071&gt;0))),IF(01_Parametres!$B$8=0,"",(01_Parametres!$B$4*D1071+01_Parametres!$B$5*E1071+01_Parametres!$B$6*F1071)/01_Parametres!$B$8)))</x:f>
      </x:c>
      <x:c r="H1071">
        <x:f>IFERROR(VLOOKUP(C1071,02_Referentiels!$A$20:$D$99,3,FALSE),"")</x:f>
      </x:c>
      <x:c r="I1071">
        <x:f>IFERROR(VLOOKUP(B1071,02_Referentiels!$A$5:$C$16,2,FALSE),"")</x:f>
      </x:c>
      <x:c r="J1071">
        <x:f>IF(A1071="","",IF(OR(D1071="",E1071="",F1071=""),1,IF(OR(D1071&lt;0,D1071&gt;3,E1071&lt;0,E1071&gt;3,F1071&lt;0,F1071&gt;3),1,0)))</x:f>
      </x:c>
      <x:c r="K1071">
        <x:f>IF(A1071="","",IF(G1071="",1,0))</x:f>
      </x:c>
      <x:c r="L1071">
        <x:f>IF(A1071="","",IF(COUNTIFS($A$5:$A$2004,A1071,$C$5:$C$2004,C1071)&gt;1,1,0))</x:f>
      </x:c>
    </x:row>
    <x:row r="1072">
      <x:c r="A1072" s="8" t="n"/>
      <x:c r="B1072" s="8" t="n"/>
      <x:c r="C1072" s="8" t="n"/>
      <x:c r="D1072" s="8" t="n"/>
      <x:c r="E1072" s="8" t="n"/>
      <x:c r="F1072" s="8" t="n"/>
      <x:c r="G1072" s="7">
        <x:f>IF(A1072="","",IF(01_Parametres!$B$11="Oui",IF((01_Parametres!$B$4*(D1072&gt;0)+01_Parametres!$B$5*(E1072&gt;0)+01_Parametres!$B$6*(F1072&gt;0))=0,"",(01_Parametres!$B$4*IF(D1072&gt;0,D1072,0)+01_Parametres!$B$5*IF(E1072&gt;0,E1072,0)+01_Parametres!$B$6*IF(F1072&gt;0,F1072,0))/(01_Parametres!$B$4*(D1072&gt;0)+01_Parametres!$B$5*(E1072&gt;0)+01_Parametres!$B$6*(F1072&gt;0))),IF(01_Parametres!$B$8=0,"",(01_Parametres!$B$4*D1072+01_Parametres!$B$5*E1072+01_Parametres!$B$6*F1072)/01_Parametres!$B$8)))</x:f>
      </x:c>
      <x:c r="H1072">
        <x:f>IFERROR(VLOOKUP(C1072,02_Referentiels!$A$20:$D$99,3,FALSE),"")</x:f>
      </x:c>
      <x:c r="I1072">
        <x:f>IFERROR(VLOOKUP(B1072,02_Referentiels!$A$5:$C$16,2,FALSE),"")</x:f>
      </x:c>
      <x:c r="J1072">
        <x:f>IF(A1072="","",IF(OR(D1072="",E1072="",F1072=""),1,IF(OR(D1072&lt;0,D1072&gt;3,E1072&lt;0,E1072&gt;3,F1072&lt;0,F1072&gt;3),1,0)))</x:f>
      </x:c>
      <x:c r="K1072">
        <x:f>IF(A1072="","",IF(G1072="",1,0))</x:f>
      </x:c>
      <x:c r="L1072">
        <x:f>IF(A1072="","",IF(COUNTIFS($A$5:$A$2004,A1072,$C$5:$C$2004,C1072)&gt;1,1,0))</x:f>
      </x:c>
    </x:row>
    <x:row r="1073">
      <x:c r="A1073" s="8" t="n"/>
      <x:c r="B1073" s="8" t="n"/>
      <x:c r="C1073" s="8" t="n"/>
      <x:c r="D1073" s="8" t="n"/>
      <x:c r="E1073" s="8" t="n"/>
      <x:c r="F1073" s="8" t="n"/>
      <x:c r="G1073" s="7">
        <x:f>IF(A1073="","",IF(01_Parametres!$B$11="Oui",IF((01_Parametres!$B$4*(D1073&gt;0)+01_Parametres!$B$5*(E1073&gt;0)+01_Parametres!$B$6*(F1073&gt;0))=0,"",(01_Parametres!$B$4*IF(D1073&gt;0,D1073,0)+01_Parametres!$B$5*IF(E1073&gt;0,E1073,0)+01_Parametres!$B$6*IF(F1073&gt;0,F1073,0))/(01_Parametres!$B$4*(D1073&gt;0)+01_Parametres!$B$5*(E1073&gt;0)+01_Parametres!$B$6*(F1073&gt;0))),IF(01_Parametres!$B$8=0,"",(01_Parametres!$B$4*D1073+01_Parametres!$B$5*E1073+01_Parametres!$B$6*F1073)/01_Parametres!$B$8)))</x:f>
      </x:c>
      <x:c r="H1073">
        <x:f>IFERROR(VLOOKUP(C1073,02_Referentiels!$A$20:$D$99,3,FALSE),"")</x:f>
      </x:c>
      <x:c r="I1073">
        <x:f>IFERROR(VLOOKUP(B1073,02_Referentiels!$A$5:$C$16,2,FALSE),"")</x:f>
      </x:c>
      <x:c r="J1073">
        <x:f>IF(A1073="","",IF(OR(D1073="",E1073="",F1073=""),1,IF(OR(D1073&lt;0,D1073&gt;3,E1073&lt;0,E1073&gt;3,F1073&lt;0,F1073&gt;3),1,0)))</x:f>
      </x:c>
      <x:c r="K1073">
        <x:f>IF(A1073="","",IF(G1073="",1,0))</x:f>
      </x:c>
      <x:c r="L1073">
        <x:f>IF(A1073="","",IF(COUNTIFS($A$5:$A$2004,A1073,$C$5:$C$2004,C1073)&gt;1,1,0))</x:f>
      </x:c>
    </x:row>
    <x:row r="1074">
      <x:c r="A1074" s="8" t="n"/>
      <x:c r="B1074" s="8" t="n"/>
      <x:c r="C1074" s="8" t="n"/>
      <x:c r="D1074" s="8" t="n"/>
      <x:c r="E1074" s="8" t="n"/>
      <x:c r="F1074" s="8" t="n"/>
      <x:c r="G1074" s="7">
        <x:f>IF(A1074="","",IF(01_Parametres!$B$11="Oui",IF((01_Parametres!$B$4*(D1074&gt;0)+01_Parametres!$B$5*(E1074&gt;0)+01_Parametres!$B$6*(F1074&gt;0))=0,"",(01_Parametres!$B$4*IF(D1074&gt;0,D1074,0)+01_Parametres!$B$5*IF(E1074&gt;0,E1074,0)+01_Parametres!$B$6*IF(F1074&gt;0,F1074,0))/(01_Parametres!$B$4*(D1074&gt;0)+01_Parametres!$B$5*(E1074&gt;0)+01_Parametres!$B$6*(F1074&gt;0))),IF(01_Parametres!$B$8=0,"",(01_Parametres!$B$4*D1074+01_Parametres!$B$5*E1074+01_Parametres!$B$6*F1074)/01_Parametres!$B$8)))</x:f>
      </x:c>
      <x:c r="H1074">
        <x:f>IFERROR(VLOOKUP(C1074,02_Referentiels!$A$20:$D$99,3,FALSE),"")</x:f>
      </x:c>
      <x:c r="I1074">
        <x:f>IFERROR(VLOOKUP(B1074,02_Referentiels!$A$5:$C$16,2,FALSE),"")</x:f>
      </x:c>
      <x:c r="J1074">
        <x:f>IF(A1074="","",IF(OR(D1074="",E1074="",F1074=""),1,IF(OR(D1074&lt;0,D1074&gt;3,E1074&lt;0,E1074&gt;3,F1074&lt;0,F1074&gt;3),1,0)))</x:f>
      </x:c>
      <x:c r="K1074">
        <x:f>IF(A1074="","",IF(G1074="",1,0))</x:f>
      </x:c>
      <x:c r="L1074">
        <x:f>IF(A1074="","",IF(COUNTIFS($A$5:$A$2004,A1074,$C$5:$C$2004,C1074)&gt;1,1,0))</x:f>
      </x:c>
    </x:row>
    <x:row r="1075">
      <x:c r="A1075" s="8" t="n"/>
      <x:c r="B1075" s="8" t="n"/>
      <x:c r="C1075" s="8" t="n"/>
      <x:c r="D1075" s="8" t="n"/>
      <x:c r="E1075" s="8" t="n"/>
      <x:c r="F1075" s="8" t="n"/>
      <x:c r="G1075" s="7">
        <x:f>IF(A1075="","",IF(01_Parametres!$B$11="Oui",IF((01_Parametres!$B$4*(D1075&gt;0)+01_Parametres!$B$5*(E1075&gt;0)+01_Parametres!$B$6*(F1075&gt;0))=0,"",(01_Parametres!$B$4*IF(D1075&gt;0,D1075,0)+01_Parametres!$B$5*IF(E1075&gt;0,E1075,0)+01_Parametres!$B$6*IF(F1075&gt;0,F1075,0))/(01_Parametres!$B$4*(D1075&gt;0)+01_Parametres!$B$5*(E1075&gt;0)+01_Parametres!$B$6*(F1075&gt;0))),IF(01_Parametres!$B$8=0,"",(01_Parametres!$B$4*D1075+01_Parametres!$B$5*E1075+01_Parametres!$B$6*F1075)/01_Parametres!$B$8)))</x:f>
      </x:c>
      <x:c r="H1075">
        <x:f>IFERROR(VLOOKUP(C1075,02_Referentiels!$A$20:$D$99,3,FALSE),"")</x:f>
      </x:c>
      <x:c r="I1075">
        <x:f>IFERROR(VLOOKUP(B1075,02_Referentiels!$A$5:$C$16,2,FALSE),"")</x:f>
      </x:c>
      <x:c r="J1075">
        <x:f>IF(A1075="","",IF(OR(D1075="",E1075="",F1075=""),1,IF(OR(D1075&lt;0,D1075&gt;3,E1075&lt;0,E1075&gt;3,F1075&lt;0,F1075&gt;3),1,0)))</x:f>
      </x:c>
      <x:c r="K1075">
        <x:f>IF(A1075="","",IF(G1075="",1,0))</x:f>
      </x:c>
      <x:c r="L1075">
        <x:f>IF(A1075="","",IF(COUNTIFS($A$5:$A$2004,A1075,$C$5:$C$2004,C1075)&gt;1,1,0))</x:f>
      </x:c>
    </x:row>
    <x:row r="1076">
      <x:c r="A1076" s="8" t="n"/>
      <x:c r="B1076" s="8" t="n"/>
      <x:c r="C1076" s="8" t="n"/>
      <x:c r="D1076" s="8" t="n"/>
      <x:c r="E1076" s="8" t="n"/>
      <x:c r="F1076" s="8" t="n"/>
      <x:c r="G1076" s="7">
        <x:f>IF(A1076="","",IF(01_Parametres!$B$11="Oui",IF((01_Parametres!$B$4*(D1076&gt;0)+01_Parametres!$B$5*(E1076&gt;0)+01_Parametres!$B$6*(F1076&gt;0))=0,"",(01_Parametres!$B$4*IF(D1076&gt;0,D1076,0)+01_Parametres!$B$5*IF(E1076&gt;0,E1076,0)+01_Parametres!$B$6*IF(F1076&gt;0,F1076,0))/(01_Parametres!$B$4*(D1076&gt;0)+01_Parametres!$B$5*(E1076&gt;0)+01_Parametres!$B$6*(F1076&gt;0))),IF(01_Parametres!$B$8=0,"",(01_Parametres!$B$4*D1076+01_Parametres!$B$5*E1076+01_Parametres!$B$6*F1076)/01_Parametres!$B$8)))</x:f>
      </x:c>
      <x:c r="H1076">
        <x:f>IFERROR(VLOOKUP(C1076,02_Referentiels!$A$20:$D$99,3,FALSE),"")</x:f>
      </x:c>
      <x:c r="I1076">
        <x:f>IFERROR(VLOOKUP(B1076,02_Referentiels!$A$5:$C$16,2,FALSE),"")</x:f>
      </x:c>
      <x:c r="J1076">
        <x:f>IF(A1076="","",IF(OR(D1076="",E1076="",F1076=""),1,IF(OR(D1076&lt;0,D1076&gt;3,E1076&lt;0,E1076&gt;3,F1076&lt;0,F1076&gt;3),1,0)))</x:f>
      </x:c>
      <x:c r="K1076">
        <x:f>IF(A1076="","",IF(G1076="",1,0))</x:f>
      </x:c>
      <x:c r="L1076">
        <x:f>IF(A1076="","",IF(COUNTIFS($A$5:$A$2004,A1076,$C$5:$C$2004,C1076)&gt;1,1,0))</x:f>
      </x:c>
    </x:row>
    <x:row r="1077">
      <x:c r="A1077" s="8" t="n"/>
      <x:c r="B1077" s="8" t="n"/>
      <x:c r="C1077" s="8" t="n"/>
      <x:c r="D1077" s="8" t="n"/>
      <x:c r="E1077" s="8" t="n"/>
      <x:c r="F1077" s="8" t="n"/>
      <x:c r="G1077" s="7">
        <x:f>IF(A1077="","",IF(01_Parametres!$B$11="Oui",IF((01_Parametres!$B$4*(D1077&gt;0)+01_Parametres!$B$5*(E1077&gt;0)+01_Parametres!$B$6*(F1077&gt;0))=0,"",(01_Parametres!$B$4*IF(D1077&gt;0,D1077,0)+01_Parametres!$B$5*IF(E1077&gt;0,E1077,0)+01_Parametres!$B$6*IF(F1077&gt;0,F1077,0))/(01_Parametres!$B$4*(D1077&gt;0)+01_Parametres!$B$5*(E1077&gt;0)+01_Parametres!$B$6*(F1077&gt;0))),IF(01_Parametres!$B$8=0,"",(01_Parametres!$B$4*D1077+01_Parametres!$B$5*E1077+01_Parametres!$B$6*F1077)/01_Parametres!$B$8)))</x:f>
      </x:c>
      <x:c r="H1077">
        <x:f>IFERROR(VLOOKUP(C1077,02_Referentiels!$A$20:$D$99,3,FALSE),"")</x:f>
      </x:c>
      <x:c r="I1077">
        <x:f>IFERROR(VLOOKUP(B1077,02_Referentiels!$A$5:$C$16,2,FALSE),"")</x:f>
      </x:c>
      <x:c r="J1077">
        <x:f>IF(A1077="","",IF(OR(D1077="",E1077="",F1077=""),1,IF(OR(D1077&lt;0,D1077&gt;3,E1077&lt;0,E1077&gt;3,F1077&lt;0,F1077&gt;3),1,0)))</x:f>
      </x:c>
      <x:c r="K1077">
        <x:f>IF(A1077="","",IF(G1077="",1,0))</x:f>
      </x:c>
      <x:c r="L1077">
        <x:f>IF(A1077="","",IF(COUNTIFS($A$5:$A$2004,A1077,$C$5:$C$2004,C1077)&gt;1,1,0))</x:f>
      </x:c>
    </x:row>
    <x:row r="1078">
      <x:c r="A1078" s="8" t="n"/>
      <x:c r="B1078" s="8" t="n"/>
      <x:c r="C1078" s="8" t="n"/>
      <x:c r="D1078" s="8" t="n"/>
      <x:c r="E1078" s="8" t="n"/>
      <x:c r="F1078" s="8" t="n"/>
      <x:c r="G1078" s="7">
        <x:f>IF(A1078="","",IF(01_Parametres!$B$11="Oui",IF((01_Parametres!$B$4*(D1078&gt;0)+01_Parametres!$B$5*(E1078&gt;0)+01_Parametres!$B$6*(F1078&gt;0))=0,"",(01_Parametres!$B$4*IF(D1078&gt;0,D1078,0)+01_Parametres!$B$5*IF(E1078&gt;0,E1078,0)+01_Parametres!$B$6*IF(F1078&gt;0,F1078,0))/(01_Parametres!$B$4*(D1078&gt;0)+01_Parametres!$B$5*(E1078&gt;0)+01_Parametres!$B$6*(F1078&gt;0))),IF(01_Parametres!$B$8=0,"",(01_Parametres!$B$4*D1078+01_Parametres!$B$5*E1078+01_Parametres!$B$6*F1078)/01_Parametres!$B$8)))</x:f>
      </x:c>
      <x:c r="H1078">
        <x:f>IFERROR(VLOOKUP(C1078,02_Referentiels!$A$20:$D$99,3,FALSE),"")</x:f>
      </x:c>
      <x:c r="I1078">
        <x:f>IFERROR(VLOOKUP(B1078,02_Referentiels!$A$5:$C$16,2,FALSE),"")</x:f>
      </x:c>
      <x:c r="J1078">
        <x:f>IF(A1078="","",IF(OR(D1078="",E1078="",F1078=""),1,IF(OR(D1078&lt;0,D1078&gt;3,E1078&lt;0,E1078&gt;3,F1078&lt;0,F1078&gt;3),1,0)))</x:f>
      </x:c>
      <x:c r="K1078">
        <x:f>IF(A1078="","",IF(G1078="",1,0))</x:f>
      </x:c>
      <x:c r="L1078">
        <x:f>IF(A1078="","",IF(COUNTIFS($A$5:$A$2004,A1078,$C$5:$C$2004,C1078)&gt;1,1,0))</x:f>
      </x:c>
    </x:row>
    <x:row r="1079">
      <x:c r="A1079" s="8" t="n"/>
      <x:c r="B1079" s="8" t="n"/>
      <x:c r="C1079" s="8" t="n"/>
      <x:c r="D1079" s="8" t="n"/>
      <x:c r="E1079" s="8" t="n"/>
      <x:c r="F1079" s="8" t="n"/>
      <x:c r="G1079" s="7">
        <x:f>IF(A1079="","",IF(01_Parametres!$B$11="Oui",IF((01_Parametres!$B$4*(D1079&gt;0)+01_Parametres!$B$5*(E1079&gt;0)+01_Parametres!$B$6*(F1079&gt;0))=0,"",(01_Parametres!$B$4*IF(D1079&gt;0,D1079,0)+01_Parametres!$B$5*IF(E1079&gt;0,E1079,0)+01_Parametres!$B$6*IF(F1079&gt;0,F1079,0))/(01_Parametres!$B$4*(D1079&gt;0)+01_Parametres!$B$5*(E1079&gt;0)+01_Parametres!$B$6*(F1079&gt;0))),IF(01_Parametres!$B$8=0,"",(01_Parametres!$B$4*D1079+01_Parametres!$B$5*E1079+01_Parametres!$B$6*F1079)/01_Parametres!$B$8)))</x:f>
      </x:c>
      <x:c r="H1079">
        <x:f>IFERROR(VLOOKUP(C1079,02_Referentiels!$A$20:$D$99,3,FALSE),"")</x:f>
      </x:c>
      <x:c r="I1079">
        <x:f>IFERROR(VLOOKUP(B1079,02_Referentiels!$A$5:$C$16,2,FALSE),"")</x:f>
      </x:c>
      <x:c r="J1079">
        <x:f>IF(A1079="","",IF(OR(D1079="",E1079="",F1079=""),1,IF(OR(D1079&lt;0,D1079&gt;3,E1079&lt;0,E1079&gt;3,F1079&lt;0,F1079&gt;3),1,0)))</x:f>
      </x:c>
      <x:c r="K1079">
        <x:f>IF(A1079="","",IF(G1079="",1,0))</x:f>
      </x:c>
      <x:c r="L1079">
        <x:f>IF(A1079="","",IF(COUNTIFS($A$5:$A$2004,A1079,$C$5:$C$2004,C1079)&gt;1,1,0))</x:f>
      </x:c>
    </x:row>
    <x:row r="1080">
      <x:c r="A1080" s="8" t="n"/>
      <x:c r="B1080" s="8" t="n"/>
      <x:c r="C1080" s="8" t="n"/>
      <x:c r="D1080" s="8" t="n"/>
      <x:c r="E1080" s="8" t="n"/>
      <x:c r="F1080" s="8" t="n"/>
      <x:c r="G1080" s="7">
        <x:f>IF(A1080="","",IF(01_Parametres!$B$11="Oui",IF((01_Parametres!$B$4*(D1080&gt;0)+01_Parametres!$B$5*(E1080&gt;0)+01_Parametres!$B$6*(F1080&gt;0))=0,"",(01_Parametres!$B$4*IF(D1080&gt;0,D1080,0)+01_Parametres!$B$5*IF(E1080&gt;0,E1080,0)+01_Parametres!$B$6*IF(F1080&gt;0,F1080,0))/(01_Parametres!$B$4*(D1080&gt;0)+01_Parametres!$B$5*(E1080&gt;0)+01_Parametres!$B$6*(F1080&gt;0))),IF(01_Parametres!$B$8=0,"",(01_Parametres!$B$4*D1080+01_Parametres!$B$5*E1080+01_Parametres!$B$6*F1080)/01_Parametres!$B$8)))</x:f>
      </x:c>
      <x:c r="H1080">
        <x:f>IFERROR(VLOOKUP(C1080,02_Referentiels!$A$20:$D$99,3,FALSE),"")</x:f>
      </x:c>
      <x:c r="I1080">
        <x:f>IFERROR(VLOOKUP(B1080,02_Referentiels!$A$5:$C$16,2,FALSE),"")</x:f>
      </x:c>
      <x:c r="J1080">
        <x:f>IF(A1080="","",IF(OR(D1080="",E1080="",F1080=""),1,IF(OR(D1080&lt;0,D1080&gt;3,E1080&lt;0,E1080&gt;3,F1080&lt;0,F1080&gt;3),1,0)))</x:f>
      </x:c>
      <x:c r="K1080">
        <x:f>IF(A1080="","",IF(G1080="",1,0))</x:f>
      </x:c>
      <x:c r="L1080">
        <x:f>IF(A1080="","",IF(COUNTIFS($A$5:$A$2004,A1080,$C$5:$C$2004,C1080)&gt;1,1,0))</x:f>
      </x:c>
    </x:row>
    <x:row r="1081">
      <x:c r="A1081" s="8" t="n"/>
      <x:c r="B1081" s="8" t="n"/>
      <x:c r="C1081" s="8" t="n"/>
      <x:c r="D1081" s="8" t="n"/>
      <x:c r="E1081" s="8" t="n"/>
      <x:c r="F1081" s="8" t="n"/>
      <x:c r="G1081" s="7">
        <x:f>IF(A1081="","",IF(01_Parametres!$B$11="Oui",IF((01_Parametres!$B$4*(D1081&gt;0)+01_Parametres!$B$5*(E1081&gt;0)+01_Parametres!$B$6*(F1081&gt;0))=0,"",(01_Parametres!$B$4*IF(D1081&gt;0,D1081,0)+01_Parametres!$B$5*IF(E1081&gt;0,E1081,0)+01_Parametres!$B$6*IF(F1081&gt;0,F1081,0))/(01_Parametres!$B$4*(D1081&gt;0)+01_Parametres!$B$5*(E1081&gt;0)+01_Parametres!$B$6*(F1081&gt;0))),IF(01_Parametres!$B$8=0,"",(01_Parametres!$B$4*D1081+01_Parametres!$B$5*E1081+01_Parametres!$B$6*F1081)/01_Parametres!$B$8)))</x:f>
      </x:c>
      <x:c r="H1081">
        <x:f>IFERROR(VLOOKUP(C1081,02_Referentiels!$A$20:$D$99,3,FALSE),"")</x:f>
      </x:c>
      <x:c r="I1081">
        <x:f>IFERROR(VLOOKUP(B1081,02_Referentiels!$A$5:$C$16,2,FALSE),"")</x:f>
      </x:c>
      <x:c r="J1081">
        <x:f>IF(A1081="","",IF(OR(D1081="",E1081="",F1081=""),1,IF(OR(D1081&lt;0,D1081&gt;3,E1081&lt;0,E1081&gt;3,F1081&lt;0,F1081&gt;3),1,0)))</x:f>
      </x:c>
      <x:c r="K1081">
        <x:f>IF(A1081="","",IF(G1081="",1,0))</x:f>
      </x:c>
      <x:c r="L1081">
        <x:f>IF(A1081="","",IF(COUNTIFS($A$5:$A$2004,A1081,$C$5:$C$2004,C1081)&gt;1,1,0))</x:f>
      </x:c>
    </x:row>
    <x:row r="1082">
      <x:c r="A1082" s="8" t="n"/>
      <x:c r="B1082" s="8" t="n"/>
      <x:c r="C1082" s="8" t="n"/>
      <x:c r="D1082" s="8" t="n"/>
      <x:c r="E1082" s="8" t="n"/>
      <x:c r="F1082" s="8" t="n"/>
      <x:c r="G1082" s="7">
        <x:f>IF(A1082="","",IF(01_Parametres!$B$11="Oui",IF((01_Parametres!$B$4*(D1082&gt;0)+01_Parametres!$B$5*(E1082&gt;0)+01_Parametres!$B$6*(F1082&gt;0))=0,"",(01_Parametres!$B$4*IF(D1082&gt;0,D1082,0)+01_Parametres!$B$5*IF(E1082&gt;0,E1082,0)+01_Parametres!$B$6*IF(F1082&gt;0,F1082,0))/(01_Parametres!$B$4*(D1082&gt;0)+01_Parametres!$B$5*(E1082&gt;0)+01_Parametres!$B$6*(F1082&gt;0))),IF(01_Parametres!$B$8=0,"",(01_Parametres!$B$4*D1082+01_Parametres!$B$5*E1082+01_Parametres!$B$6*F1082)/01_Parametres!$B$8)))</x:f>
      </x:c>
      <x:c r="H1082">
        <x:f>IFERROR(VLOOKUP(C1082,02_Referentiels!$A$20:$D$99,3,FALSE),"")</x:f>
      </x:c>
      <x:c r="I1082">
        <x:f>IFERROR(VLOOKUP(B1082,02_Referentiels!$A$5:$C$16,2,FALSE),"")</x:f>
      </x:c>
      <x:c r="J1082">
        <x:f>IF(A1082="","",IF(OR(D1082="",E1082="",F1082=""),1,IF(OR(D1082&lt;0,D1082&gt;3,E1082&lt;0,E1082&gt;3,F1082&lt;0,F1082&gt;3),1,0)))</x:f>
      </x:c>
      <x:c r="K1082">
        <x:f>IF(A1082="","",IF(G1082="",1,0))</x:f>
      </x:c>
      <x:c r="L1082">
        <x:f>IF(A1082="","",IF(COUNTIFS($A$5:$A$2004,A1082,$C$5:$C$2004,C1082)&gt;1,1,0))</x:f>
      </x:c>
    </x:row>
    <x:row r="1083">
      <x:c r="A1083" s="8" t="n"/>
      <x:c r="B1083" s="8" t="n"/>
      <x:c r="C1083" s="8" t="n"/>
      <x:c r="D1083" s="8" t="n"/>
      <x:c r="E1083" s="8" t="n"/>
      <x:c r="F1083" s="8" t="n"/>
      <x:c r="G1083" s="7">
        <x:f>IF(A1083="","",IF(01_Parametres!$B$11="Oui",IF((01_Parametres!$B$4*(D1083&gt;0)+01_Parametres!$B$5*(E1083&gt;0)+01_Parametres!$B$6*(F1083&gt;0))=0,"",(01_Parametres!$B$4*IF(D1083&gt;0,D1083,0)+01_Parametres!$B$5*IF(E1083&gt;0,E1083,0)+01_Parametres!$B$6*IF(F1083&gt;0,F1083,0))/(01_Parametres!$B$4*(D1083&gt;0)+01_Parametres!$B$5*(E1083&gt;0)+01_Parametres!$B$6*(F1083&gt;0))),IF(01_Parametres!$B$8=0,"",(01_Parametres!$B$4*D1083+01_Parametres!$B$5*E1083+01_Parametres!$B$6*F1083)/01_Parametres!$B$8)))</x:f>
      </x:c>
      <x:c r="H1083">
        <x:f>IFERROR(VLOOKUP(C1083,02_Referentiels!$A$20:$D$99,3,FALSE),"")</x:f>
      </x:c>
      <x:c r="I1083">
        <x:f>IFERROR(VLOOKUP(B1083,02_Referentiels!$A$5:$C$16,2,FALSE),"")</x:f>
      </x:c>
      <x:c r="J1083">
        <x:f>IF(A1083="","",IF(OR(D1083="",E1083="",F1083=""),1,IF(OR(D1083&lt;0,D1083&gt;3,E1083&lt;0,E1083&gt;3,F1083&lt;0,F1083&gt;3),1,0)))</x:f>
      </x:c>
      <x:c r="K1083">
        <x:f>IF(A1083="","",IF(G1083="",1,0))</x:f>
      </x:c>
      <x:c r="L1083">
        <x:f>IF(A1083="","",IF(COUNTIFS($A$5:$A$2004,A1083,$C$5:$C$2004,C1083)&gt;1,1,0))</x:f>
      </x:c>
    </x:row>
    <x:row r="1084">
      <x:c r="A1084" s="8" t="n"/>
      <x:c r="B1084" s="8" t="n"/>
      <x:c r="C1084" s="8" t="n"/>
      <x:c r="D1084" s="8" t="n"/>
      <x:c r="E1084" s="8" t="n"/>
      <x:c r="F1084" s="8" t="n"/>
      <x:c r="G1084" s="7">
        <x:f>IF(A1084="","",IF(01_Parametres!$B$11="Oui",IF((01_Parametres!$B$4*(D1084&gt;0)+01_Parametres!$B$5*(E1084&gt;0)+01_Parametres!$B$6*(F1084&gt;0))=0,"",(01_Parametres!$B$4*IF(D1084&gt;0,D1084,0)+01_Parametres!$B$5*IF(E1084&gt;0,E1084,0)+01_Parametres!$B$6*IF(F1084&gt;0,F1084,0))/(01_Parametres!$B$4*(D1084&gt;0)+01_Parametres!$B$5*(E1084&gt;0)+01_Parametres!$B$6*(F1084&gt;0))),IF(01_Parametres!$B$8=0,"",(01_Parametres!$B$4*D1084+01_Parametres!$B$5*E1084+01_Parametres!$B$6*F1084)/01_Parametres!$B$8)))</x:f>
      </x:c>
      <x:c r="H1084">
        <x:f>IFERROR(VLOOKUP(C1084,02_Referentiels!$A$20:$D$99,3,FALSE),"")</x:f>
      </x:c>
      <x:c r="I1084">
        <x:f>IFERROR(VLOOKUP(B1084,02_Referentiels!$A$5:$C$16,2,FALSE),"")</x:f>
      </x:c>
      <x:c r="J1084">
        <x:f>IF(A1084="","",IF(OR(D1084="",E1084="",F1084=""),1,IF(OR(D1084&lt;0,D1084&gt;3,E1084&lt;0,E1084&gt;3,F1084&lt;0,F1084&gt;3),1,0)))</x:f>
      </x:c>
      <x:c r="K1084">
        <x:f>IF(A1084="","",IF(G1084="",1,0))</x:f>
      </x:c>
      <x:c r="L1084">
        <x:f>IF(A1084="","",IF(COUNTIFS($A$5:$A$2004,A1084,$C$5:$C$2004,C1084)&gt;1,1,0))</x:f>
      </x:c>
    </x:row>
    <x:row r="1085">
      <x:c r="A1085" s="8" t="n"/>
      <x:c r="B1085" s="8" t="n"/>
      <x:c r="C1085" s="8" t="n"/>
      <x:c r="D1085" s="8" t="n"/>
      <x:c r="E1085" s="8" t="n"/>
      <x:c r="F1085" s="8" t="n"/>
      <x:c r="G1085" s="7">
        <x:f>IF(A1085="","",IF(01_Parametres!$B$11="Oui",IF((01_Parametres!$B$4*(D1085&gt;0)+01_Parametres!$B$5*(E1085&gt;0)+01_Parametres!$B$6*(F1085&gt;0))=0,"",(01_Parametres!$B$4*IF(D1085&gt;0,D1085,0)+01_Parametres!$B$5*IF(E1085&gt;0,E1085,0)+01_Parametres!$B$6*IF(F1085&gt;0,F1085,0))/(01_Parametres!$B$4*(D1085&gt;0)+01_Parametres!$B$5*(E1085&gt;0)+01_Parametres!$B$6*(F1085&gt;0))),IF(01_Parametres!$B$8=0,"",(01_Parametres!$B$4*D1085+01_Parametres!$B$5*E1085+01_Parametres!$B$6*F1085)/01_Parametres!$B$8)))</x:f>
      </x:c>
      <x:c r="H1085">
        <x:f>IFERROR(VLOOKUP(C1085,02_Referentiels!$A$20:$D$99,3,FALSE),"")</x:f>
      </x:c>
      <x:c r="I1085">
        <x:f>IFERROR(VLOOKUP(B1085,02_Referentiels!$A$5:$C$16,2,FALSE),"")</x:f>
      </x:c>
      <x:c r="J1085">
        <x:f>IF(A1085="","",IF(OR(D1085="",E1085="",F1085=""),1,IF(OR(D1085&lt;0,D1085&gt;3,E1085&lt;0,E1085&gt;3,F1085&lt;0,F1085&gt;3),1,0)))</x:f>
      </x:c>
      <x:c r="K1085">
        <x:f>IF(A1085="","",IF(G1085="",1,0))</x:f>
      </x:c>
      <x:c r="L1085">
        <x:f>IF(A1085="","",IF(COUNTIFS($A$5:$A$2004,A1085,$C$5:$C$2004,C1085)&gt;1,1,0))</x:f>
      </x:c>
    </x:row>
    <x:row r="1086">
      <x:c r="A1086" s="8" t="n"/>
      <x:c r="B1086" s="8" t="n"/>
      <x:c r="C1086" s="8" t="n"/>
      <x:c r="D1086" s="8" t="n"/>
      <x:c r="E1086" s="8" t="n"/>
      <x:c r="F1086" s="8" t="n"/>
      <x:c r="G1086" s="7">
        <x:f>IF(A1086="","",IF(01_Parametres!$B$11="Oui",IF((01_Parametres!$B$4*(D1086&gt;0)+01_Parametres!$B$5*(E1086&gt;0)+01_Parametres!$B$6*(F1086&gt;0))=0,"",(01_Parametres!$B$4*IF(D1086&gt;0,D1086,0)+01_Parametres!$B$5*IF(E1086&gt;0,E1086,0)+01_Parametres!$B$6*IF(F1086&gt;0,F1086,0))/(01_Parametres!$B$4*(D1086&gt;0)+01_Parametres!$B$5*(E1086&gt;0)+01_Parametres!$B$6*(F1086&gt;0))),IF(01_Parametres!$B$8=0,"",(01_Parametres!$B$4*D1086+01_Parametres!$B$5*E1086+01_Parametres!$B$6*F1086)/01_Parametres!$B$8)))</x:f>
      </x:c>
      <x:c r="H1086">
        <x:f>IFERROR(VLOOKUP(C1086,02_Referentiels!$A$20:$D$99,3,FALSE),"")</x:f>
      </x:c>
      <x:c r="I1086">
        <x:f>IFERROR(VLOOKUP(B1086,02_Referentiels!$A$5:$C$16,2,FALSE),"")</x:f>
      </x:c>
      <x:c r="J1086">
        <x:f>IF(A1086="","",IF(OR(D1086="",E1086="",F1086=""),1,IF(OR(D1086&lt;0,D1086&gt;3,E1086&lt;0,E1086&gt;3,F1086&lt;0,F1086&gt;3),1,0)))</x:f>
      </x:c>
      <x:c r="K1086">
        <x:f>IF(A1086="","",IF(G1086="",1,0))</x:f>
      </x:c>
      <x:c r="L1086">
        <x:f>IF(A1086="","",IF(COUNTIFS($A$5:$A$2004,A1086,$C$5:$C$2004,C1086)&gt;1,1,0))</x:f>
      </x:c>
    </x:row>
    <x:row r="1087">
      <x:c r="A1087" s="8" t="n"/>
      <x:c r="B1087" s="8" t="n"/>
      <x:c r="C1087" s="8" t="n"/>
      <x:c r="D1087" s="8" t="n"/>
      <x:c r="E1087" s="8" t="n"/>
      <x:c r="F1087" s="8" t="n"/>
      <x:c r="G1087" s="7">
        <x:f>IF(A1087="","",IF(01_Parametres!$B$11="Oui",IF((01_Parametres!$B$4*(D1087&gt;0)+01_Parametres!$B$5*(E1087&gt;0)+01_Parametres!$B$6*(F1087&gt;0))=0,"",(01_Parametres!$B$4*IF(D1087&gt;0,D1087,0)+01_Parametres!$B$5*IF(E1087&gt;0,E1087,0)+01_Parametres!$B$6*IF(F1087&gt;0,F1087,0))/(01_Parametres!$B$4*(D1087&gt;0)+01_Parametres!$B$5*(E1087&gt;0)+01_Parametres!$B$6*(F1087&gt;0))),IF(01_Parametres!$B$8=0,"",(01_Parametres!$B$4*D1087+01_Parametres!$B$5*E1087+01_Parametres!$B$6*F1087)/01_Parametres!$B$8)))</x:f>
      </x:c>
      <x:c r="H1087">
        <x:f>IFERROR(VLOOKUP(C1087,02_Referentiels!$A$20:$D$99,3,FALSE),"")</x:f>
      </x:c>
      <x:c r="I1087">
        <x:f>IFERROR(VLOOKUP(B1087,02_Referentiels!$A$5:$C$16,2,FALSE),"")</x:f>
      </x:c>
      <x:c r="J1087">
        <x:f>IF(A1087="","",IF(OR(D1087="",E1087="",F1087=""),1,IF(OR(D1087&lt;0,D1087&gt;3,E1087&lt;0,E1087&gt;3,F1087&lt;0,F1087&gt;3),1,0)))</x:f>
      </x:c>
      <x:c r="K1087">
        <x:f>IF(A1087="","",IF(G1087="",1,0))</x:f>
      </x:c>
      <x:c r="L1087">
        <x:f>IF(A1087="","",IF(COUNTIFS($A$5:$A$2004,A1087,$C$5:$C$2004,C1087)&gt;1,1,0))</x:f>
      </x:c>
    </x:row>
    <x:row r="1088">
      <x:c r="A1088" s="8" t="n"/>
      <x:c r="B1088" s="8" t="n"/>
      <x:c r="C1088" s="8" t="n"/>
      <x:c r="D1088" s="8" t="n"/>
      <x:c r="E1088" s="8" t="n"/>
      <x:c r="F1088" s="8" t="n"/>
      <x:c r="G1088" s="7">
        <x:f>IF(A1088="","",IF(01_Parametres!$B$11="Oui",IF((01_Parametres!$B$4*(D1088&gt;0)+01_Parametres!$B$5*(E1088&gt;0)+01_Parametres!$B$6*(F1088&gt;0))=0,"",(01_Parametres!$B$4*IF(D1088&gt;0,D1088,0)+01_Parametres!$B$5*IF(E1088&gt;0,E1088,0)+01_Parametres!$B$6*IF(F1088&gt;0,F1088,0))/(01_Parametres!$B$4*(D1088&gt;0)+01_Parametres!$B$5*(E1088&gt;0)+01_Parametres!$B$6*(F1088&gt;0))),IF(01_Parametres!$B$8=0,"",(01_Parametres!$B$4*D1088+01_Parametres!$B$5*E1088+01_Parametres!$B$6*F1088)/01_Parametres!$B$8)))</x:f>
      </x:c>
      <x:c r="H1088">
        <x:f>IFERROR(VLOOKUP(C1088,02_Referentiels!$A$20:$D$99,3,FALSE),"")</x:f>
      </x:c>
      <x:c r="I1088">
        <x:f>IFERROR(VLOOKUP(B1088,02_Referentiels!$A$5:$C$16,2,FALSE),"")</x:f>
      </x:c>
      <x:c r="J1088">
        <x:f>IF(A1088="","",IF(OR(D1088="",E1088="",F1088=""),1,IF(OR(D1088&lt;0,D1088&gt;3,E1088&lt;0,E1088&gt;3,F1088&lt;0,F1088&gt;3),1,0)))</x:f>
      </x:c>
      <x:c r="K1088">
        <x:f>IF(A1088="","",IF(G1088="",1,0))</x:f>
      </x:c>
      <x:c r="L1088">
        <x:f>IF(A1088="","",IF(COUNTIFS($A$5:$A$2004,A1088,$C$5:$C$2004,C1088)&gt;1,1,0))</x:f>
      </x:c>
    </x:row>
    <x:row r="1089">
      <x:c r="A1089" s="8" t="n"/>
      <x:c r="B1089" s="8" t="n"/>
      <x:c r="C1089" s="8" t="n"/>
      <x:c r="D1089" s="8" t="n"/>
      <x:c r="E1089" s="8" t="n"/>
      <x:c r="F1089" s="8" t="n"/>
      <x:c r="G1089" s="7">
        <x:f>IF(A1089="","",IF(01_Parametres!$B$11="Oui",IF((01_Parametres!$B$4*(D1089&gt;0)+01_Parametres!$B$5*(E1089&gt;0)+01_Parametres!$B$6*(F1089&gt;0))=0,"",(01_Parametres!$B$4*IF(D1089&gt;0,D1089,0)+01_Parametres!$B$5*IF(E1089&gt;0,E1089,0)+01_Parametres!$B$6*IF(F1089&gt;0,F1089,0))/(01_Parametres!$B$4*(D1089&gt;0)+01_Parametres!$B$5*(E1089&gt;0)+01_Parametres!$B$6*(F1089&gt;0))),IF(01_Parametres!$B$8=0,"",(01_Parametres!$B$4*D1089+01_Parametres!$B$5*E1089+01_Parametres!$B$6*F1089)/01_Parametres!$B$8)))</x:f>
      </x:c>
      <x:c r="H1089">
        <x:f>IFERROR(VLOOKUP(C1089,02_Referentiels!$A$20:$D$99,3,FALSE),"")</x:f>
      </x:c>
      <x:c r="I1089">
        <x:f>IFERROR(VLOOKUP(B1089,02_Referentiels!$A$5:$C$16,2,FALSE),"")</x:f>
      </x:c>
      <x:c r="J1089">
        <x:f>IF(A1089="","",IF(OR(D1089="",E1089="",F1089=""),1,IF(OR(D1089&lt;0,D1089&gt;3,E1089&lt;0,E1089&gt;3,F1089&lt;0,F1089&gt;3),1,0)))</x:f>
      </x:c>
      <x:c r="K1089">
        <x:f>IF(A1089="","",IF(G1089="",1,0))</x:f>
      </x:c>
      <x:c r="L1089">
        <x:f>IF(A1089="","",IF(COUNTIFS($A$5:$A$2004,A1089,$C$5:$C$2004,C1089)&gt;1,1,0))</x:f>
      </x:c>
    </x:row>
    <x:row r="1090">
      <x:c r="A1090" s="8" t="n"/>
      <x:c r="B1090" s="8" t="n"/>
      <x:c r="C1090" s="8" t="n"/>
      <x:c r="D1090" s="8" t="n"/>
      <x:c r="E1090" s="8" t="n"/>
      <x:c r="F1090" s="8" t="n"/>
      <x:c r="G1090" s="7">
        <x:f>IF(A1090="","",IF(01_Parametres!$B$11="Oui",IF((01_Parametres!$B$4*(D1090&gt;0)+01_Parametres!$B$5*(E1090&gt;0)+01_Parametres!$B$6*(F1090&gt;0))=0,"",(01_Parametres!$B$4*IF(D1090&gt;0,D1090,0)+01_Parametres!$B$5*IF(E1090&gt;0,E1090,0)+01_Parametres!$B$6*IF(F1090&gt;0,F1090,0))/(01_Parametres!$B$4*(D1090&gt;0)+01_Parametres!$B$5*(E1090&gt;0)+01_Parametres!$B$6*(F1090&gt;0))),IF(01_Parametres!$B$8=0,"",(01_Parametres!$B$4*D1090+01_Parametres!$B$5*E1090+01_Parametres!$B$6*F1090)/01_Parametres!$B$8)))</x:f>
      </x:c>
      <x:c r="H1090">
        <x:f>IFERROR(VLOOKUP(C1090,02_Referentiels!$A$20:$D$99,3,FALSE),"")</x:f>
      </x:c>
      <x:c r="I1090">
        <x:f>IFERROR(VLOOKUP(B1090,02_Referentiels!$A$5:$C$16,2,FALSE),"")</x:f>
      </x:c>
      <x:c r="J1090">
        <x:f>IF(A1090="","",IF(OR(D1090="",E1090="",F1090=""),1,IF(OR(D1090&lt;0,D1090&gt;3,E1090&lt;0,E1090&gt;3,F1090&lt;0,F1090&gt;3),1,0)))</x:f>
      </x:c>
      <x:c r="K1090">
        <x:f>IF(A1090="","",IF(G1090="",1,0))</x:f>
      </x:c>
      <x:c r="L1090">
        <x:f>IF(A1090="","",IF(COUNTIFS($A$5:$A$2004,A1090,$C$5:$C$2004,C1090)&gt;1,1,0))</x:f>
      </x:c>
    </x:row>
    <x:row r="1091">
      <x:c r="A1091" s="8" t="n"/>
      <x:c r="B1091" s="8" t="n"/>
      <x:c r="C1091" s="8" t="n"/>
      <x:c r="D1091" s="8" t="n"/>
      <x:c r="E1091" s="8" t="n"/>
      <x:c r="F1091" s="8" t="n"/>
      <x:c r="G1091" s="7">
        <x:f>IF(A1091="","",IF(01_Parametres!$B$11="Oui",IF((01_Parametres!$B$4*(D1091&gt;0)+01_Parametres!$B$5*(E1091&gt;0)+01_Parametres!$B$6*(F1091&gt;0))=0,"",(01_Parametres!$B$4*IF(D1091&gt;0,D1091,0)+01_Parametres!$B$5*IF(E1091&gt;0,E1091,0)+01_Parametres!$B$6*IF(F1091&gt;0,F1091,0))/(01_Parametres!$B$4*(D1091&gt;0)+01_Parametres!$B$5*(E1091&gt;0)+01_Parametres!$B$6*(F1091&gt;0))),IF(01_Parametres!$B$8=0,"",(01_Parametres!$B$4*D1091+01_Parametres!$B$5*E1091+01_Parametres!$B$6*F1091)/01_Parametres!$B$8)))</x:f>
      </x:c>
      <x:c r="H1091">
        <x:f>IFERROR(VLOOKUP(C1091,02_Referentiels!$A$20:$D$99,3,FALSE),"")</x:f>
      </x:c>
      <x:c r="I1091">
        <x:f>IFERROR(VLOOKUP(B1091,02_Referentiels!$A$5:$C$16,2,FALSE),"")</x:f>
      </x:c>
      <x:c r="J1091">
        <x:f>IF(A1091="","",IF(OR(D1091="",E1091="",F1091=""),1,IF(OR(D1091&lt;0,D1091&gt;3,E1091&lt;0,E1091&gt;3,F1091&lt;0,F1091&gt;3),1,0)))</x:f>
      </x:c>
      <x:c r="K1091">
        <x:f>IF(A1091="","",IF(G1091="",1,0))</x:f>
      </x:c>
      <x:c r="L1091">
        <x:f>IF(A1091="","",IF(COUNTIFS($A$5:$A$2004,A1091,$C$5:$C$2004,C1091)&gt;1,1,0))</x:f>
      </x:c>
    </x:row>
    <x:row r="1092">
      <x:c r="A1092" s="8" t="n"/>
      <x:c r="B1092" s="8" t="n"/>
      <x:c r="C1092" s="8" t="n"/>
      <x:c r="D1092" s="8" t="n"/>
      <x:c r="E1092" s="8" t="n"/>
      <x:c r="F1092" s="8" t="n"/>
      <x:c r="G1092" s="7">
        <x:f>IF(A1092="","",IF(01_Parametres!$B$11="Oui",IF((01_Parametres!$B$4*(D1092&gt;0)+01_Parametres!$B$5*(E1092&gt;0)+01_Parametres!$B$6*(F1092&gt;0))=0,"",(01_Parametres!$B$4*IF(D1092&gt;0,D1092,0)+01_Parametres!$B$5*IF(E1092&gt;0,E1092,0)+01_Parametres!$B$6*IF(F1092&gt;0,F1092,0))/(01_Parametres!$B$4*(D1092&gt;0)+01_Parametres!$B$5*(E1092&gt;0)+01_Parametres!$B$6*(F1092&gt;0))),IF(01_Parametres!$B$8=0,"",(01_Parametres!$B$4*D1092+01_Parametres!$B$5*E1092+01_Parametres!$B$6*F1092)/01_Parametres!$B$8)))</x:f>
      </x:c>
      <x:c r="H1092">
        <x:f>IFERROR(VLOOKUP(C1092,02_Referentiels!$A$20:$D$99,3,FALSE),"")</x:f>
      </x:c>
      <x:c r="I1092">
        <x:f>IFERROR(VLOOKUP(B1092,02_Referentiels!$A$5:$C$16,2,FALSE),"")</x:f>
      </x:c>
      <x:c r="J1092">
        <x:f>IF(A1092="","",IF(OR(D1092="",E1092="",F1092=""),1,IF(OR(D1092&lt;0,D1092&gt;3,E1092&lt;0,E1092&gt;3,F1092&lt;0,F1092&gt;3),1,0)))</x:f>
      </x:c>
      <x:c r="K1092">
        <x:f>IF(A1092="","",IF(G1092="",1,0))</x:f>
      </x:c>
      <x:c r="L1092">
        <x:f>IF(A1092="","",IF(COUNTIFS($A$5:$A$2004,A1092,$C$5:$C$2004,C1092)&gt;1,1,0))</x:f>
      </x:c>
    </x:row>
    <x:row r="1093">
      <x:c r="A1093" s="8" t="n"/>
      <x:c r="B1093" s="8" t="n"/>
      <x:c r="C1093" s="8" t="n"/>
      <x:c r="D1093" s="8" t="n"/>
      <x:c r="E1093" s="8" t="n"/>
      <x:c r="F1093" s="8" t="n"/>
      <x:c r="G1093" s="7">
        <x:f>IF(A1093="","",IF(01_Parametres!$B$11="Oui",IF((01_Parametres!$B$4*(D1093&gt;0)+01_Parametres!$B$5*(E1093&gt;0)+01_Parametres!$B$6*(F1093&gt;0))=0,"",(01_Parametres!$B$4*IF(D1093&gt;0,D1093,0)+01_Parametres!$B$5*IF(E1093&gt;0,E1093,0)+01_Parametres!$B$6*IF(F1093&gt;0,F1093,0))/(01_Parametres!$B$4*(D1093&gt;0)+01_Parametres!$B$5*(E1093&gt;0)+01_Parametres!$B$6*(F1093&gt;0))),IF(01_Parametres!$B$8=0,"",(01_Parametres!$B$4*D1093+01_Parametres!$B$5*E1093+01_Parametres!$B$6*F1093)/01_Parametres!$B$8)))</x:f>
      </x:c>
      <x:c r="H1093">
        <x:f>IFERROR(VLOOKUP(C1093,02_Referentiels!$A$20:$D$99,3,FALSE),"")</x:f>
      </x:c>
      <x:c r="I1093">
        <x:f>IFERROR(VLOOKUP(B1093,02_Referentiels!$A$5:$C$16,2,FALSE),"")</x:f>
      </x:c>
      <x:c r="J1093">
        <x:f>IF(A1093="","",IF(OR(D1093="",E1093="",F1093=""),1,IF(OR(D1093&lt;0,D1093&gt;3,E1093&lt;0,E1093&gt;3,F1093&lt;0,F1093&gt;3),1,0)))</x:f>
      </x:c>
      <x:c r="K1093">
        <x:f>IF(A1093="","",IF(G1093="",1,0))</x:f>
      </x:c>
      <x:c r="L1093">
        <x:f>IF(A1093="","",IF(COUNTIFS($A$5:$A$2004,A1093,$C$5:$C$2004,C1093)&gt;1,1,0))</x:f>
      </x:c>
    </x:row>
    <x:row r="1094">
      <x:c r="A1094" s="8" t="n"/>
      <x:c r="B1094" s="8" t="n"/>
      <x:c r="C1094" s="8" t="n"/>
      <x:c r="D1094" s="8" t="n"/>
      <x:c r="E1094" s="8" t="n"/>
      <x:c r="F1094" s="8" t="n"/>
      <x:c r="G1094" s="7">
        <x:f>IF(A1094="","",IF(01_Parametres!$B$11="Oui",IF((01_Parametres!$B$4*(D1094&gt;0)+01_Parametres!$B$5*(E1094&gt;0)+01_Parametres!$B$6*(F1094&gt;0))=0,"",(01_Parametres!$B$4*IF(D1094&gt;0,D1094,0)+01_Parametres!$B$5*IF(E1094&gt;0,E1094,0)+01_Parametres!$B$6*IF(F1094&gt;0,F1094,0))/(01_Parametres!$B$4*(D1094&gt;0)+01_Parametres!$B$5*(E1094&gt;0)+01_Parametres!$B$6*(F1094&gt;0))),IF(01_Parametres!$B$8=0,"",(01_Parametres!$B$4*D1094+01_Parametres!$B$5*E1094+01_Parametres!$B$6*F1094)/01_Parametres!$B$8)))</x:f>
      </x:c>
      <x:c r="H1094">
        <x:f>IFERROR(VLOOKUP(C1094,02_Referentiels!$A$20:$D$99,3,FALSE),"")</x:f>
      </x:c>
      <x:c r="I1094">
        <x:f>IFERROR(VLOOKUP(B1094,02_Referentiels!$A$5:$C$16,2,FALSE),"")</x:f>
      </x:c>
      <x:c r="J1094">
        <x:f>IF(A1094="","",IF(OR(D1094="",E1094="",F1094=""),1,IF(OR(D1094&lt;0,D1094&gt;3,E1094&lt;0,E1094&gt;3,F1094&lt;0,F1094&gt;3),1,0)))</x:f>
      </x:c>
      <x:c r="K1094">
        <x:f>IF(A1094="","",IF(G1094="",1,0))</x:f>
      </x:c>
      <x:c r="L1094">
        <x:f>IF(A1094="","",IF(COUNTIFS($A$5:$A$2004,A1094,$C$5:$C$2004,C1094)&gt;1,1,0))</x:f>
      </x:c>
    </x:row>
    <x:row r="1095">
      <x:c r="A1095" s="8" t="n"/>
      <x:c r="B1095" s="8" t="n"/>
      <x:c r="C1095" s="8" t="n"/>
      <x:c r="D1095" s="8" t="n"/>
      <x:c r="E1095" s="8" t="n"/>
      <x:c r="F1095" s="8" t="n"/>
      <x:c r="G1095" s="7">
        <x:f>IF(A1095="","",IF(01_Parametres!$B$11="Oui",IF((01_Parametres!$B$4*(D1095&gt;0)+01_Parametres!$B$5*(E1095&gt;0)+01_Parametres!$B$6*(F1095&gt;0))=0,"",(01_Parametres!$B$4*IF(D1095&gt;0,D1095,0)+01_Parametres!$B$5*IF(E1095&gt;0,E1095,0)+01_Parametres!$B$6*IF(F1095&gt;0,F1095,0))/(01_Parametres!$B$4*(D1095&gt;0)+01_Parametres!$B$5*(E1095&gt;0)+01_Parametres!$B$6*(F1095&gt;0))),IF(01_Parametres!$B$8=0,"",(01_Parametres!$B$4*D1095+01_Parametres!$B$5*E1095+01_Parametres!$B$6*F1095)/01_Parametres!$B$8)))</x:f>
      </x:c>
      <x:c r="H1095">
        <x:f>IFERROR(VLOOKUP(C1095,02_Referentiels!$A$20:$D$99,3,FALSE),"")</x:f>
      </x:c>
      <x:c r="I1095">
        <x:f>IFERROR(VLOOKUP(B1095,02_Referentiels!$A$5:$C$16,2,FALSE),"")</x:f>
      </x:c>
      <x:c r="J1095">
        <x:f>IF(A1095="","",IF(OR(D1095="",E1095="",F1095=""),1,IF(OR(D1095&lt;0,D1095&gt;3,E1095&lt;0,E1095&gt;3,F1095&lt;0,F1095&gt;3),1,0)))</x:f>
      </x:c>
      <x:c r="K1095">
        <x:f>IF(A1095="","",IF(G1095="",1,0))</x:f>
      </x:c>
      <x:c r="L1095">
        <x:f>IF(A1095="","",IF(COUNTIFS($A$5:$A$2004,A1095,$C$5:$C$2004,C1095)&gt;1,1,0))</x:f>
      </x:c>
    </x:row>
    <x:row r="1096">
      <x:c r="A1096" s="8" t="n"/>
      <x:c r="B1096" s="8" t="n"/>
      <x:c r="C1096" s="8" t="n"/>
      <x:c r="D1096" s="8" t="n"/>
      <x:c r="E1096" s="8" t="n"/>
      <x:c r="F1096" s="8" t="n"/>
      <x:c r="G1096" s="7">
        <x:f>IF(A1096="","",IF(01_Parametres!$B$11="Oui",IF((01_Parametres!$B$4*(D1096&gt;0)+01_Parametres!$B$5*(E1096&gt;0)+01_Parametres!$B$6*(F1096&gt;0))=0,"",(01_Parametres!$B$4*IF(D1096&gt;0,D1096,0)+01_Parametres!$B$5*IF(E1096&gt;0,E1096,0)+01_Parametres!$B$6*IF(F1096&gt;0,F1096,0))/(01_Parametres!$B$4*(D1096&gt;0)+01_Parametres!$B$5*(E1096&gt;0)+01_Parametres!$B$6*(F1096&gt;0))),IF(01_Parametres!$B$8=0,"",(01_Parametres!$B$4*D1096+01_Parametres!$B$5*E1096+01_Parametres!$B$6*F1096)/01_Parametres!$B$8)))</x:f>
      </x:c>
      <x:c r="H1096">
        <x:f>IFERROR(VLOOKUP(C1096,02_Referentiels!$A$20:$D$99,3,FALSE),"")</x:f>
      </x:c>
      <x:c r="I1096">
        <x:f>IFERROR(VLOOKUP(B1096,02_Referentiels!$A$5:$C$16,2,FALSE),"")</x:f>
      </x:c>
      <x:c r="J1096">
        <x:f>IF(A1096="","",IF(OR(D1096="",E1096="",F1096=""),1,IF(OR(D1096&lt;0,D1096&gt;3,E1096&lt;0,E1096&gt;3,F1096&lt;0,F1096&gt;3),1,0)))</x:f>
      </x:c>
      <x:c r="K1096">
        <x:f>IF(A1096="","",IF(G1096="",1,0))</x:f>
      </x:c>
      <x:c r="L1096">
        <x:f>IF(A1096="","",IF(COUNTIFS($A$5:$A$2004,A1096,$C$5:$C$2004,C1096)&gt;1,1,0))</x:f>
      </x:c>
    </x:row>
    <x:row r="1097">
      <x:c r="A1097" s="8" t="n"/>
      <x:c r="B1097" s="8" t="n"/>
      <x:c r="C1097" s="8" t="n"/>
      <x:c r="D1097" s="8" t="n"/>
      <x:c r="E1097" s="8" t="n"/>
      <x:c r="F1097" s="8" t="n"/>
      <x:c r="G1097" s="7">
        <x:f>IF(A1097="","",IF(01_Parametres!$B$11="Oui",IF((01_Parametres!$B$4*(D1097&gt;0)+01_Parametres!$B$5*(E1097&gt;0)+01_Parametres!$B$6*(F1097&gt;0))=0,"",(01_Parametres!$B$4*IF(D1097&gt;0,D1097,0)+01_Parametres!$B$5*IF(E1097&gt;0,E1097,0)+01_Parametres!$B$6*IF(F1097&gt;0,F1097,0))/(01_Parametres!$B$4*(D1097&gt;0)+01_Parametres!$B$5*(E1097&gt;0)+01_Parametres!$B$6*(F1097&gt;0))),IF(01_Parametres!$B$8=0,"",(01_Parametres!$B$4*D1097+01_Parametres!$B$5*E1097+01_Parametres!$B$6*F1097)/01_Parametres!$B$8)))</x:f>
      </x:c>
      <x:c r="H1097">
        <x:f>IFERROR(VLOOKUP(C1097,02_Referentiels!$A$20:$D$99,3,FALSE),"")</x:f>
      </x:c>
      <x:c r="I1097">
        <x:f>IFERROR(VLOOKUP(B1097,02_Referentiels!$A$5:$C$16,2,FALSE),"")</x:f>
      </x:c>
      <x:c r="J1097">
        <x:f>IF(A1097="","",IF(OR(D1097="",E1097="",F1097=""),1,IF(OR(D1097&lt;0,D1097&gt;3,E1097&lt;0,E1097&gt;3,F1097&lt;0,F1097&gt;3),1,0)))</x:f>
      </x:c>
      <x:c r="K1097">
        <x:f>IF(A1097="","",IF(G1097="",1,0))</x:f>
      </x:c>
      <x:c r="L1097">
        <x:f>IF(A1097="","",IF(COUNTIFS($A$5:$A$2004,A1097,$C$5:$C$2004,C1097)&gt;1,1,0))</x:f>
      </x:c>
    </x:row>
    <x:row r="1098">
      <x:c r="A1098" s="8" t="n"/>
      <x:c r="B1098" s="8" t="n"/>
      <x:c r="C1098" s="8" t="n"/>
      <x:c r="D1098" s="8" t="n"/>
      <x:c r="E1098" s="8" t="n"/>
      <x:c r="F1098" s="8" t="n"/>
      <x:c r="G1098" s="7">
        <x:f>IF(A1098="","",IF(01_Parametres!$B$11="Oui",IF((01_Parametres!$B$4*(D1098&gt;0)+01_Parametres!$B$5*(E1098&gt;0)+01_Parametres!$B$6*(F1098&gt;0))=0,"",(01_Parametres!$B$4*IF(D1098&gt;0,D1098,0)+01_Parametres!$B$5*IF(E1098&gt;0,E1098,0)+01_Parametres!$B$6*IF(F1098&gt;0,F1098,0))/(01_Parametres!$B$4*(D1098&gt;0)+01_Parametres!$B$5*(E1098&gt;0)+01_Parametres!$B$6*(F1098&gt;0))),IF(01_Parametres!$B$8=0,"",(01_Parametres!$B$4*D1098+01_Parametres!$B$5*E1098+01_Parametres!$B$6*F1098)/01_Parametres!$B$8)))</x:f>
      </x:c>
      <x:c r="H1098">
        <x:f>IFERROR(VLOOKUP(C1098,02_Referentiels!$A$20:$D$99,3,FALSE),"")</x:f>
      </x:c>
      <x:c r="I1098">
        <x:f>IFERROR(VLOOKUP(B1098,02_Referentiels!$A$5:$C$16,2,FALSE),"")</x:f>
      </x:c>
      <x:c r="J1098">
        <x:f>IF(A1098="","",IF(OR(D1098="",E1098="",F1098=""),1,IF(OR(D1098&lt;0,D1098&gt;3,E1098&lt;0,E1098&gt;3,F1098&lt;0,F1098&gt;3),1,0)))</x:f>
      </x:c>
      <x:c r="K1098">
        <x:f>IF(A1098="","",IF(G1098="",1,0))</x:f>
      </x:c>
      <x:c r="L1098">
        <x:f>IF(A1098="","",IF(COUNTIFS($A$5:$A$2004,A1098,$C$5:$C$2004,C1098)&gt;1,1,0))</x:f>
      </x:c>
    </x:row>
    <x:row r="1099">
      <x:c r="A1099" s="8" t="n"/>
      <x:c r="B1099" s="8" t="n"/>
      <x:c r="C1099" s="8" t="n"/>
      <x:c r="D1099" s="8" t="n"/>
      <x:c r="E1099" s="8" t="n"/>
      <x:c r="F1099" s="8" t="n"/>
      <x:c r="G1099" s="7">
        <x:f>IF(A1099="","",IF(01_Parametres!$B$11="Oui",IF((01_Parametres!$B$4*(D1099&gt;0)+01_Parametres!$B$5*(E1099&gt;0)+01_Parametres!$B$6*(F1099&gt;0))=0,"",(01_Parametres!$B$4*IF(D1099&gt;0,D1099,0)+01_Parametres!$B$5*IF(E1099&gt;0,E1099,0)+01_Parametres!$B$6*IF(F1099&gt;0,F1099,0))/(01_Parametres!$B$4*(D1099&gt;0)+01_Parametres!$B$5*(E1099&gt;0)+01_Parametres!$B$6*(F1099&gt;0))),IF(01_Parametres!$B$8=0,"",(01_Parametres!$B$4*D1099+01_Parametres!$B$5*E1099+01_Parametres!$B$6*F1099)/01_Parametres!$B$8)))</x:f>
      </x:c>
      <x:c r="H1099">
        <x:f>IFERROR(VLOOKUP(C1099,02_Referentiels!$A$20:$D$99,3,FALSE),"")</x:f>
      </x:c>
      <x:c r="I1099">
        <x:f>IFERROR(VLOOKUP(B1099,02_Referentiels!$A$5:$C$16,2,FALSE),"")</x:f>
      </x:c>
      <x:c r="J1099">
        <x:f>IF(A1099="","",IF(OR(D1099="",E1099="",F1099=""),1,IF(OR(D1099&lt;0,D1099&gt;3,E1099&lt;0,E1099&gt;3,F1099&lt;0,F1099&gt;3),1,0)))</x:f>
      </x:c>
      <x:c r="K1099">
        <x:f>IF(A1099="","",IF(G1099="",1,0))</x:f>
      </x:c>
      <x:c r="L1099">
        <x:f>IF(A1099="","",IF(COUNTIFS($A$5:$A$2004,A1099,$C$5:$C$2004,C1099)&gt;1,1,0))</x:f>
      </x:c>
    </x:row>
    <x:row r="1100">
      <x:c r="A1100" s="8" t="n"/>
      <x:c r="B1100" s="8" t="n"/>
      <x:c r="C1100" s="8" t="n"/>
      <x:c r="D1100" s="8" t="n"/>
      <x:c r="E1100" s="8" t="n"/>
      <x:c r="F1100" s="8" t="n"/>
      <x:c r="G1100" s="7">
        <x:f>IF(A1100="","",IF(01_Parametres!$B$11="Oui",IF((01_Parametres!$B$4*(D1100&gt;0)+01_Parametres!$B$5*(E1100&gt;0)+01_Parametres!$B$6*(F1100&gt;0))=0,"",(01_Parametres!$B$4*IF(D1100&gt;0,D1100,0)+01_Parametres!$B$5*IF(E1100&gt;0,E1100,0)+01_Parametres!$B$6*IF(F1100&gt;0,F1100,0))/(01_Parametres!$B$4*(D1100&gt;0)+01_Parametres!$B$5*(E1100&gt;0)+01_Parametres!$B$6*(F1100&gt;0))),IF(01_Parametres!$B$8=0,"",(01_Parametres!$B$4*D1100+01_Parametres!$B$5*E1100+01_Parametres!$B$6*F1100)/01_Parametres!$B$8)))</x:f>
      </x:c>
      <x:c r="H1100">
        <x:f>IFERROR(VLOOKUP(C1100,02_Referentiels!$A$20:$D$99,3,FALSE),"")</x:f>
      </x:c>
      <x:c r="I1100">
        <x:f>IFERROR(VLOOKUP(B1100,02_Referentiels!$A$5:$C$16,2,FALSE),"")</x:f>
      </x:c>
      <x:c r="J1100">
        <x:f>IF(A1100="","",IF(OR(D1100="",E1100="",F1100=""),1,IF(OR(D1100&lt;0,D1100&gt;3,E1100&lt;0,E1100&gt;3,F1100&lt;0,F1100&gt;3),1,0)))</x:f>
      </x:c>
      <x:c r="K1100">
        <x:f>IF(A1100="","",IF(G1100="",1,0))</x:f>
      </x:c>
      <x:c r="L1100">
        <x:f>IF(A1100="","",IF(COUNTIFS($A$5:$A$2004,A1100,$C$5:$C$2004,C1100)&gt;1,1,0))</x:f>
      </x:c>
    </x:row>
    <x:row r="1101">
      <x:c r="A1101" s="8" t="n"/>
      <x:c r="B1101" s="8" t="n"/>
      <x:c r="C1101" s="8" t="n"/>
      <x:c r="D1101" s="8" t="n"/>
      <x:c r="E1101" s="8" t="n"/>
      <x:c r="F1101" s="8" t="n"/>
      <x:c r="G1101" s="7">
        <x:f>IF(A1101="","",IF(01_Parametres!$B$11="Oui",IF((01_Parametres!$B$4*(D1101&gt;0)+01_Parametres!$B$5*(E1101&gt;0)+01_Parametres!$B$6*(F1101&gt;0))=0,"",(01_Parametres!$B$4*IF(D1101&gt;0,D1101,0)+01_Parametres!$B$5*IF(E1101&gt;0,E1101,0)+01_Parametres!$B$6*IF(F1101&gt;0,F1101,0))/(01_Parametres!$B$4*(D1101&gt;0)+01_Parametres!$B$5*(E1101&gt;0)+01_Parametres!$B$6*(F1101&gt;0))),IF(01_Parametres!$B$8=0,"",(01_Parametres!$B$4*D1101+01_Parametres!$B$5*E1101+01_Parametres!$B$6*F1101)/01_Parametres!$B$8)))</x:f>
      </x:c>
      <x:c r="H1101">
        <x:f>IFERROR(VLOOKUP(C1101,02_Referentiels!$A$20:$D$99,3,FALSE),"")</x:f>
      </x:c>
      <x:c r="I1101">
        <x:f>IFERROR(VLOOKUP(B1101,02_Referentiels!$A$5:$C$16,2,FALSE),"")</x:f>
      </x:c>
      <x:c r="J1101">
        <x:f>IF(A1101="","",IF(OR(D1101="",E1101="",F1101=""),1,IF(OR(D1101&lt;0,D1101&gt;3,E1101&lt;0,E1101&gt;3,F1101&lt;0,F1101&gt;3),1,0)))</x:f>
      </x:c>
      <x:c r="K1101">
        <x:f>IF(A1101="","",IF(G1101="",1,0))</x:f>
      </x:c>
      <x:c r="L1101">
        <x:f>IF(A1101="","",IF(COUNTIFS($A$5:$A$2004,A1101,$C$5:$C$2004,C1101)&gt;1,1,0))</x:f>
      </x:c>
    </x:row>
    <x:row r="1102">
      <x:c r="A1102" s="8" t="n"/>
      <x:c r="B1102" s="8" t="n"/>
      <x:c r="C1102" s="8" t="n"/>
      <x:c r="D1102" s="8" t="n"/>
      <x:c r="E1102" s="8" t="n"/>
      <x:c r="F1102" s="8" t="n"/>
      <x:c r="G1102" s="7">
        <x:f>IF(A1102="","",IF(01_Parametres!$B$11="Oui",IF((01_Parametres!$B$4*(D1102&gt;0)+01_Parametres!$B$5*(E1102&gt;0)+01_Parametres!$B$6*(F1102&gt;0))=0,"",(01_Parametres!$B$4*IF(D1102&gt;0,D1102,0)+01_Parametres!$B$5*IF(E1102&gt;0,E1102,0)+01_Parametres!$B$6*IF(F1102&gt;0,F1102,0))/(01_Parametres!$B$4*(D1102&gt;0)+01_Parametres!$B$5*(E1102&gt;0)+01_Parametres!$B$6*(F1102&gt;0))),IF(01_Parametres!$B$8=0,"",(01_Parametres!$B$4*D1102+01_Parametres!$B$5*E1102+01_Parametres!$B$6*F1102)/01_Parametres!$B$8)))</x:f>
      </x:c>
      <x:c r="H1102">
        <x:f>IFERROR(VLOOKUP(C1102,02_Referentiels!$A$20:$D$99,3,FALSE),"")</x:f>
      </x:c>
      <x:c r="I1102">
        <x:f>IFERROR(VLOOKUP(B1102,02_Referentiels!$A$5:$C$16,2,FALSE),"")</x:f>
      </x:c>
      <x:c r="J1102">
        <x:f>IF(A1102="","",IF(OR(D1102="",E1102="",F1102=""),1,IF(OR(D1102&lt;0,D1102&gt;3,E1102&lt;0,E1102&gt;3,F1102&lt;0,F1102&gt;3),1,0)))</x:f>
      </x:c>
      <x:c r="K1102">
        <x:f>IF(A1102="","",IF(G1102="",1,0))</x:f>
      </x:c>
      <x:c r="L1102">
        <x:f>IF(A1102="","",IF(COUNTIFS($A$5:$A$2004,A1102,$C$5:$C$2004,C1102)&gt;1,1,0))</x:f>
      </x:c>
    </x:row>
    <x:row r="1103">
      <x:c r="A1103" s="8" t="n"/>
      <x:c r="B1103" s="8" t="n"/>
      <x:c r="C1103" s="8" t="n"/>
      <x:c r="D1103" s="8" t="n"/>
      <x:c r="E1103" s="8" t="n"/>
      <x:c r="F1103" s="8" t="n"/>
      <x:c r="G1103" s="7">
        <x:f>IF(A1103="","",IF(01_Parametres!$B$11="Oui",IF((01_Parametres!$B$4*(D1103&gt;0)+01_Parametres!$B$5*(E1103&gt;0)+01_Parametres!$B$6*(F1103&gt;0))=0,"",(01_Parametres!$B$4*IF(D1103&gt;0,D1103,0)+01_Parametres!$B$5*IF(E1103&gt;0,E1103,0)+01_Parametres!$B$6*IF(F1103&gt;0,F1103,0))/(01_Parametres!$B$4*(D1103&gt;0)+01_Parametres!$B$5*(E1103&gt;0)+01_Parametres!$B$6*(F1103&gt;0))),IF(01_Parametres!$B$8=0,"",(01_Parametres!$B$4*D1103+01_Parametres!$B$5*E1103+01_Parametres!$B$6*F1103)/01_Parametres!$B$8)))</x:f>
      </x:c>
      <x:c r="H1103">
        <x:f>IFERROR(VLOOKUP(C1103,02_Referentiels!$A$20:$D$99,3,FALSE),"")</x:f>
      </x:c>
      <x:c r="I1103">
        <x:f>IFERROR(VLOOKUP(B1103,02_Referentiels!$A$5:$C$16,2,FALSE),"")</x:f>
      </x:c>
      <x:c r="J1103">
        <x:f>IF(A1103="","",IF(OR(D1103="",E1103="",F1103=""),1,IF(OR(D1103&lt;0,D1103&gt;3,E1103&lt;0,E1103&gt;3,F1103&lt;0,F1103&gt;3),1,0)))</x:f>
      </x:c>
      <x:c r="K1103">
        <x:f>IF(A1103="","",IF(G1103="",1,0))</x:f>
      </x:c>
      <x:c r="L1103">
        <x:f>IF(A1103="","",IF(COUNTIFS($A$5:$A$2004,A1103,$C$5:$C$2004,C1103)&gt;1,1,0))</x:f>
      </x:c>
    </x:row>
    <x:row r="1104">
      <x:c r="A1104" s="8" t="n"/>
      <x:c r="B1104" s="8" t="n"/>
      <x:c r="C1104" s="8" t="n"/>
      <x:c r="D1104" s="8" t="n"/>
      <x:c r="E1104" s="8" t="n"/>
      <x:c r="F1104" s="8" t="n"/>
      <x:c r="G1104" s="7">
        <x:f>IF(A1104="","",IF(01_Parametres!$B$11="Oui",IF((01_Parametres!$B$4*(D1104&gt;0)+01_Parametres!$B$5*(E1104&gt;0)+01_Parametres!$B$6*(F1104&gt;0))=0,"",(01_Parametres!$B$4*IF(D1104&gt;0,D1104,0)+01_Parametres!$B$5*IF(E1104&gt;0,E1104,0)+01_Parametres!$B$6*IF(F1104&gt;0,F1104,0))/(01_Parametres!$B$4*(D1104&gt;0)+01_Parametres!$B$5*(E1104&gt;0)+01_Parametres!$B$6*(F1104&gt;0))),IF(01_Parametres!$B$8=0,"",(01_Parametres!$B$4*D1104+01_Parametres!$B$5*E1104+01_Parametres!$B$6*F1104)/01_Parametres!$B$8)))</x:f>
      </x:c>
      <x:c r="H1104">
        <x:f>IFERROR(VLOOKUP(C1104,02_Referentiels!$A$20:$D$99,3,FALSE),"")</x:f>
      </x:c>
      <x:c r="I1104">
        <x:f>IFERROR(VLOOKUP(B1104,02_Referentiels!$A$5:$C$16,2,FALSE),"")</x:f>
      </x:c>
      <x:c r="J1104">
        <x:f>IF(A1104="","",IF(OR(D1104="",E1104="",F1104=""),1,IF(OR(D1104&lt;0,D1104&gt;3,E1104&lt;0,E1104&gt;3,F1104&lt;0,F1104&gt;3),1,0)))</x:f>
      </x:c>
      <x:c r="K1104">
        <x:f>IF(A1104="","",IF(G1104="",1,0))</x:f>
      </x:c>
      <x:c r="L1104">
        <x:f>IF(A1104="","",IF(COUNTIFS($A$5:$A$2004,A1104,$C$5:$C$2004,C1104)&gt;1,1,0))</x:f>
      </x:c>
    </x:row>
    <x:row r="1105">
      <x:c r="A1105" s="8" t="n"/>
      <x:c r="B1105" s="8" t="n"/>
      <x:c r="C1105" s="8" t="n"/>
      <x:c r="D1105" s="8" t="n"/>
      <x:c r="E1105" s="8" t="n"/>
      <x:c r="F1105" s="8" t="n"/>
      <x:c r="G1105" s="7">
        <x:f>IF(A1105="","",IF(01_Parametres!$B$11="Oui",IF((01_Parametres!$B$4*(D1105&gt;0)+01_Parametres!$B$5*(E1105&gt;0)+01_Parametres!$B$6*(F1105&gt;0))=0,"",(01_Parametres!$B$4*IF(D1105&gt;0,D1105,0)+01_Parametres!$B$5*IF(E1105&gt;0,E1105,0)+01_Parametres!$B$6*IF(F1105&gt;0,F1105,0))/(01_Parametres!$B$4*(D1105&gt;0)+01_Parametres!$B$5*(E1105&gt;0)+01_Parametres!$B$6*(F1105&gt;0))),IF(01_Parametres!$B$8=0,"",(01_Parametres!$B$4*D1105+01_Parametres!$B$5*E1105+01_Parametres!$B$6*F1105)/01_Parametres!$B$8)))</x:f>
      </x:c>
      <x:c r="H1105">
        <x:f>IFERROR(VLOOKUP(C1105,02_Referentiels!$A$20:$D$99,3,FALSE),"")</x:f>
      </x:c>
      <x:c r="I1105">
        <x:f>IFERROR(VLOOKUP(B1105,02_Referentiels!$A$5:$C$16,2,FALSE),"")</x:f>
      </x:c>
      <x:c r="J1105">
        <x:f>IF(A1105="","",IF(OR(D1105="",E1105="",F1105=""),1,IF(OR(D1105&lt;0,D1105&gt;3,E1105&lt;0,E1105&gt;3,F1105&lt;0,F1105&gt;3),1,0)))</x:f>
      </x:c>
      <x:c r="K1105">
        <x:f>IF(A1105="","",IF(G1105="",1,0))</x:f>
      </x:c>
      <x:c r="L1105">
        <x:f>IF(A1105="","",IF(COUNTIFS($A$5:$A$2004,A1105,$C$5:$C$2004,C1105)&gt;1,1,0))</x:f>
      </x:c>
    </x:row>
    <x:row r="1106">
      <x:c r="A1106" s="8" t="n"/>
      <x:c r="B1106" s="8" t="n"/>
      <x:c r="C1106" s="8" t="n"/>
      <x:c r="D1106" s="8" t="n"/>
      <x:c r="E1106" s="8" t="n"/>
      <x:c r="F1106" s="8" t="n"/>
      <x:c r="G1106" s="7">
        <x:f>IF(A1106="","",IF(01_Parametres!$B$11="Oui",IF((01_Parametres!$B$4*(D1106&gt;0)+01_Parametres!$B$5*(E1106&gt;0)+01_Parametres!$B$6*(F1106&gt;0))=0,"",(01_Parametres!$B$4*IF(D1106&gt;0,D1106,0)+01_Parametres!$B$5*IF(E1106&gt;0,E1106,0)+01_Parametres!$B$6*IF(F1106&gt;0,F1106,0))/(01_Parametres!$B$4*(D1106&gt;0)+01_Parametres!$B$5*(E1106&gt;0)+01_Parametres!$B$6*(F1106&gt;0))),IF(01_Parametres!$B$8=0,"",(01_Parametres!$B$4*D1106+01_Parametres!$B$5*E1106+01_Parametres!$B$6*F1106)/01_Parametres!$B$8)))</x:f>
      </x:c>
      <x:c r="H1106">
        <x:f>IFERROR(VLOOKUP(C1106,02_Referentiels!$A$20:$D$99,3,FALSE),"")</x:f>
      </x:c>
      <x:c r="I1106">
        <x:f>IFERROR(VLOOKUP(B1106,02_Referentiels!$A$5:$C$16,2,FALSE),"")</x:f>
      </x:c>
      <x:c r="J1106">
        <x:f>IF(A1106="","",IF(OR(D1106="",E1106="",F1106=""),1,IF(OR(D1106&lt;0,D1106&gt;3,E1106&lt;0,E1106&gt;3,F1106&lt;0,F1106&gt;3),1,0)))</x:f>
      </x:c>
      <x:c r="K1106">
        <x:f>IF(A1106="","",IF(G1106="",1,0))</x:f>
      </x:c>
      <x:c r="L1106">
        <x:f>IF(A1106="","",IF(COUNTIFS($A$5:$A$2004,A1106,$C$5:$C$2004,C1106)&gt;1,1,0))</x:f>
      </x:c>
    </x:row>
    <x:row r="1107">
      <x:c r="A1107" s="8" t="n"/>
      <x:c r="B1107" s="8" t="n"/>
      <x:c r="C1107" s="8" t="n"/>
      <x:c r="D1107" s="8" t="n"/>
      <x:c r="E1107" s="8" t="n"/>
      <x:c r="F1107" s="8" t="n"/>
      <x:c r="G1107" s="7">
        <x:f>IF(A1107="","",IF(01_Parametres!$B$11="Oui",IF((01_Parametres!$B$4*(D1107&gt;0)+01_Parametres!$B$5*(E1107&gt;0)+01_Parametres!$B$6*(F1107&gt;0))=0,"",(01_Parametres!$B$4*IF(D1107&gt;0,D1107,0)+01_Parametres!$B$5*IF(E1107&gt;0,E1107,0)+01_Parametres!$B$6*IF(F1107&gt;0,F1107,0))/(01_Parametres!$B$4*(D1107&gt;0)+01_Parametres!$B$5*(E1107&gt;0)+01_Parametres!$B$6*(F1107&gt;0))),IF(01_Parametres!$B$8=0,"",(01_Parametres!$B$4*D1107+01_Parametres!$B$5*E1107+01_Parametres!$B$6*F1107)/01_Parametres!$B$8)))</x:f>
      </x:c>
      <x:c r="H1107">
        <x:f>IFERROR(VLOOKUP(C1107,02_Referentiels!$A$20:$D$99,3,FALSE),"")</x:f>
      </x:c>
      <x:c r="I1107">
        <x:f>IFERROR(VLOOKUP(B1107,02_Referentiels!$A$5:$C$16,2,FALSE),"")</x:f>
      </x:c>
      <x:c r="J1107">
        <x:f>IF(A1107="","",IF(OR(D1107="",E1107="",F1107=""),1,IF(OR(D1107&lt;0,D1107&gt;3,E1107&lt;0,E1107&gt;3,F1107&lt;0,F1107&gt;3),1,0)))</x:f>
      </x:c>
      <x:c r="K1107">
        <x:f>IF(A1107="","",IF(G1107="",1,0))</x:f>
      </x:c>
      <x:c r="L1107">
        <x:f>IF(A1107="","",IF(COUNTIFS($A$5:$A$2004,A1107,$C$5:$C$2004,C1107)&gt;1,1,0))</x:f>
      </x:c>
    </x:row>
    <x:row r="1108">
      <x:c r="A1108" s="8" t="n"/>
      <x:c r="B1108" s="8" t="n"/>
      <x:c r="C1108" s="8" t="n"/>
      <x:c r="D1108" s="8" t="n"/>
      <x:c r="E1108" s="8" t="n"/>
      <x:c r="F1108" s="8" t="n"/>
      <x:c r="G1108" s="7">
        <x:f>IF(A1108="","",IF(01_Parametres!$B$11="Oui",IF((01_Parametres!$B$4*(D1108&gt;0)+01_Parametres!$B$5*(E1108&gt;0)+01_Parametres!$B$6*(F1108&gt;0))=0,"",(01_Parametres!$B$4*IF(D1108&gt;0,D1108,0)+01_Parametres!$B$5*IF(E1108&gt;0,E1108,0)+01_Parametres!$B$6*IF(F1108&gt;0,F1108,0))/(01_Parametres!$B$4*(D1108&gt;0)+01_Parametres!$B$5*(E1108&gt;0)+01_Parametres!$B$6*(F1108&gt;0))),IF(01_Parametres!$B$8=0,"",(01_Parametres!$B$4*D1108+01_Parametres!$B$5*E1108+01_Parametres!$B$6*F1108)/01_Parametres!$B$8)))</x:f>
      </x:c>
      <x:c r="H1108">
        <x:f>IFERROR(VLOOKUP(C1108,02_Referentiels!$A$20:$D$99,3,FALSE),"")</x:f>
      </x:c>
      <x:c r="I1108">
        <x:f>IFERROR(VLOOKUP(B1108,02_Referentiels!$A$5:$C$16,2,FALSE),"")</x:f>
      </x:c>
      <x:c r="J1108">
        <x:f>IF(A1108="","",IF(OR(D1108="",E1108="",F1108=""),1,IF(OR(D1108&lt;0,D1108&gt;3,E1108&lt;0,E1108&gt;3,F1108&lt;0,F1108&gt;3),1,0)))</x:f>
      </x:c>
      <x:c r="K1108">
        <x:f>IF(A1108="","",IF(G1108="",1,0))</x:f>
      </x:c>
      <x:c r="L1108">
        <x:f>IF(A1108="","",IF(COUNTIFS($A$5:$A$2004,A1108,$C$5:$C$2004,C1108)&gt;1,1,0))</x:f>
      </x:c>
    </x:row>
    <x:row r="1109">
      <x:c r="A1109" s="8" t="n"/>
      <x:c r="B1109" s="8" t="n"/>
      <x:c r="C1109" s="8" t="n"/>
      <x:c r="D1109" s="8" t="n"/>
      <x:c r="E1109" s="8" t="n"/>
      <x:c r="F1109" s="8" t="n"/>
      <x:c r="G1109" s="7">
        <x:f>IF(A1109="","",IF(01_Parametres!$B$11="Oui",IF((01_Parametres!$B$4*(D1109&gt;0)+01_Parametres!$B$5*(E1109&gt;0)+01_Parametres!$B$6*(F1109&gt;0))=0,"",(01_Parametres!$B$4*IF(D1109&gt;0,D1109,0)+01_Parametres!$B$5*IF(E1109&gt;0,E1109,0)+01_Parametres!$B$6*IF(F1109&gt;0,F1109,0))/(01_Parametres!$B$4*(D1109&gt;0)+01_Parametres!$B$5*(E1109&gt;0)+01_Parametres!$B$6*(F1109&gt;0))),IF(01_Parametres!$B$8=0,"",(01_Parametres!$B$4*D1109+01_Parametres!$B$5*E1109+01_Parametres!$B$6*F1109)/01_Parametres!$B$8)))</x:f>
      </x:c>
      <x:c r="H1109">
        <x:f>IFERROR(VLOOKUP(C1109,02_Referentiels!$A$20:$D$99,3,FALSE),"")</x:f>
      </x:c>
      <x:c r="I1109">
        <x:f>IFERROR(VLOOKUP(B1109,02_Referentiels!$A$5:$C$16,2,FALSE),"")</x:f>
      </x:c>
      <x:c r="J1109">
        <x:f>IF(A1109="","",IF(OR(D1109="",E1109="",F1109=""),1,IF(OR(D1109&lt;0,D1109&gt;3,E1109&lt;0,E1109&gt;3,F1109&lt;0,F1109&gt;3),1,0)))</x:f>
      </x:c>
      <x:c r="K1109">
        <x:f>IF(A1109="","",IF(G1109="",1,0))</x:f>
      </x:c>
      <x:c r="L1109">
        <x:f>IF(A1109="","",IF(COUNTIFS($A$5:$A$2004,A1109,$C$5:$C$2004,C1109)&gt;1,1,0))</x:f>
      </x:c>
    </x:row>
    <x:row r="1110">
      <x:c r="A1110" s="8" t="n"/>
      <x:c r="B1110" s="8" t="n"/>
      <x:c r="C1110" s="8" t="n"/>
      <x:c r="D1110" s="8" t="n"/>
      <x:c r="E1110" s="8" t="n"/>
      <x:c r="F1110" s="8" t="n"/>
      <x:c r="G1110" s="7">
        <x:f>IF(A1110="","",IF(01_Parametres!$B$11="Oui",IF((01_Parametres!$B$4*(D1110&gt;0)+01_Parametres!$B$5*(E1110&gt;0)+01_Parametres!$B$6*(F1110&gt;0))=0,"",(01_Parametres!$B$4*IF(D1110&gt;0,D1110,0)+01_Parametres!$B$5*IF(E1110&gt;0,E1110,0)+01_Parametres!$B$6*IF(F1110&gt;0,F1110,0))/(01_Parametres!$B$4*(D1110&gt;0)+01_Parametres!$B$5*(E1110&gt;0)+01_Parametres!$B$6*(F1110&gt;0))),IF(01_Parametres!$B$8=0,"",(01_Parametres!$B$4*D1110+01_Parametres!$B$5*E1110+01_Parametres!$B$6*F1110)/01_Parametres!$B$8)))</x:f>
      </x:c>
      <x:c r="H1110">
        <x:f>IFERROR(VLOOKUP(C1110,02_Referentiels!$A$20:$D$99,3,FALSE),"")</x:f>
      </x:c>
      <x:c r="I1110">
        <x:f>IFERROR(VLOOKUP(B1110,02_Referentiels!$A$5:$C$16,2,FALSE),"")</x:f>
      </x:c>
      <x:c r="J1110">
        <x:f>IF(A1110="","",IF(OR(D1110="",E1110="",F1110=""),1,IF(OR(D1110&lt;0,D1110&gt;3,E1110&lt;0,E1110&gt;3,F1110&lt;0,F1110&gt;3),1,0)))</x:f>
      </x:c>
      <x:c r="K1110">
        <x:f>IF(A1110="","",IF(G1110="",1,0))</x:f>
      </x:c>
      <x:c r="L1110">
        <x:f>IF(A1110="","",IF(COUNTIFS($A$5:$A$2004,A1110,$C$5:$C$2004,C1110)&gt;1,1,0))</x:f>
      </x:c>
    </x:row>
    <x:row r="1111">
      <x:c r="A1111" s="8" t="n"/>
      <x:c r="B1111" s="8" t="n"/>
      <x:c r="C1111" s="8" t="n"/>
      <x:c r="D1111" s="8" t="n"/>
      <x:c r="E1111" s="8" t="n"/>
      <x:c r="F1111" s="8" t="n"/>
      <x:c r="G1111" s="7">
        <x:f>IF(A1111="","",IF(01_Parametres!$B$11="Oui",IF((01_Parametres!$B$4*(D1111&gt;0)+01_Parametres!$B$5*(E1111&gt;0)+01_Parametres!$B$6*(F1111&gt;0))=0,"",(01_Parametres!$B$4*IF(D1111&gt;0,D1111,0)+01_Parametres!$B$5*IF(E1111&gt;0,E1111,0)+01_Parametres!$B$6*IF(F1111&gt;0,F1111,0))/(01_Parametres!$B$4*(D1111&gt;0)+01_Parametres!$B$5*(E1111&gt;0)+01_Parametres!$B$6*(F1111&gt;0))),IF(01_Parametres!$B$8=0,"",(01_Parametres!$B$4*D1111+01_Parametres!$B$5*E1111+01_Parametres!$B$6*F1111)/01_Parametres!$B$8)))</x:f>
      </x:c>
      <x:c r="H1111">
        <x:f>IFERROR(VLOOKUP(C1111,02_Referentiels!$A$20:$D$99,3,FALSE),"")</x:f>
      </x:c>
      <x:c r="I1111">
        <x:f>IFERROR(VLOOKUP(B1111,02_Referentiels!$A$5:$C$16,2,FALSE),"")</x:f>
      </x:c>
      <x:c r="J1111">
        <x:f>IF(A1111="","",IF(OR(D1111="",E1111="",F1111=""),1,IF(OR(D1111&lt;0,D1111&gt;3,E1111&lt;0,E1111&gt;3,F1111&lt;0,F1111&gt;3),1,0)))</x:f>
      </x:c>
      <x:c r="K1111">
        <x:f>IF(A1111="","",IF(G1111="",1,0))</x:f>
      </x:c>
      <x:c r="L1111">
        <x:f>IF(A1111="","",IF(COUNTIFS($A$5:$A$2004,A1111,$C$5:$C$2004,C1111)&gt;1,1,0))</x:f>
      </x:c>
    </x:row>
    <x:row r="1112">
      <x:c r="A1112" s="8" t="n"/>
      <x:c r="B1112" s="8" t="n"/>
      <x:c r="C1112" s="8" t="n"/>
      <x:c r="D1112" s="8" t="n"/>
      <x:c r="E1112" s="8" t="n"/>
      <x:c r="F1112" s="8" t="n"/>
      <x:c r="G1112" s="7">
        <x:f>IF(A1112="","",IF(01_Parametres!$B$11="Oui",IF((01_Parametres!$B$4*(D1112&gt;0)+01_Parametres!$B$5*(E1112&gt;0)+01_Parametres!$B$6*(F1112&gt;0))=0,"",(01_Parametres!$B$4*IF(D1112&gt;0,D1112,0)+01_Parametres!$B$5*IF(E1112&gt;0,E1112,0)+01_Parametres!$B$6*IF(F1112&gt;0,F1112,0))/(01_Parametres!$B$4*(D1112&gt;0)+01_Parametres!$B$5*(E1112&gt;0)+01_Parametres!$B$6*(F1112&gt;0))),IF(01_Parametres!$B$8=0,"",(01_Parametres!$B$4*D1112+01_Parametres!$B$5*E1112+01_Parametres!$B$6*F1112)/01_Parametres!$B$8)))</x:f>
      </x:c>
      <x:c r="H1112">
        <x:f>IFERROR(VLOOKUP(C1112,02_Referentiels!$A$20:$D$99,3,FALSE),"")</x:f>
      </x:c>
      <x:c r="I1112">
        <x:f>IFERROR(VLOOKUP(B1112,02_Referentiels!$A$5:$C$16,2,FALSE),"")</x:f>
      </x:c>
      <x:c r="J1112">
        <x:f>IF(A1112="","",IF(OR(D1112="",E1112="",F1112=""),1,IF(OR(D1112&lt;0,D1112&gt;3,E1112&lt;0,E1112&gt;3,F1112&lt;0,F1112&gt;3),1,0)))</x:f>
      </x:c>
      <x:c r="K1112">
        <x:f>IF(A1112="","",IF(G1112="",1,0))</x:f>
      </x:c>
      <x:c r="L1112">
        <x:f>IF(A1112="","",IF(COUNTIFS($A$5:$A$2004,A1112,$C$5:$C$2004,C1112)&gt;1,1,0))</x:f>
      </x:c>
    </x:row>
    <x:row r="1113">
      <x:c r="A1113" s="8" t="n"/>
      <x:c r="B1113" s="8" t="n"/>
      <x:c r="C1113" s="8" t="n"/>
      <x:c r="D1113" s="8" t="n"/>
      <x:c r="E1113" s="8" t="n"/>
      <x:c r="F1113" s="8" t="n"/>
      <x:c r="G1113" s="7">
        <x:f>IF(A1113="","",IF(01_Parametres!$B$11="Oui",IF((01_Parametres!$B$4*(D1113&gt;0)+01_Parametres!$B$5*(E1113&gt;0)+01_Parametres!$B$6*(F1113&gt;0))=0,"",(01_Parametres!$B$4*IF(D1113&gt;0,D1113,0)+01_Parametres!$B$5*IF(E1113&gt;0,E1113,0)+01_Parametres!$B$6*IF(F1113&gt;0,F1113,0))/(01_Parametres!$B$4*(D1113&gt;0)+01_Parametres!$B$5*(E1113&gt;0)+01_Parametres!$B$6*(F1113&gt;0))),IF(01_Parametres!$B$8=0,"",(01_Parametres!$B$4*D1113+01_Parametres!$B$5*E1113+01_Parametres!$B$6*F1113)/01_Parametres!$B$8)))</x:f>
      </x:c>
      <x:c r="H1113">
        <x:f>IFERROR(VLOOKUP(C1113,02_Referentiels!$A$20:$D$99,3,FALSE),"")</x:f>
      </x:c>
      <x:c r="I1113">
        <x:f>IFERROR(VLOOKUP(B1113,02_Referentiels!$A$5:$C$16,2,FALSE),"")</x:f>
      </x:c>
      <x:c r="J1113">
        <x:f>IF(A1113="","",IF(OR(D1113="",E1113="",F1113=""),1,IF(OR(D1113&lt;0,D1113&gt;3,E1113&lt;0,E1113&gt;3,F1113&lt;0,F1113&gt;3),1,0)))</x:f>
      </x:c>
      <x:c r="K1113">
        <x:f>IF(A1113="","",IF(G1113="",1,0))</x:f>
      </x:c>
      <x:c r="L1113">
        <x:f>IF(A1113="","",IF(COUNTIFS($A$5:$A$2004,A1113,$C$5:$C$2004,C1113)&gt;1,1,0))</x:f>
      </x:c>
    </x:row>
    <x:row r="1114">
      <x:c r="A1114" s="8" t="n"/>
      <x:c r="B1114" s="8" t="n"/>
      <x:c r="C1114" s="8" t="n"/>
      <x:c r="D1114" s="8" t="n"/>
      <x:c r="E1114" s="8" t="n"/>
      <x:c r="F1114" s="8" t="n"/>
      <x:c r="G1114" s="7">
        <x:f>IF(A1114="","",IF(01_Parametres!$B$11="Oui",IF((01_Parametres!$B$4*(D1114&gt;0)+01_Parametres!$B$5*(E1114&gt;0)+01_Parametres!$B$6*(F1114&gt;0))=0,"",(01_Parametres!$B$4*IF(D1114&gt;0,D1114,0)+01_Parametres!$B$5*IF(E1114&gt;0,E1114,0)+01_Parametres!$B$6*IF(F1114&gt;0,F1114,0))/(01_Parametres!$B$4*(D1114&gt;0)+01_Parametres!$B$5*(E1114&gt;0)+01_Parametres!$B$6*(F1114&gt;0))),IF(01_Parametres!$B$8=0,"",(01_Parametres!$B$4*D1114+01_Parametres!$B$5*E1114+01_Parametres!$B$6*F1114)/01_Parametres!$B$8)))</x:f>
      </x:c>
      <x:c r="H1114">
        <x:f>IFERROR(VLOOKUP(C1114,02_Referentiels!$A$20:$D$99,3,FALSE),"")</x:f>
      </x:c>
      <x:c r="I1114">
        <x:f>IFERROR(VLOOKUP(B1114,02_Referentiels!$A$5:$C$16,2,FALSE),"")</x:f>
      </x:c>
      <x:c r="J1114">
        <x:f>IF(A1114="","",IF(OR(D1114="",E1114="",F1114=""),1,IF(OR(D1114&lt;0,D1114&gt;3,E1114&lt;0,E1114&gt;3,F1114&lt;0,F1114&gt;3),1,0)))</x:f>
      </x:c>
      <x:c r="K1114">
        <x:f>IF(A1114="","",IF(G1114="",1,0))</x:f>
      </x:c>
      <x:c r="L1114">
        <x:f>IF(A1114="","",IF(COUNTIFS($A$5:$A$2004,A1114,$C$5:$C$2004,C1114)&gt;1,1,0))</x:f>
      </x:c>
    </x:row>
    <x:row r="1115">
      <x:c r="A1115" s="8" t="n"/>
      <x:c r="B1115" s="8" t="n"/>
      <x:c r="C1115" s="8" t="n"/>
      <x:c r="D1115" s="8" t="n"/>
      <x:c r="E1115" s="8" t="n"/>
      <x:c r="F1115" s="8" t="n"/>
      <x:c r="G1115" s="7">
        <x:f>IF(A1115="","",IF(01_Parametres!$B$11="Oui",IF((01_Parametres!$B$4*(D1115&gt;0)+01_Parametres!$B$5*(E1115&gt;0)+01_Parametres!$B$6*(F1115&gt;0))=0,"",(01_Parametres!$B$4*IF(D1115&gt;0,D1115,0)+01_Parametres!$B$5*IF(E1115&gt;0,E1115,0)+01_Parametres!$B$6*IF(F1115&gt;0,F1115,0))/(01_Parametres!$B$4*(D1115&gt;0)+01_Parametres!$B$5*(E1115&gt;0)+01_Parametres!$B$6*(F1115&gt;0))),IF(01_Parametres!$B$8=0,"",(01_Parametres!$B$4*D1115+01_Parametres!$B$5*E1115+01_Parametres!$B$6*F1115)/01_Parametres!$B$8)))</x:f>
      </x:c>
      <x:c r="H1115">
        <x:f>IFERROR(VLOOKUP(C1115,02_Referentiels!$A$20:$D$99,3,FALSE),"")</x:f>
      </x:c>
      <x:c r="I1115">
        <x:f>IFERROR(VLOOKUP(B1115,02_Referentiels!$A$5:$C$16,2,FALSE),"")</x:f>
      </x:c>
      <x:c r="J1115">
        <x:f>IF(A1115="","",IF(OR(D1115="",E1115="",F1115=""),1,IF(OR(D1115&lt;0,D1115&gt;3,E1115&lt;0,E1115&gt;3,F1115&lt;0,F1115&gt;3),1,0)))</x:f>
      </x:c>
      <x:c r="K1115">
        <x:f>IF(A1115="","",IF(G1115="",1,0))</x:f>
      </x:c>
      <x:c r="L1115">
        <x:f>IF(A1115="","",IF(COUNTIFS($A$5:$A$2004,A1115,$C$5:$C$2004,C1115)&gt;1,1,0))</x:f>
      </x:c>
    </x:row>
    <x:row r="1116">
      <x:c r="A1116" s="8" t="n"/>
      <x:c r="B1116" s="8" t="n"/>
      <x:c r="C1116" s="8" t="n"/>
      <x:c r="D1116" s="8" t="n"/>
      <x:c r="E1116" s="8" t="n"/>
      <x:c r="F1116" s="8" t="n"/>
      <x:c r="G1116" s="7">
        <x:f>IF(A1116="","",IF(01_Parametres!$B$11="Oui",IF((01_Parametres!$B$4*(D1116&gt;0)+01_Parametres!$B$5*(E1116&gt;0)+01_Parametres!$B$6*(F1116&gt;0))=0,"",(01_Parametres!$B$4*IF(D1116&gt;0,D1116,0)+01_Parametres!$B$5*IF(E1116&gt;0,E1116,0)+01_Parametres!$B$6*IF(F1116&gt;0,F1116,0))/(01_Parametres!$B$4*(D1116&gt;0)+01_Parametres!$B$5*(E1116&gt;0)+01_Parametres!$B$6*(F1116&gt;0))),IF(01_Parametres!$B$8=0,"",(01_Parametres!$B$4*D1116+01_Parametres!$B$5*E1116+01_Parametres!$B$6*F1116)/01_Parametres!$B$8)))</x:f>
      </x:c>
      <x:c r="H1116">
        <x:f>IFERROR(VLOOKUP(C1116,02_Referentiels!$A$20:$D$99,3,FALSE),"")</x:f>
      </x:c>
      <x:c r="I1116">
        <x:f>IFERROR(VLOOKUP(B1116,02_Referentiels!$A$5:$C$16,2,FALSE),"")</x:f>
      </x:c>
      <x:c r="J1116">
        <x:f>IF(A1116="","",IF(OR(D1116="",E1116="",F1116=""),1,IF(OR(D1116&lt;0,D1116&gt;3,E1116&lt;0,E1116&gt;3,F1116&lt;0,F1116&gt;3),1,0)))</x:f>
      </x:c>
      <x:c r="K1116">
        <x:f>IF(A1116="","",IF(G1116="",1,0))</x:f>
      </x:c>
      <x:c r="L1116">
        <x:f>IF(A1116="","",IF(COUNTIFS($A$5:$A$2004,A1116,$C$5:$C$2004,C1116)&gt;1,1,0))</x:f>
      </x:c>
    </x:row>
    <x:row r="1117">
      <x:c r="A1117" s="8" t="n"/>
      <x:c r="B1117" s="8" t="n"/>
      <x:c r="C1117" s="8" t="n"/>
      <x:c r="D1117" s="8" t="n"/>
      <x:c r="E1117" s="8" t="n"/>
      <x:c r="F1117" s="8" t="n"/>
      <x:c r="G1117" s="7">
        <x:f>IF(A1117="","",IF(01_Parametres!$B$11="Oui",IF((01_Parametres!$B$4*(D1117&gt;0)+01_Parametres!$B$5*(E1117&gt;0)+01_Parametres!$B$6*(F1117&gt;0))=0,"",(01_Parametres!$B$4*IF(D1117&gt;0,D1117,0)+01_Parametres!$B$5*IF(E1117&gt;0,E1117,0)+01_Parametres!$B$6*IF(F1117&gt;0,F1117,0))/(01_Parametres!$B$4*(D1117&gt;0)+01_Parametres!$B$5*(E1117&gt;0)+01_Parametres!$B$6*(F1117&gt;0))),IF(01_Parametres!$B$8=0,"",(01_Parametres!$B$4*D1117+01_Parametres!$B$5*E1117+01_Parametres!$B$6*F1117)/01_Parametres!$B$8)))</x:f>
      </x:c>
      <x:c r="H1117">
        <x:f>IFERROR(VLOOKUP(C1117,02_Referentiels!$A$20:$D$99,3,FALSE),"")</x:f>
      </x:c>
      <x:c r="I1117">
        <x:f>IFERROR(VLOOKUP(B1117,02_Referentiels!$A$5:$C$16,2,FALSE),"")</x:f>
      </x:c>
      <x:c r="J1117">
        <x:f>IF(A1117="","",IF(OR(D1117="",E1117="",F1117=""),1,IF(OR(D1117&lt;0,D1117&gt;3,E1117&lt;0,E1117&gt;3,F1117&lt;0,F1117&gt;3),1,0)))</x:f>
      </x:c>
      <x:c r="K1117">
        <x:f>IF(A1117="","",IF(G1117="",1,0))</x:f>
      </x:c>
      <x:c r="L1117">
        <x:f>IF(A1117="","",IF(COUNTIFS($A$5:$A$2004,A1117,$C$5:$C$2004,C1117)&gt;1,1,0))</x:f>
      </x:c>
    </x:row>
    <x:row r="1118">
      <x:c r="A1118" s="8" t="n"/>
      <x:c r="B1118" s="8" t="n"/>
      <x:c r="C1118" s="8" t="n"/>
      <x:c r="D1118" s="8" t="n"/>
      <x:c r="E1118" s="8" t="n"/>
      <x:c r="F1118" s="8" t="n"/>
      <x:c r="G1118" s="7">
        <x:f>IF(A1118="","",IF(01_Parametres!$B$11="Oui",IF((01_Parametres!$B$4*(D1118&gt;0)+01_Parametres!$B$5*(E1118&gt;0)+01_Parametres!$B$6*(F1118&gt;0))=0,"",(01_Parametres!$B$4*IF(D1118&gt;0,D1118,0)+01_Parametres!$B$5*IF(E1118&gt;0,E1118,0)+01_Parametres!$B$6*IF(F1118&gt;0,F1118,0))/(01_Parametres!$B$4*(D1118&gt;0)+01_Parametres!$B$5*(E1118&gt;0)+01_Parametres!$B$6*(F1118&gt;0))),IF(01_Parametres!$B$8=0,"",(01_Parametres!$B$4*D1118+01_Parametres!$B$5*E1118+01_Parametres!$B$6*F1118)/01_Parametres!$B$8)))</x:f>
      </x:c>
      <x:c r="H1118">
        <x:f>IFERROR(VLOOKUP(C1118,02_Referentiels!$A$20:$D$99,3,FALSE),"")</x:f>
      </x:c>
      <x:c r="I1118">
        <x:f>IFERROR(VLOOKUP(B1118,02_Referentiels!$A$5:$C$16,2,FALSE),"")</x:f>
      </x:c>
      <x:c r="J1118">
        <x:f>IF(A1118="","",IF(OR(D1118="",E1118="",F1118=""),1,IF(OR(D1118&lt;0,D1118&gt;3,E1118&lt;0,E1118&gt;3,F1118&lt;0,F1118&gt;3),1,0)))</x:f>
      </x:c>
      <x:c r="K1118">
        <x:f>IF(A1118="","",IF(G1118="",1,0))</x:f>
      </x:c>
      <x:c r="L1118">
        <x:f>IF(A1118="","",IF(COUNTIFS($A$5:$A$2004,A1118,$C$5:$C$2004,C1118)&gt;1,1,0))</x:f>
      </x:c>
    </x:row>
    <x:row r="1119">
      <x:c r="A1119" s="8" t="n"/>
      <x:c r="B1119" s="8" t="n"/>
      <x:c r="C1119" s="8" t="n"/>
      <x:c r="D1119" s="8" t="n"/>
      <x:c r="E1119" s="8" t="n"/>
      <x:c r="F1119" s="8" t="n"/>
      <x:c r="G1119" s="7">
        <x:f>IF(A1119="","",IF(01_Parametres!$B$11="Oui",IF((01_Parametres!$B$4*(D1119&gt;0)+01_Parametres!$B$5*(E1119&gt;0)+01_Parametres!$B$6*(F1119&gt;0))=0,"",(01_Parametres!$B$4*IF(D1119&gt;0,D1119,0)+01_Parametres!$B$5*IF(E1119&gt;0,E1119,0)+01_Parametres!$B$6*IF(F1119&gt;0,F1119,0))/(01_Parametres!$B$4*(D1119&gt;0)+01_Parametres!$B$5*(E1119&gt;0)+01_Parametres!$B$6*(F1119&gt;0))),IF(01_Parametres!$B$8=0,"",(01_Parametres!$B$4*D1119+01_Parametres!$B$5*E1119+01_Parametres!$B$6*F1119)/01_Parametres!$B$8)))</x:f>
      </x:c>
      <x:c r="H1119">
        <x:f>IFERROR(VLOOKUP(C1119,02_Referentiels!$A$20:$D$99,3,FALSE),"")</x:f>
      </x:c>
      <x:c r="I1119">
        <x:f>IFERROR(VLOOKUP(B1119,02_Referentiels!$A$5:$C$16,2,FALSE),"")</x:f>
      </x:c>
      <x:c r="J1119">
        <x:f>IF(A1119="","",IF(OR(D1119="",E1119="",F1119=""),1,IF(OR(D1119&lt;0,D1119&gt;3,E1119&lt;0,E1119&gt;3,F1119&lt;0,F1119&gt;3),1,0)))</x:f>
      </x:c>
      <x:c r="K1119">
        <x:f>IF(A1119="","",IF(G1119="",1,0))</x:f>
      </x:c>
      <x:c r="L1119">
        <x:f>IF(A1119="","",IF(COUNTIFS($A$5:$A$2004,A1119,$C$5:$C$2004,C1119)&gt;1,1,0))</x:f>
      </x:c>
    </x:row>
    <x:row r="1120">
      <x:c r="A1120" s="8" t="n"/>
      <x:c r="B1120" s="8" t="n"/>
      <x:c r="C1120" s="8" t="n"/>
      <x:c r="D1120" s="8" t="n"/>
      <x:c r="E1120" s="8" t="n"/>
      <x:c r="F1120" s="8" t="n"/>
      <x:c r="G1120" s="7">
        <x:f>IF(A1120="","",IF(01_Parametres!$B$11="Oui",IF((01_Parametres!$B$4*(D1120&gt;0)+01_Parametres!$B$5*(E1120&gt;0)+01_Parametres!$B$6*(F1120&gt;0))=0,"",(01_Parametres!$B$4*IF(D1120&gt;0,D1120,0)+01_Parametres!$B$5*IF(E1120&gt;0,E1120,0)+01_Parametres!$B$6*IF(F1120&gt;0,F1120,0))/(01_Parametres!$B$4*(D1120&gt;0)+01_Parametres!$B$5*(E1120&gt;0)+01_Parametres!$B$6*(F1120&gt;0))),IF(01_Parametres!$B$8=0,"",(01_Parametres!$B$4*D1120+01_Parametres!$B$5*E1120+01_Parametres!$B$6*F1120)/01_Parametres!$B$8)))</x:f>
      </x:c>
      <x:c r="H1120">
        <x:f>IFERROR(VLOOKUP(C1120,02_Referentiels!$A$20:$D$99,3,FALSE),"")</x:f>
      </x:c>
      <x:c r="I1120">
        <x:f>IFERROR(VLOOKUP(B1120,02_Referentiels!$A$5:$C$16,2,FALSE),"")</x:f>
      </x:c>
      <x:c r="J1120">
        <x:f>IF(A1120="","",IF(OR(D1120="",E1120="",F1120=""),1,IF(OR(D1120&lt;0,D1120&gt;3,E1120&lt;0,E1120&gt;3,F1120&lt;0,F1120&gt;3),1,0)))</x:f>
      </x:c>
      <x:c r="K1120">
        <x:f>IF(A1120="","",IF(G1120="",1,0))</x:f>
      </x:c>
      <x:c r="L1120">
        <x:f>IF(A1120="","",IF(COUNTIFS($A$5:$A$2004,A1120,$C$5:$C$2004,C1120)&gt;1,1,0))</x:f>
      </x:c>
    </x:row>
    <x:row r="1121">
      <x:c r="A1121" s="8" t="n"/>
      <x:c r="B1121" s="8" t="n"/>
      <x:c r="C1121" s="8" t="n"/>
      <x:c r="D1121" s="8" t="n"/>
      <x:c r="E1121" s="8" t="n"/>
      <x:c r="F1121" s="8" t="n"/>
      <x:c r="G1121" s="7">
        <x:f>IF(A1121="","",IF(01_Parametres!$B$11="Oui",IF((01_Parametres!$B$4*(D1121&gt;0)+01_Parametres!$B$5*(E1121&gt;0)+01_Parametres!$B$6*(F1121&gt;0))=0,"",(01_Parametres!$B$4*IF(D1121&gt;0,D1121,0)+01_Parametres!$B$5*IF(E1121&gt;0,E1121,0)+01_Parametres!$B$6*IF(F1121&gt;0,F1121,0))/(01_Parametres!$B$4*(D1121&gt;0)+01_Parametres!$B$5*(E1121&gt;0)+01_Parametres!$B$6*(F1121&gt;0))),IF(01_Parametres!$B$8=0,"",(01_Parametres!$B$4*D1121+01_Parametres!$B$5*E1121+01_Parametres!$B$6*F1121)/01_Parametres!$B$8)))</x:f>
      </x:c>
      <x:c r="H1121">
        <x:f>IFERROR(VLOOKUP(C1121,02_Referentiels!$A$20:$D$99,3,FALSE),"")</x:f>
      </x:c>
      <x:c r="I1121">
        <x:f>IFERROR(VLOOKUP(B1121,02_Referentiels!$A$5:$C$16,2,FALSE),"")</x:f>
      </x:c>
      <x:c r="J1121">
        <x:f>IF(A1121="","",IF(OR(D1121="",E1121="",F1121=""),1,IF(OR(D1121&lt;0,D1121&gt;3,E1121&lt;0,E1121&gt;3,F1121&lt;0,F1121&gt;3),1,0)))</x:f>
      </x:c>
      <x:c r="K1121">
        <x:f>IF(A1121="","",IF(G1121="",1,0))</x:f>
      </x:c>
      <x:c r="L1121">
        <x:f>IF(A1121="","",IF(COUNTIFS($A$5:$A$2004,A1121,$C$5:$C$2004,C1121)&gt;1,1,0))</x:f>
      </x:c>
    </x:row>
    <x:row r="1122">
      <x:c r="A1122" s="8" t="n"/>
      <x:c r="B1122" s="8" t="n"/>
      <x:c r="C1122" s="8" t="n"/>
      <x:c r="D1122" s="8" t="n"/>
      <x:c r="E1122" s="8" t="n"/>
      <x:c r="F1122" s="8" t="n"/>
      <x:c r="G1122" s="7">
        <x:f>IF(A1122="","",IF(01_Parametres!$B$11="Oui",IF((01_Parametres!$B$4*(D1122&gt;0)+01_Parametres!$B$5*(E1122&gt;0)+01_Parametres!$B$6*(F1122&gt;0))=0,"",(01_Parametres!$B$4*IF(D1122&gt;0,D1122,0)+01_Parametres!$B$5*IF(E1122&gt;0,E1122,0)+01_Parametres!$B$6*IF(F1122&gt;0,F1122,0))/(01_Parametres!$B$4*(D1122&gt;0)+01_Parametres!$B$5*(E1122&gt;0)+01_Parametres!$B$6*(F1122&gt;0))),IF(01_Parametres!$B$8=0,"",(01_Parametres!$B$4*D1122+01_Parametres!$B$5*E1122+01_Parametres!$B$6*F1122)/01_Parametres!$B$8)))</x:f>
      </x:c>
      <x:c r="H1122">
        <x:f>IFERROR(VLOOKUP(C1122,02_Referentiels!$A$20:$D$99,3,FALSE),"")</x:f>
      </x:c>
      <x:c r="I1122">
        <x:f>IFERROR(VLOOKUP(B1122,02_Referentiels!$A$5:$C$16,2,FALSE),"")</x:f>
      </x:c>
      <x:c r="J1122">
        <x:f>IF(A1122="","",IF(OR(D1122="",E1122="",F1122=""),1,IF(OR(D1122&lt;0,D1122&gt;3,E1122&lt;0,E1122&gt;3,F1122&lt;0,F1122&gt;3),1,0)))</x:f>
      </x:c>
      <x:c r="K1122">
        <x:f>IF(A1122="","",IF(G1122="",1,0))</x:f>
      </x:c>
      <x:c r="L1122">
        <x:f>IF(A1122="","",IF(COUNTIFS($A$5:$A$2004,A1122,$C$5:$C$2004,C1122)&gt;1,1,0))</x:f>
      </x:c>
    </x:row>
    <x:row r="1123">
      <x:c r="A1123" s="8" t="n"/>
      <x:c r="B1123" s="8" t="n"/>
      <x:c r="C1123" s="8" t="n"/>
      <x:c r="D1123" s="8" t="n"/>
      <x:c r="E1123" s="8" t="n"/>
      <x:c r="F1123" s="8" t="n"/>
      <x:c r="G1123" s="7">
        <x:f>IF(A1123="","",IF(01_Parametres!$B$11="Oui",IF((01_Parametres!$B$4*(D1123&gt;0)+01_Parametres!$B$5*(E1123&gt;0)+01_Parametres!$B$6*(F1123&gt;0))=0,"",(01_Parametres!$B$4*IF(D1123&gt;0,D1123,0)+01_Parametres!$B$5*IF(E1123&gt;0,E1123,0)+01_Parametres!$B$6*IF(F1123&gt;0,F1123,0))/(01_Parametres!$B$4*(D1123&gt;0)+01_Parametres!$B$5*(E1123&gt;0)+01_Parametres!$B$6*(F1123&gt;0))),IF(01_Parametres!$B$8=0,"",(01_Parametres!$B$4*D1123+01_Parametres!$B$5*E1123+01_Parametres!$B$6*F1123)/01_Parametres!$B$8)))</x:f>
      </x:c>
      <x:c r="H1123">
        <x:f>IFERROR(VLOOKUP(C1123,02_Referentiels!$A$20:$D$99,3,FALSE),"")</x:f>
      </x:c>
      <x:c r="I1123">
        <x:f>IFERROR(VLOOKUP(B1123,02_Referentiels!$A$5:$C$16,2,FALSE),"")</x:f>
      </x:c>
      <x:c r="J1123">
        <x:f>IF(A1123="","",IF(OR(D1123="",E1123="",F1123=""),1,IF(OR(D1123&lt;0,D1123&gt;3,E1123&lt;0,E1123&gt;3,F1123&lt;0,F1123&gt;3),1,0)))</x:f>
      </x:c>
      <x:c r="K1123">
        <x:f>IF(A1123="","",IF(G1123="",1,0))</x:f>
      </x:c>
      <x:c r="L1123">
        <x:f>IF(A1123="","",IF(COUNTIFS($A$5:$A$2004,A1123,$C$5:$C$2004,C1123)&gt;1,1,0))</x:f>
      </x:c>
    </x:row>
    <x:row r="1124">
      <x:c r="A1124" s="8" t="n"/>
      <x:c r="B1124" s="8" t="n"/>
      <x:c r="C1124" s="8" t="n"/>
      <x:c r="D1124" s="8" t="n"/>
      <x:c r="E1124" s="8" t="n"/>
      <x:c r="F1124" s="8" t="n"/>
      <x:c r="G1124" s="7">
        <x:f>IF(A1124="","",IF(01_Parametres!$B$11="Oui",IF((01_Parametres!$B$4*(D1124&gt;0)+01_Parametres!$B$5*(E1124&gt;0)+01_Parametres!$B$6*(F1124&gt;0))=0,"",(01_Parametres!$B$4*IF(D1124&gt;0,D1124,0)+01_Parametres!$B$5*IF(E1124&gt;0,E1124,0)+01_Parametres!$B$6*IF(F1124&gt;0,F1124,0))/(01_Parametres!$B$4*(D1124&gt;0)+01_Parametres!$B$5*(E1124&gt;0)+01_Parametres!$B$6*(F1124&gt;0))),IF(01_Parametres!$B$8=0,"",(01_Parametres!$B$4*D1124+01_Parametres!$B$5*E1124+01_Parametres!$B$6*F1124)/01_Parametres!$B$8)))</x:f>
      </x:c>
      <x:c r="H1124">
        <x:f>IFERROR(VLOOKUP(C1124,02_Referentiels!$A$20:$D$99,3,FALSE),"")</x:f>
      </x:c>
      <x:c r="I1124">
        <x:f>IFERROR(VLOOKUP(B1124,02_Referentiels!$A$5:$C$16,2,FALSE),"")</x:f>
      </x:c>
      <x:c r="J1124">
        <x:f>IF(A1124="","",IF(OR(D1124="",E1124="",F1124=""),1,IF(OR(D1124&lt;0,D1124&gt;3,E1124&lt;0,E1124&gt;3,F1124&lt;0,F1124&gt;3),1,0)))</x:f>
      </x:c>
      <x:c r="K1124">
        <x:f>IF(A1124="","",IF(G1124="",1,0))</x:f>
      </x:c>
      <x:c r="L1124">
        <x:f>IF(A1124="","",IF(COUNTIFS($A$5:$A$2004,A1124,$C$5:$C$2004,C1124)&gt;1,1,0))</x:f>
      </x:c>
    </x:row>
    <x:row r="1125">
      <x:c r="A1125" s="8" t="n"/>
      <x:c r="B1125" s="8" t="n"/>
      <x:c r="C1125" s="8" t="n"/>
      <x:c r="D1125" s="8" t="n"/>
      <x:c r="E1125" s="8" t="n"/>
      <x:c r="F1125" s="8" t="n"/>
      <x:c r="G1125" s="7">
        <x:f>IF(A1125="","",IF(01_Parametres!$B$11="Oui",IF((01_Parametres!$B$4*(D1125&gt;0)+01_Parametres!$B$5*(E1125&gt;0)+01_Parametres!$B$6*(F1125&gt;0))=0,"",(01_Parametres!$B$4*IF(D1125&gt;0,D1125,0)+01_Parametres!$B$5*IF(E1125&gt;0,E1125,0)+01_Parametres!$B$6*IF(F1125&gt;0,F1125,0))/(01_Parametres!$B$4*(D1125&gt;0)+01_Parametres!$B$5*(E1125&gt;0)+01_Parametres!$B$6*(F1125&gt;0))),IF(01_Parametres!$B$8=0,"",(01_Parametres!$B$4*D1125+01_Parametres!$B$5*E1125+01_Parametres!$B$6*F1125)/01_Parametres!$B$8)))</x:f>
      </x:c>
      <x:c r="H1125">
        <x:f>IFERROR(VLOOKUP(C1125,02_Referentiels!$A$20:$D$99,3,FALSE),"")</x:f>
      </x:c>
      <x:c r="I1125">
        <x:f>IFERROR(VLOOKUP(B1125,02_Referentiels!$A$5:$C$16,2,FALSE),"")</x:f>
      </x:c>
      <x:c r="J1125">
        <x:f>IF(A1125="","",IF(OR(D1125="",E1125="",F1125=""),1,IF(OR(D1125&lt;0,D1125&gt;3,E1125&lt;0,E1125&gt;3,F1125&lt;0,F1125&gt;3),1,0)))</x:f>
      </x:c>
      <x:c r="K1125">
        <x:f>IF(A1125="","",IF(G1125="",1,0))</x:f>
      </x:c>
      <x:c r="L1125">
        <x:f>IF(A1125="","",IF(COUNTIFS($A$5:$A$2004,A1125,$C$5:$C$2004,C1125)&gt;1,1,0))</x:f>
      </x:c>
    </x:row>
    <x:row r="1126">
      <x:c r="A1126" s="8" t="n"/>
      <x:c r="B1126" s="8" t="n"/>
      <x:c r="C1126" s="8" t="n"/>
      <x:c r="D1126" s="8" t="n"/>
      <x:c r="E1126" s="8" t="n"/>
      <x:c r="F1126" s="8" t="n"/>
      <x:c r="G1126" s="7">
        <x:f>IF(A1126="","",IF(01_Parametres!$B$11="Oui",IF((01_Parametres!$B$4*(D1126&gt;0)+01_Parametres!$B$5*(E1126&gt;0)+01_Parametres!$B$6*(F1126&gt;0))=0,"",(01_Parametres!$B$4*IF(D1126&gt;0,D1126,0)+01_Parametres!$B$5*IF(E1126&gt;0,E1126,0)+01_Parametres!$B$6*IF(F1126&gt;0,F1126,0))/(01_Parametres!$B$4*(D1126&gt;0)+01_Parametres!$B$5*(E1126&gt;0)+01_Parametres!$B$6*(F1126&gt;0))),IF(01_Parametres!$B$8=0,"",(01_Parametres!$B$4*D1126+01_Parametres!$B$5*E1126+01_Parametres!$B$6*F1126)/01_Parametres!$B$8)))</x:f>
      </x:c>
      <x:c r="H1126">
        <x:f>IFERROR(VLOOKUP(C1126,02_Referentiels!$A$20:$D$99,3,FALSE),"")</x:f>
      </x:c>
      <x:c r="I1126">
        <x:f>IFERROR(VLOOKUP(B1126,02_Referentiels!$A$5:$C$16,2,FALSE),"")</x:f>
      </x:c>
      <x:c r="J1126">
        <x:f>IF(A1126="","",IF(OR(D1126="",E1126="",F1126=""),1,IF(OR(D1126&lt;0,D1126&gt;3,E1126&lt;0,E1126&gt;3,F1126&lt;0,F1126&gt;3),1,0)))</x:f>
      </x:c>
      <x:c r="K1126">
        <x:f>IF(A1126="","",IF(G1126="",1,0))</x:f>
      </x:c>
      <x:c r="L1126">
        <x:f>IF(A1126="","",IF(COUNTIFS($A$5:$A$2004,A1126,$C$5:$C$2004,C1126)&gt;1,1,0))</x:f>
      </x:c>
    </x:row>
    <x:row r="1127">
      <x:c r="A1127" s="8" t="n"/>
      <x:c r="B1127" s="8" t="n"/>
      <x:c r="C1127" s="8" t="n"/>
      <x:c r="D1127" s="8" t="n"/>
      <x:c r="E1127" s="8" t="n"/>
      <x:c r="F1127" s="8" t="n"/>
      <x:c r="G1127" s="7">
        <x:f>IF(A1127="","",IF(01_Parametres!$B$11="Oui",IF((01_Parametres!$B$4*(D1127&gt;0)+01_Parametres!$B$5*(E1127&gt;0)+01_Parametres!$B$6*(F1127&gt;0))=0,"",(01_Parametres!$B$4*IF(D1127&gt;0,D1127,0)+01_Parametres!$B$5*IF(E1127&gt;0,E1127,0)+01_Parametres!$B$6*IF(F1127&gt;0,F1127,0))/(01_Parametres!$B$4*(D1127&gt;0)+01_Parametres!$B$5*(E1127&gt;0)+01_Parametres!$B$6*(F1127&gt;0))),IF(01_Parametres!$B$8=0,"",(01_Parametres!$B$4*D1127+01_Parametres!$B$5*E1127+01_Parametres!$B$6*F1127)/01_Parametres!$B$8)))</x:f>
      </x:c>
      <x:c r="H1127">
        <x:f>IFERROR(VLOOKUP(C1127,02_Referentiels!$A$20:$D$99,3,FALSE),"")</x:f>
      </x:c>
      <x:c r="I1127">
        <x:f>IFERROR(VLOOKUP(B1127,02_Referentiels!$A$5:$C$16,2,FALSE),"")</x:f>
      </x:c>
      <x:c r="J1127">
        <x:f>IF(A1127="","",IF(OR(D1127="",E1127="",F1127=""),1,IF(OR(D1127&lt;0,D1127&gt;3,E1127&lt;0,E1127&gt;3,F1127&lt;0,F1127&gt;3),1,0)))</x:f>
      </x:c>
      <x:c r="K1127">
        <x:f>IF(A1127="","",IF(G1127="",1,0))</x:f>
      </x:c>
      <x:c r="L1127">
        <x:f>IF(A1127="","",IF(COUNTIFS($A$5:$A$2004,A1127,$C$5:$C$2004,C1127)&gt;1,1,0))</x:f>
      </x:c>
    </x:row>
    <x:row r="1128">
      <x:c r="A1128" s="8" t="n"/>
      <x:c r="B1128" s="8" t="n"/>
      <x:c r="C1128" s="8" t="n"/>
      <x:c r="D1128" s="8" t="n"/>
      <x:c r="E1128" s="8" t="n"/>
      <x:c r="F1128" s="8" t="n"/>
      <x:c r="G1128" s="7">
        <x:f>IF(A1128="","",IF(01_Parametres!$B$11="Oui",IF((01_Parametres!$B$4*(D1128&gt;0)+01_Parametres!$B$5*(E1128&gt;0)+01_Parametres!$B$6*(F1128&gt;0))=0,"",(01_Parametres!$B$4*IF(D1128&gt;0,D1128,0)+01_Parametres!$B$5*IF(E1128&gt;0,E1128,0)+01_Parametres!$B$6*IF(F1128&gt;0,F1128,0))/(01_Parametres!$B$4*(D1128&gt;0)+01_Parametres!$B$5*(E1128&gt;0)+01_Parametres!$B$6*(F1128&gt;0))),IF(01_Parametres!$B$8=0,"",(01_Parametres!$B$4*D1128+01_Parametres!$B$5*E1128+01_Parametres!$B$6*F1128)/01_Parametres!$B$8)))</x:f>
      </x:c>
      <x:c r="H1128">
        <x:f>IFERROR(VLOOKUP(C1128,02_Referentiels!$A$20:$D$99,3,FALSE),"")</x:f>
      </x:c>
      <x:c r="I1128">
        <x:f>IFERROR(VLOOKUP(B1128,02_Referentiels!$A$5:$C$16,2,FALSE),"")</x:f>
      </x:c>
      <x:c r="J1128">
        <x:f>IF(A1128="","",IF(OR(D1128="",E1128="",F1128=""),1,IF(OR(D1128&lt;0,D1128&gt;3,E1128&lt;0,E1128&gt;3,F1128&lt;0,F1128&gt;3),1,0)))</x:f>
      </x:c>
      <x:c r="K1128">
        <x:f>IF(A1128="","",IF(G1128="",1,0))</x:f>
      </x:c>
      <x:c r="L1128">
        <x:f>IF(A1128="","",IF(COUNTIFS($A$5:$A$2004,A1128,$C$5:$C$2004,C1128)&gt;1,1,0))</x:f>
      </x:c>
    </x:row>
    <x:row r="1129">
      <x:c r="A1129" s="8" t="n"/>
      <x:c r="B1129" s="8" t="n"/>
      <x:c r="C1129" s="8" t="n"/>
      <x:c r="D1129" s="8" t="n"/>
      <x:c r="E1129" s="8" t="n"/>
      <x:c r="F1129" s="8" t="n"/>
      <x:c r="G1129" s="7">
        <x:f>IF(A1129="","",IF(01_Parametres!$B$11="Oui",IF((01_Parametres!$B$4*(D1129&gt;0)+01_Parametres!$B$5*(E1129&gt;0)+01_Parametres!$B$6*(F1129&gt;0))=0,"",(01_Parametres!$B$4*IF(D1129&gt;0,D1129,0)+01_Parametres!$B$5*IF(E1129&gt;0,E1129,0)+01_Parametres!$B$6*IF(F1129&gt;0,F1129,0))/(01_Parametres!$B$4*(D1129&gt;0)+01_Parametres!$B$5*(E1129&gt;0)+01_Parametres!$B$6*(F1129&gt;0))),IF(01_Parametres!$B$8=0,"",(01_Parametres!$B$4*D1129+01_Parametres!$B$5*E1129+01_Parametres!$B$6*F1129)/01_Parametres!$B$8)))</x:f>
      </x:c>
      <x:c r="H1129">
        <x:f>IFERROR(VLOOKUP(C1129,02_Referentiels!$A$20:$D$99,3,FALSE),"")</x:f>
      </x:c>
      <x:c r="I1129">
        <x:f>IFERROR(VLOOKUP(B1129,02_Referentiels!$A$5:$C$16,2,FALSE),"")</x:f>
      </x:c>
      <x:c r="J1129">
        <x:f>IF(A1129="","",IF(OR(D1129="",E1129="",F1129=""),1,IF(OR(D1129&lt;0,D1129&gt;3,E1129&lt;0,E1129&gt;3,F1129&lt;0,F1129&gt;3),1,0)))</x:f>
      </x:c>
      <x:c r="K1129">
        <x:f>IF(A1129="","",IF(G1129="",1,0))</x:f>
      </x:c>
      <x:c r="L1129">
        <x:f>IF(A1129="","",IF(COUNTIFS($A$5:$A$2004,A1129,$C$5:$C$2004,C1129)&gt;1,1,0))</x:f>
      </x:c>
    </x:row>
    <x:row r="1130">
      <x:c r="A1130" s="8" t="n"/>
      <x:c r="B1130" s="8" t="n"/>
      <x:c r="C1130" s="8" t="n"/>
      <x:c r="D1130" s="8" t="n"/>
      <x:c r="E1130" s="8" t="n"/>
      <x:c r="F1130" s="8" t="n"/>
      <x:c r="G1130" s="7">
        <x:f>IF(A1130="","",IF(01_Parametres!$B$11="Oui",IF((01_Parametres!$B$4*(D1130&gt;0)+01_Parametres!$B$5*(E1130&gt;0)+01_Parametres!$B$6*(F1130&gt;0))=0,"",(01_Parametres!$B$4*IF(D1130&gt;0,D1130,0)+01_Parametres!$B$5*IF(E1130&gt;0,E1130,0)+01_Parametres!$B$6*IF(F1130&gt;0,F1130,0))/(01_Parametres!$B$4*(D1130&gt;0)+01_Parametres!$B$5*(E1130&gt;0)+01_Parametres!$B$6*(F1130&gt;0))),IF(01_Parametres!$B$8=0,"",(01_Parametres!$B$4*D1130+01_Parametres!$B$5*E1130+01_Parametres!$B$6*F1130)/01_Parametres!$B$8)))</x:f>
      </x:c>
      <x:c r="H1130">
        <x:f>IFERROR(VLOOKUP(C1130,02_Referentiels!$A$20:$D$99,3,FALSE),"")</x:f>
      </x:c>
      <x:c r="I1130">
        <x:f>IFERROR(VLOOKUP(B1130,02_Referentiels!$A$5:$C$16,2,FALSE),"")</x:f>
      </x:c>
      <x:c r="J1130">
        <x:f>IF(A1130="","",IF(OR(D1130="",E1130="",F1130=""),1,IF(OR(D1130&lt;0,D1130&gt;3,E1130&lt;0,E1130&gt;3,F1130&lt;0,F1130&gt;3),1,0)))</x:f>
      </x:c>
      <x:c r="K1130">
        <x:f>IF(A1130="","",IF(G1130="",1,0))</x:f>
      </x:c>
      <x:c r="L1130">
        <x:f>IF(A1130="","",IF(COUNTIFS($A$5:$A$2004,A1130,$C$5:$C$2004,C1130)&gt;1,1,0))</x:f>
      </x:c>
    </x:row>
    <x:row r="1131">
      <x:c r="A1131" s="8" t="n"/>
      <x:c r="B1131" s="8" t="n"/>
      <x:c r="C1131" s="8" t="n"/>
      <x:c r="D1131" s="8" t="n"/>
      <x:c r="E1131" s="8" t="n"/>
      <x:c r="F1131" s="8" t="n"/>
      <x:c r="G1131" s="7">
        <x:f>IF(A1131="","",IF(01_Parametres!$B$11="Oui",IF((01_Parametres!$B$4*(D1131&gt;0)+01_Parametres!$B$5*(E1131&gt;0)+01_Parametres!$B$6*(F1131&gt;0))=0,"",(01_Parametres!$B$4*IF(D1131&gt;0,D1131,0)+01_Parametres!$B$5*IF(E1131&gt;0,E1131,0)+01_Parametres!$B$6*IF(F1131&gt;0,F1131,0))/(01_Parametres!$B$4*(D1131&gt;0)+01_Parametres!$B$5*(E1131&gt;0)+01_Parametres!$B$6*(F1131&gt;0))),IF(01_Parametres!$B$8=0,"",(01_Parametres!$B$4*D1131+01_Parametres!$B$5*E1131+01_Parametres!$B$6*F1131)/01_Parametres!$B$8)))</x:f>
      </x:c>
      <x:c r="H1131">
        <x:f>IFERROR(VLOOKUP(C1131,02_Referentiels!$A$20:$D$99,3,FALSE),"")</x:f>
      </x:c>
      <x:c r="I1131">
        <x:f>IFERROR(VLOOKUP(B1131,02_Referentiels!$A$5:$C$16,2,FALSE),"")</x:f>
      </x:c>
      <x:c r="J1131">
        <x:f>IF(A1131="","",IF(OR(D1131="",E1131="",F1131=""),1,IF(OR(D1131&lt;0,D1131&gt;3,E1131&lt;0,E1131&gt;3,F1131&lt;0,F1131&gt;3),1,0)))</x:f>
      </x:c>
      <x:c r="K1131">
        <x:f>IF(A1131="","",IF(G1131="",1,0))</x:f>
      </x:c>
      <x:c r="L1131">
        <x:f>IF(A1131="","",IF(COUNTIFS($A$5:$A$2004,A1131,$C$5:$C$2004,C1131)&gt;1,1,0))</x:f>
      </x:c>
    </x:row>
    <x:row r="1132">
      <x:c r="A1132" s="8" t="n"/>
      <x:c r="B1132" s="8" t="n"/>
      <x:c r="C1132" s="8" t="n"/>
      <x:c r="D1132" s="8" t="n"/>
      <x:c r="E1132" s="8" t="n"/>
      <x:c r="F1132" s="8" t="n"/>
      <x:c r="G1132" s="7">
        <x:f>IF(A1132="","",IF(01_Parametres!$B$11="Oui",IF((01_Parametres!$B$4*(D1132&gt;0)+01_Parametres!$B$5*(E1132&gt;0)+01_Parametres!$B$6*(F1132&gt;0))=0,"",(01_Parametres!$B$4*IF(D1132&gt;0,D1132,0)+01_Parametres!$B$5*IF(E1132&gt;0,E1132,0)+01_Parametres!$B$6*IF(F1132&gt;0,F1132,0))/(01_Parametres!$B$4*(D1132&gt;0)+01_Parametres!$B$5*(E1132&gt;0)+01_Parametres!$B$6*(F1132&gt;0))),IF(01_Parametres!$B$8=0,"",(01_Parametres!$B$4*D1132+01_Parametres!$B$5*E1132+01_Parametres!$B$6*F1132)/01_Parametres!$B$8)))</x:f>
      </x:c>
      <x:c r="H1132">
        <x:f>IFERROR(VLOOKUP(C1132,02_Referentiels!$A$20:$D$99,3,FALSE),"")</x:f>
      </x:c>
      <x:c r="I1132">
        <x:f>IFERROR(VLOOKUP(B1132,02_Referentiels!$A$5:$C$16,2,FALSE),"")</x:f>
      </x:c>
      <x:c r="J1132">
        <x:f>IF(A1132="","",IF(OR(D1132="",E1132="",F1132=""),1,IF(OR(D1132&lt;0,D1132&gt;3,E1132&lt;0,E1132&gt;3,F1132&lt;0,F1132&gt;3),1,0)))</x:f>
      </x:c>
      <x:c r="K1132">
        <x:f>IF(A1132="","",IF(G1132="",1,0))</x:f>
      </x:c>
      <x:c r="L1132">
        <x:f>IF(A1132="","",IF(COUNTIFS($A$5:$A$2004,A1132,$C$5:$C$2004,C1132)&gt;1,1,0))</x:f>
      </x:c>
    </x:row>
    <x:row r="1133">
      <x:c r="A1133" s="8" t="n"/>
      <x:c r="B1133" s="8" t="n"/>
      <x:c r="C1133" s="8" t="n"/>
      <x:c r="D1133" s="8" t="n"/>
      <x:c r="E1133" s="8" t="n"/>
      <x:c r="F1133" s="8" t="n"/>
      <x:c r="G1133" s="7">
        <x:f>IF(A1133="","",IF(01_Parametres!$B$11="Oui",IF((01_Parametres!$B$4*(D1133&gt;0)+01_Parametres!$B$5*(E1133&gt;0)+01_Parametres!$B$6*(F1133&gt;0))=0,"",(01_Parametres!$B$4*IF(D1133&gt;0,D1133,0)+01_Parametres!$B$5*IF(E1133&gt;0,E1133,0)+01_Parametres!$B$6*IF(F1133&gt;0,F1133,0))/(01_Parametres!$B$4*(D1133&gt;0)+01_Parametres!$B$5*(E1133&gt;0)+01_Parametres!$B$6*(F1133&gt;0))),IF(01_Parametres!$B$8=0,"",(01_Parametres!$B$4*D1133+01_Parametres!$B$5*E1133+01_Parametres!$B$6*F1133)/01_Parametres!$B$8)))</x:f>
      </x:c>
      <x:c r="H1133">
        <x:f>IFERROR(VLOOKUP(C1133,02_Referentiels!$A$20:$D$99,3,FALSE),"")</x:f>
      </x:c>
      <x:c r="I1133">
        <x:f>IFERROR(VLOOKUP(B1133,02_Referentiels!$A$5:$C$16,2,FALSE),"")</x:f>
      </x:c>
      <x:c r="J1133">
        <x:f>IF(A1133="","",IF(OR(D1133="",E1133="",F1133=""),1,IF(OR(D1133&lt;0,D1133&gt;3,E1133&lt;0,E1133&gt;3,F1133&lt;0,F1133&gt;3),1,0)))</x:f>
      </x:c>
      <x:c r="K1133">
        <x:f>IF(A1133="","",IF(G1133="",1,0))</x:f>
      </x:c>
      <x:c r="L1133">
        <x:f>IF(A1133="","",IF(COUNTIFS($A$5:$A$2004,A1133,$C$5:$C$2004,C1133)&gt;1,1,0))</x:f>
      </x:c>
    </x:row>
    <x:row r="1134">
      <x:c r="A1134" s="8" t="n"/>
      <x:c r="B1134" s="8" t="n"/>
      <x:c r="C1134" s="8" t="n"/>
      <x:c r="D1134" s="8" t="n"/>
      <x:c r="E1134" s="8" t="n"/>
      <x:c r="F1134" s="8" t="n"/>
      <x:c r="G1134" s="7">
        <x:f>IF(A1134="","",IF(01_Parametres!$B$11="Oui",IF((01_Parametres!$B$4*(D1134&gt;0)+01_Parametres!$B$5*(E1134&gt;0)+01_Parametres!$B$6*(F1134&gt;0))=0,"",(01_Parametres!$B$4*IF(D1134&gt;0,D1134,0)+01_Parametres!$B$5*IF(E1134&gt;0,E1134,0)+01_Parametres!$B$6*IF(F1134&gt;0,F1134,0))/(01_Parametres!$B$4*(D1134&gt;0)+01_Parametres!$B$5*(E1134&gt;0)+01_Parametres!$B$6*(F1134&gt;0))),IF(01_Parametres!$B$8=0,"",(01_Parametres!$B$4*D1134+01_Parametres!$B$5*E1134+01_Parametres!$B$6*F1134)/01_Parametres!$B$8)))</x:f>
      </x:c>
      <x:c r="H1134">
        <x:f>IFERROR(VLOOKUP(C1134,02_Referentiels!$A$20:$D$99,3,FALSE),"")</x:f>
      </x:c>
      <x:c r="I1134">
        <x:f>IFERROR(VLOOKUP(B1134,02_Referentiels!$A$5:$C$16,2,FALSE),"")</x:f>
      </x:c>
      <x:c r="J1134">
        <x:f>IF(A1134="","",IF(OR(D1134="",E1134="",F1134=""),1,IF(OR(D1134&lt;0,D1134&gt;3,E1134&lt;0,E1134&gt;3,F1134&lt;0,F1134&gt;3),1,0)))</x:f>
      </x:c>
      <x:c r="K1134">
        <x:f>IF(A1134="","",IF(G1134="",1,0))</x:f>
      </x:c>
      <x:c r="L1134">
        <x:f>IF(A1134="","",IF(COUNTIFS($A$5:$A$2004,A1134,$C$5:$C$2004,C1134)&gt;1,1,0))</x:f>
      </x:c>
    </x:row>
    <x:row r="1135">
      <x:c r="A1135" s="8" t="n"/>
      <x:c r="B1135" s="8" t="n"/>
      <x:c r="C1135" s="8" t="n"/>
      <x:c r="D1135" s="8" t="n"/>
      <x:c r="E1135" s="8" t="n"/>
      <x:c r="F1135" s="8" t="n"/>
      <x:c r="G1135" s="7">
        <x:f>IF(A1135="","",IF(01_Parametres!$B$11="Oui",IF((01_Parametres!$B$4*(D1135&gt;0)+01_Parametres!$B$5*(E1135&gt;0)+01_Parametres!$B$6*(F1135&gt;0))=0,"",(01_Parametres!$B$4*IF(D1135&gt;0,D1135,0)+01_Parametres!$B$5*IF(E1135&gt;0,E1135,0)+01_Parametres!$B$6*IF(F1135&gt;0,F1135,0))/(01_Parametres!$B$4*(D1135&gt;0)+01_Parametres!$B$5*(E1135&gt;0)+01_Parametres!$B$6*(F1135&gt;0))),IF(01_Parametres!$B$8=0,"",(01_Parametres!$B$4*D1135+01_Parametres!$B$5*E1135+01_Parametres!$B$6*F1135)/01_Parametres!$B$8)))</x:f>
      </x:c>
      <x:c r="H1135">
        <x:f>IFERROR(VLOOKUP(C1135,02_Referentiels!$A$20:$D$99,3,FALSE),"")</x:f>
      </x:c>
      <x:c r="I1135">
        <x:f>IFERROR(VLOOKUP(B1135,02_Referentiels!$A$5:$C$16,2,FALSE),"")</x:f>
      </x:c>
      <x:c r="J1135">
        <x:f>IF(A1135="","",IF(OR(D1135="",E1135="",F1135=""),1,IF(OR(D1135&lt;0,D1135&gt;3,E1135&lt;0,E1135&gt;3,F1135&lt;0,F1135&gt;3),1,0)))</x:f>
      </x:c>
      <x:c r="K1135">
        <x:f>IF(A1135="","",IF(G1135="",1,0))</x:f>
      </x:c>
      <x:c r="L1135">
        <x:f>IF(A1135="","",IF(COUNTIFS($A$5:$A$2004,A1135,$C$5:$C$2004,C1135)&gt;1,1,0))</x:f>
      </x:c>
    </x:row>
    <x:row r="1136">
      <x:c r="A1136" s="8" t="n"/>
      <x:c r="B1136" s="8" t="n"/>
      <x:c r="C1136" s="8" t="n"/>
      <x:c r="D1136" s="8" t="n"/>
      <x:c r="E1136" s="8" t="n"/>
      <x:c r="F1136" s="8" t="n"/>
      <x:c r="G1136" s="7">
        <x:f>IF(A1136="","",IF(01_Parametres!$B$11="Oui",IF((01_Parametres!$B$4*(D1136&gt;0)+01_Parametres!$B$5*(E1136&gt;0)+01_Parametres!$B$6*(F1136&gt;0))=0,"",(01_Parametres!$B$4*IF(D1136&gt;0,D1136,0)+01_Parametres!$B$5*IF(E1136&gt;0,E1136,0)+01_Parametres!$B$6*IF(F1136&gt;0,F1136,0))/(01_Parametres!$B$4*(D1136&gt;0)+01_Parametres!$B$5*(E1136&gt;0)+01_Parametres!$B$6*(F1136&gt;0))),IF(01_Parametres!$B$8=0,"",(01_Parametres!$B$4*D1136+01_Parametres!$B$5*E1136+01_Parametres!$B$6*F1136)/01_Parametres!$B$8)))</x:f>
      </x:c>
      <x:c r="H1136">
        <x:f>IFERROR(VLOOKUP(C1136,02_Referentiels!$A$20:$D$99,3,FALSE),"")</x:f>
      </x:c>
      <x:c r="I1136">
        <x:f>IFERROR(VLOOKUP(B1136,02_Referentiels!$A$5:$C$16,2,FALSE),"")</x:f>
      </x:c>
      <x:c r="J1136">
        <x:f>IF(A1136="","",IF(OR(D1136="",E1136="",F1136=""),1,IF(OR(D1136&lt;0,D1136&gt;3,E1136&lt;0,E1136&gt;3,F1136&lt;0,F1136&gt;3),1,0)))</x:f>
      </x:c>
      <x:c r="K1136">
        <x:f>IF(A1136="","",IF(G1136="",1,0))</x:f>
      </x:c>
      <x:c r="L1136">
        <x:f>IF(A1136="","",IF(COUNTIFS($A$5:$A$2004,A1136,$C$5:$C$2004,C1136)&gt;1,1,0))</x:f>
      </x:c>
    </x:row>
    <x:row r="1137">
      <x:c r="A1137" s="8" t="n"/>
      <x:c r="B1137" s="8" t="n"/>
      <x:c r="C1137" s="8" t="n"/>
      <x:c r="D1137" s="8" t="n"/>
      <x:c r="E1137" s="8" t="n"/>
      <x:c r="F1137" s="8" t="n"/>
      <x:c r="G1137" s="7">
        <x:f>IF(A1137="","",IF(01_Parametres!$B$11="Oui",IF((01_Parametres!$B$4*(D1137&gt;0)+01_Parametres!$B$5*(E1137&gt;0)+01_Parametres!$B$6*(F1137&gt;0))=0,"",(01_Parametres!$B$4*IF(D1137&gt;0,D1137,0)+01_Parametres!$B$5*IF(E1137&gt;0,E1137,0)+01_Parametres!$B$6*IF(F1137&gt;0,F1137,0))/(01_Parametres!$B$4*(D1137&gt;0)+01_Parametres!$B$5*(E1137&gt;0)+01_Parametres!$B$6*(F1137&gt;0))),IF(01_Parametres!$B$8=0,"",(01_Parametres!$B$4*D1137+01_Parametres!$B$5*E1137+01_Parametres!$B$6*F1137)/01_Parametres!$B$8)))</x:f>
      </x:c>
      <x:c r="H1137">
        <x:f>IFERROR(VLOOKUP(C1137,02_Referentiels!$A$20:$D$99,3,FALSE),"")</x:f>
      </x:c>
      <x:c r="I1137">
        <x:f>IFERROR(VLOOKUP(B1137,02_Referentiels!$A$5:$C$16,2,FALSE),"")</x:f>
      </x:c>
      <x:c r="J1137">
        <x:f>IF(A1137="","",IF(OR(D1137="",E1137="",F1137=""),1,IF(OR(D1137&lt;0,D1137&gt;3,E1137&lt;0,E1137&gt;3,F1137&lt;0,F1137&gt;3),1,0)))</x:f>
      </x:c>
      <x:c r="K1137">
        <x:f>IF(A1137="","",IF(G1137="",1,0))</x:f>
      </x:c>
      <x:c r="L1137">
        <x:f>IF(A1137="","",IF(COUNTIFS($A$5:$A$2004,A1137,$C$5:$C$2004,C1137)&gt;1,1,0))</x:f>
      </x:c>
    </x:row>
    <x:row r="1138">
      <x:c r="A1138" s="8" t="n"/>
      <x:c r="B1138" s="8" t="n"/>
      <x:c r="C1138" s="8" t="n"/>
      <x:c r="D1138" s="8" t="n"/>
      <x:c r="E1138" s="8" t="n"/>
      <x:c r="F1138" s="8" t="n"/>
      <x:c r="G1138" s="7">
        <x:f>IF(A1138="","",IF(01_Parametres!$B$11="Oui",IF((01_Parametres!$B$4*(D1138&gt;0)+01_Parametres!$B$5*(E1138&gt;0)+01_Parametres!$B$6*(F1138&gt;0))=0,"",(01_Parametres!$B$4*IF(D1138&gt;0,D1138,0)+01_Parametres!$B$5*IF(E1138&gt;0,E1138,0)+01_Parametres!$B$6*IF(F1138&gt;0,F1138,0))/(01_Parametres!$B$4*(D1138&gt;0)+01_Parametres!$B$5*(E1138&gt;0)+01_Parametres!$B$6*(F1138&gt;0))),IF(01_Parametres!$B$8=0,"",(01_Parametres!$B$4*D1138+01_Parametres!$B$5*E1138+01_Parametres!$B$6*F1138)/01_Parametres!$B$8)))</x:f>
      </x:c>
      <x:c r="H1138">
        <x:f>IFERROR(VLOOKUP(C1138,02_Referentiels!$A$20:$D$99,3,FALSE),"")</x:f>
      </x:c>
      <x:c r="I1138">
        <x:f>IFERROR(VLOOKUP(B1138,02_Referentiels!$A$5:$C$16,2,FALSE),"")</x:f>
      </x:c>
      <x:c r="J1138">
        <x:f>IF(A1138="","",IF(OR(D1138="",E1138="",F1138=""),1,IF(OR(D1138&lt;0,D1138&gt;3,E1138&lt;0,E1138&gt;3,F1138&lt;0,F1138&gt;3),1,0)))</x:f>
      </x:c>
      <x:c r="K1138">
        <x:f>IF(A1138="","",IF(G1138="",1,0))</x:f>
      </x:c>
      <x:c r="L1138">
        <x:f>IF(A1138="","",IF(COUNTIFS($A$5:$A$2004,A1138,$C$5:$C$2004,C1138)&gt;1,1,0))</x:f>
      </x:c>
    </x:row>
    <x:row r="1139">
      <x:c r="A1139" s="8" t="n"/>
      <x:c r="B1139" s="8" t="n"/>
      <x:c r="C1139" s="8" t="n"/>
      <x:c r="D1139" s="8" t="n"/>
      <x:c r="E1139" s="8" t="n"/>
      <x:c r="F1139" s="8" t="n"/>
      <x:c r="G1139" s="7">
        <x:f>IF(A1139="","",IF(01_Parametres!$B$11="Oui",IF((01_Parametres!$B$4*(D1139&gt;0)+01_Parametres!$B$5*(E1139&gt;0)+01_Parametres!$B$6*(F1139&gt;0))=0,"",(01_Parametres!$B$4*IF(D1139&gt;0,D1139,0)+01_Parametres!$B$5*IF(E1139&gt;0,E1139,0)+01_Parametres!$B$6*IF(F1139&gt;0,F1139,0))/(01_Parametres!$B$4*(D1139&gt;0)+01_Parametres!$B$5*(E1139&gt;0)+01_Parametres!$B$6*(F1139&gt;0))),IF(01_Parametres!$B$8=0,"",(01_Parametres!$B$4*D1139+01_Parametres!$B$5*E1139+01_Parametres!$B$6*F1139)/01_Parametres!$B$8)))</x:f>
      </x:c>
      <x:c r="H1139">
        <x:f>IFERROR(VLOOKUP(C1139,02_Referentiels!$A$20:$D$99,3,FALSE),"")</x:f>
      </x:c>
      <x:c r="I1139">
        <x:f>IFERROR(VLOOKUP(B1139,02_Referentiels!$A$5:$C$16,2,FALSE),"")</x:f>
      </x:c>
      <x:c r="J1139">
        <x:f>IF(A1139="","",IF(OR(D1139="",E1139="",F1139=""),1,IF(OR(D1139&lt;0,D1139&gt;3,E1139&lt;0,E1139&gt;3,F1139&lt;0,F1139&gt;3),1,0)))</x:f>
      </x:c>
      <x:c r="K1139">
        <x:f>IF(A1139="","",IF(G1139="",1,0))</x:f>
      </x:c>
      <x:c r="L1139">
        <x:f>IF(A1139="","",IF(COUNTIFS($A$5:$A$2004,A1139,$C$5:$C$2004,C1139)&gt;1,1,0))</x:f>
      </x:c>
    </x:row>
    <x:row r="1140">
      <x:c r="A1140" s="8" t="n"/>
      <x:c r="B1140" s="8" t="n"/>
      <x:c r="C1140" s="8" t="n"/>
      <x:c r="D1140" s="8" t="n"/>
      <x:c r="E1140" s="8" t="n"/>
      <x:c r="F1140" s="8" t="n"/>
      <x:c r="G1140" s="7">
        <x:f>IF(A1140="","",IF(01_Parametres!$B$11="Oui",IF((01_Parametres!$B$4*(D1140&gt;0)+01_Parametres!$B$5*(E1140&gt;0)+01_Parametres!$B$6*(F1140&gt;0))=0,"",(01_Parametres!$B$4*IF(D1140&gt;0,D1140,0)+01_Parametres!$B$5*IF(E1140&gt;0,E1140,0)+01_Parametres!$B$6*IF(F1140&gt;0,F1140,0))/(01_Parametres!$B$4*(D1140&gt;0)+01_Parametres!$B$5*(E1140&gt;0)+01_Parametres!$B$6*(F1140&gt;0))),IF(01_Parametres!$B$8=0,"",(01_Parametres!$B$4*D1140+01_Parametres!$B$5*E1140+01_Parametres!$B$6*F1140)/01_Parametres!$B$8)))</x:f>
      </x:c>
      <x:c r="H1140">
        <x:f>IFERROR(VLOOKUP(C1140,02_Referentiels!$A$20:$D$99,3,FALSE),"")</x:f>
      </x:c>
      <x:c r="I1140">
        <x:f>IFERROR(VLOOKUP(B1140,02_Referentiels!$A$5:$C$16,2,FALSE),"")</x:f>
      </x:c>
      <x:c r="J1140">
        <x:f>IF(A1140="","",IF(OR(D1140="",E1140="",F1140=""),1,IF(OR(D1140&lt;0,D1140&gt;3,E1140&lt;0,E1140&gt;3,F1140&lt;0,F1140&gt;3),1,0)))</x:f>
      </x:c>
      <x:c r="K1140">
        <x:f>IF(A1140="","",IF(G1140="",1,0))</x:f>
      </x:c>
      <x:c r="L1140">
        <x:f>IF(A1140="","",IF(COUNTIFS($A$5:$A$2004,A1140,$C$5:$C$2004,C1140)&gt;1,1,0))</x:f>
      </x:c>
    </x:row>
    <x:row r="1141">
      <x:c r="A1141" s="8" t="n"/>
      <x:c r="B1141" s="8" t="n"/>
      <x:c r="C1141" s="8" t="n"/>
      <x:c r="D1141" s="8" t="n"/>
      <x:c r="E1141" s="8" t="n"/>
      <x:c r="F1141" s="8" t="n"/>
      <x:c r="G1141" s="7">
        <x:f>IF(A1141="","",IF(01_Parametres!$B$11="Oui",IF((01_Parametres!$B$4*(D1141&gt;0)+01_Parametres!$B$5*(E1141&gt;0)+01_Parametres!$B$6*(F1141&gt;0))=0,"",(01_Parametres!$B$4*IF(D1141&gt;0,D1141,0)+01_Parametres!$B$5*IF(E1141&gt;0,E1141,0)+01_Parametres!$B$6*IF(F1141&gt;0,F1141,0))/(01_Parametres!$B$4*(D1141&gt;0)+01_Parametres!$B$5*(E1141&gt;0)+01_Parametres!$B$6*(F1141&gt;0))),IF(01_Parametres!$B$8=0,"",(01_Parametres!$B$4*D1141+01_Parametres!$B$5*E1141+01_Parametres!$B$6*F1141)/01_Parametres!$B$8)))</x:f>
      </x:c>
      <x:c r="H1141">
        <x:f>IFERROR(VLOOKUP(C1141,02_Referentiels!$A$20:$D$99,3,FALSE),"")</x:f>
      </x:c>
      <x:c r="I1141">
        <x:f>IFERROR(VLOOKUP(B1141,02_Referentiels!$A$5:$C$16,2,FALSE),"")</x:f>
      </x:c>
      <x:c r="J1141">
        <x:f>IF(A1141="","",IF(OR(D1141="",E1141="",F1141=""),1,IF(OR(D1141&lt;0,D1141&gt;3,E1141&lt;0,E1141&gt;3,F1141&lt;0,F1141&gt;3),1,0)))</x:f>
      </x:c>
      <x:c r="K1141">
        <x:f>IF(A1141="","",IF(G1141="",1,0))</x:f>
      </x:c>
      <x:c r="L1141">
        <x:f>IF(A1141="","",IF(COUNTIFS($A$5:$A$2004,A1141,$C$5:$C$2004,C1141)&gt;1,1,0))</x:f>
      </x:c>
    </x:row>
    <x:row r="1142">
      <x:c r="A1142" s="8" t="n"/>
      <x:c r="B1142" s="8" t="n"/>
      <x:c r="C1142" s="8" t="n"/>
      <x:c r="D1142" s="8" t="n"/>
      <x:c r="E1142" s="8" t="n"/>
      <x:c r="F1142" s="8" t="n"/>
      <x:c r="G1142" s="7">
        <x:f>IF(A1142="","",IF(01_Parametres!$B$11="Oui",IF((01_Parametres!$B$4*(D1142&gt;0)+01_Parametres!$B$5*(E1142&gt;0)+01_Parametres!$B$6*(F1142&gt;0))=0,"",(01_Parametres!$B$4*IF(D1142&gt;0,D1142,0)+01_Parametres!$B$5*IF(E1142&gt;0,E1142,0)+01_Parametres!$B$6*IF(F1142&gt;0,F1142,0))/(01_Parametres!$B$4*(D1142&gt;0)+01_Parametres!$B$5*(E1142&gt;0)+01_Parametres!$B$6*(F1142&gt;0))),IF(01_Parametres!$B$8=0,"",(01_Parametres!$B$4*D1142+01_Parametres!$B$5*E1142+01_Parametres!$B$6*F1142)/01_Parametres!$B$8)))</x:f>
      </x:c>
      <x:c r="H1142">
        <x:f>IFERROR(VLOOKUP(C1142,02_Referentiels!$A$20:$D$99,3,FALSE),"")</x:f>
      </x:c>
      <x:c r="I1142">
        <x:f>IFERROR(VLOOKUP(B1142,02_Referentiels!$A$5:$C$16,2,FALSE),"")</x:f>
      </x:c>
      <x:c r="J1142">
        <x:f>IF(A1142="","",IF(OR(D1142="",E1142="",F1142=""),1,IF(OR(D1142&lt;0,D1142&gt;3,E1142&lt;0,E1142&gt;3,F1142&lt;0,F1142&gt;3),1,0)))</x:f>
      </x:c>
      <x:c r="K1142">
        <x:f>IF(A1142="","",IF(G1142="",1,0))</x:f>
      </x:c>
      <x:c r="L1142">
        <x:f>IF(A1142="","",IF(COUNTIFS($A$5:$A$2004,A1142,$C$5:$C$2004,C1142)&gt;1,1,0))</x:f>
      </x:c>
    </x:row>
    <x:row r="1143">
      <x:c r="A1143" s="8" t="n"/>
      <x:c r="B1143" s="8" t="n"/>
      <x:c r="C1143" s="8" t="n"/>
      <x:c r="D1143" s="8" t="n"/>
      <x:c r="E1143" s="8" t="n"/>
      <x:c r="F1143" s="8" t="n"/>
      <x:c r="G1143" s="7">
        <x:f>IF(A1143="","",IF(01_Parametres!$B$11="Oui",IF((01_Parametres!$B$4*(D1143&gt;0)+01_Parametres!$B$5*(E1143&gt;0)+01_Parametres!$B$6*(F1143&gt;0))=0,"",(01_Parametres!$B$4*IF(D1143&gt;0,D1143,0)+01_Parametres!$B$5*IF(E1143&gt;0,E1143,0)+01_Parametres!$B$6*IF(F1143&gt;0,F1143,0))/(01_Parametres!$B$4*(D1143&gt;0)+01_Parametres!$B$5*(E1143&gt;0)+01_Parametres!$B$6*(F1143&gt;0))),IF(01_Parametres!$B$8=0,"",(01_Parametres!$B$4*D1143+01_Parametres!$B$5*E1143+01_Parametres!$B$6*F1143)/01_Parametres!$B$8)))</x:f>
      </x:c>
      <x:c r="H1143">
        <x:f>IFERROR(VLOOKUP(C1143,02_Referentiels!$A$20:$D$99,3,FALSE),"")</x:f>
      </x:c>
      <x:c r="I1143">
        <x:f>IFERROR(VLOOKUP(B1143,02_Referentiels!$A$5:$C$16,2,FALSE),"")</x:f>
      </x:c>
      <x:c r="J1143">
        <x:f>IF(A1143="","",IF(OR(D1143="",E1143="",F1143=""),1,IF(OR(D1143&lt;0,D1143&gt;3,E1143&lt;0,E1143&gt;3,F1143&lt;0,F1143&gt;3),1,0)))</x:f>
      </x:c>
      <x:c r="K1143">
        <x:f>IF(A1143="","",IF(G1143="",1,0))</x:f>
      </x:c>
      <x:c r="L1143">
        <x:f>IF(A1143="","",IF(COUNTIFS($A$5:$A$2004,A1143,$C$5:$C$2004,C1143)&gt;1,1,0))</x:f>
      </x:c>
    </x:row>
    <x:row r="1144">
      <x:c r="A1144" s="8" t="n"/>
      <x:c r="B1144" s="8" t="n"/>
      <x:c r="C1144" s="8" t="n"/>
      <x:c r="D1144" s="8" t="n"/>
      <x:c r="E1144" s="8" t="n"/>
      <x:c r="F1144" s="8" t="n"/>
      <x:c r="G1144" s="7">
        <x:f>IF(A1144="","",IF(01_Parametres!$B$11="Oui",IF((01_Parametres!$B$4*(D1144&gt;0)+01_Parametres!$B$5*(E1144&gt;0)+01_Parametres!$B$6*(F1144&gt;0))=0,"",(01_Parametres!$B$4*IF(D1144&gt;0,D1144,0)+01_Parametres!$B$5*IF(E1144&gt;0,E1144,0)+01_Parametres!$B$6*IF(F1144&gt;0,F1144,0))/(01_Parametres!$B$4*(D1144&gt;0)+01_Parametres!$B$5*(E1144&gt;0)+01_Parametres!$B$6*(F1144&gt;0))),IF(01_Parametres!$B$8=0,"",(01_Parametres!$B$4*D1144+01_Parametres!$B$5*E1144+01_Parametres!$B$6*F1144)/01_Parametres!$B$8)))</x:f>
      </x:c>
      <x:c r="H1144">
        <x:f>IFERROR(VLOOKUP(C1144,02_Referentiels!$A$20:$D$99,3,FALSE),"")</x:f>
      </x:c>
      <x:c r="I1144">
        <x:f>IFERROR(VLOOKUP(B1144,02_Referentiels!$A$5:$C$16,2,FALSE),"")</x:f>
      </x:c>
      <x:c r="J1144">
        <x:f>IF(A1144="","",IF(OR(D1144="",E1144="",F1144=""),1,IF(OR(D1144&lt;0,D1144&gt;3,E1144&lt;0,E1144&gt;3,F1144&lt;0,F1144&gt;3),1,0)))</x:f>
      </x:c>
      <x:c r="K1144">
        <x:f>IF(A1144="","",IF(G1144="",1,0))</x:f>
      </x:c>
      <x:c r="L1144">
        <x:f>IF(A1144="","",IF(COUNTIFS($A$5:$A$2004,A1144,$C$5:$C$2004,C1144)&gt;1,1,0))</x:f>
      </x:c>
    </x:row>
    <x:row r="1145">
      <x:c r="A1145" s="8" t="n"/>
      <x:c r="B1145" s="8" t="n"/>
      <x:c r="C1145" s="8" t="n"/>
      <x:c r="D1145" s="8" t="n"/>
      <x:c r="E1145" s="8" t="n"/>
      <x:c r="F1145" s="8" t="n"/>
      <x:c r="G1145" s="7">
        <x:f>IF(A1145="","",IF(01_Parametres!$B$11="Oui",IF((01_Parametres!$B$4*(D1145&gt;0)+01_Parametres!$B$5*(E1145&gt;0)+01_Parametres!$B$6*(F1145&gt;0))=0,"",(01_Parametres!$B$4*IF(D1145&gt;0,D1145,0)+01_Parametres!$B$5*IF(E1145&gt;0,E1145,0)+01_Parametres!$B$6*IF(F1145&gt;0,F1145,0))/(01_Parametres!$B$4*(D1145&gt;0)+01_Parametres!$B$5*(E1145&gt;0)+01_Parametres!$B$6*(F1145&gt;0))),IF(01_Parametres!$B$8=0,"",(01_Parametres!$B$4*D1145+01_Parametres!$B$5*E1145+01_Parametres!$B$6*F1145)/01_Parametres!$B$8)))</x:f>
      </x:c>
      <x:c r="H1145">
        <x:f>IFERROR(VLOOKUP(C1145,02_Referentiels!$A$20:$D$99,3,FALSE),"")</x:f>
      </x:c>
      <x:c r="I1145">
        <x:f>IFERROR(VLOOKUP(B1145,02_Referentiels!$A$5:$C$16,2,FALSE),"")</x:f>
      </x:c>
      <x:c r="J1145">
        <x:f>IF(A1145="","",IF(OR(D1145="",E1145="",F1145=""),1,IF(OR(D1145&lt;0,D1145&gt;3,E1145&lt;0,E1145&gt;3,F1145&lt;0,F1145&gt;3),1,0)))</x:f>
      </x:c>
      <x:c r="K1145">
        <x:f>IF(A1145="","",IF(G1145="",1,0))</x:f>
      </x:c>
      <x:c r="L1145">
        <x:f>IF(A1145="","",IF(COUNTIFS($A$5:$A$2004,A1145,$C$5:$C$2004,C1145)&gt;1,1,0))</x:f>
      </x:c>
    </x:row>
    <x:row r="1146">
      <x:c r="A1146" s="8" t="n"/>
      <x:c r="B1146" s="8" t="n"/>
      <x:c r="C1146" s="8" t="n"/>
      <x:c r="D1146" s="8" t="n"/>
      <x:c r="E1146" s="8" t="n"/>
      <x:c r="F1146" s="8" t="n"/>
      <x:c r="G1146" s="7">
        <x:f>IF(A1146="","",IF(01_Parametres!$B$11="Oui",IF((01_Parametres!$B$4*(D1146&gt;0)+01_Parametres!$B$5*(E1146&gt;0)+01_Parametres!$B$6*(F1146&gt;0))=0,"",(01_Parametres!$B$4*IF(D1146&gt;0,D1146,0)+01_Parametres!$B$5*IF(E1146&gt;0,E1146,0)+01_Parametres!$B$6*IF(F1146&gt;0,F1146,0))/(01_Parametres!$B$4*(D1146&gt;0)+01_Parametres!$B$5*(E1146&gt;0)+01_Parametres!$B$6*(F1146&gt;0))),IF(01_Parametres!$B$8=0,"",(01_Parametres!$B$4*D1146+01_Parametres!$B$5*E1146+01_Parametres!$B$6*F1146)/01_Parametres!$B$8)))</x:f>
      </x:c>
      <x:c r="H1146">
        <x:f>IFERROR(VLOOKUP(C1146,02_Referentiels!$A$20:$D$99,3,FALSE),"")</x:f>
      </x:c>
      <x:c r="I1146">
        <x:f>IFERROR(VLOOKUP(B1146,02_Referentiels!$A$5:$C$16,2,FALSE),"")</x:f>
      </x:c>
      <x:c r="J1146">
        <x:f>IF(A1146="","",IF(OR(D1146="",E1146="",F1146=""),1,IF(OR(D1146&lt;0,D1146&gt;3,E1146&lt;0,E1146&gt;3,F1146&lt;0,F1146&gt;3),1,0)))</x:f>
      </x:c>
      <x:c r="K1146">
        <x:f>IF(A1146="","",IF(G1146="",1,0))</x:f>
      </x:c>
      <x:c r="L1146">
        <x:f>IF(A1146="","",IF(COUNTIFS($A$5:$A$2004,A1146,$C$5:$C$2004,C1146)&gt;1,1,0))</x:f>
      </x:c>
    </x:row>
    <x:row r="1147">
      <x:c r="A1147" s="8" t="n"/>
      <x:c r="B1147" s="8" t="n"/>
      <x:c r="C1147" s="8" t="n"/>
      <x:c r="D1147" s="8" t="n"/>
      <x:c r="E1147" s="8" t="n"/>
      <x:c r="F1147" s="8" t="n"/>
      <x:c r="G1147" s="7">
        <x:f>IF(A1147="","",IF(01_Parametres!$B$11="Oui",IF((01_Parametres!$B$4*(D1147&gt;0)+01_Parametres!$B$5*(E1147&gt;0)+01_Parametres!$B$6*(F1147&gt;0))=0,"",(01_Parametres!$B$4*IF(D1147&gt;0,D1147,0)+01_Parametres!$B$5*IF(E1147&gt;0,E1147,0)+01_Parametres!$B$6*IF(F1147&gt;0,F1147,0))/(01_Parametres!$B$4*(D1147&gt;0)+01_Parametres!$B$5*(E1147&gt;0)+01_Parametres!$B$6*(F1147&gt;0))),IF(01_Parametres!$B$8=0,"",(01_Parametres!$B$4*D1147+01_Parametres!$B$5*E1147+01_Parametres!$B$6*F1147)/01_Parametres!$B$8)))</x:f>
      </x:c>
      <x:c r="H1147">
        <x:f>IFERROR(VLOOKUP(C1147,02_Referentiels!$A$20:$D$99,3,FALSE),"")</x:f>
      </x:c>
      <x:c r="I1147">
        <x:f>IFERROR(VLOOKUP(B1147,02_Referentiels!$A$5:$C$16,2,FALSE),"")</x:f>
      </x:c>
      <x:c r="J1147">
        <x:f>IF(A1147="","",IF(OR(D1147="",E1147="",F1147=""),1,IF(OR(D1147&lt;0,D1147&gt;3,E1147&lt;0,E1147&gt;3,F1147&lt;0,F1147&gt;3),1,0)))</x:f>
      </x:c>
      <x:c r="K1147">
        <x:f>IF(A1147="","",IF(G1147="",1,0))</x:f>
      </x:c>
      <x:c r="L1147">
        <x:f>IF(A1147="","",IF(COUNTIFS($A$5:$A$2004,A1147,$C$5:$C$2004,C1147)&gt;1,1,0))</x:f>
      </x:c>
    </x:row>
    <x:row r="1148">
      <x:c r="A1148" s="8" t="n"/>
      <x:c r="B1148" s="8" t="n"/>
      <x:c r="C1148" s="8" t="n"/>
      <x:c r="D1148" s="8" t="n"/>
      <x:c r="E1148" s="8" t="n"/>
      <x:c r="F1148" s="8" t="n"/>
      <x:c r="G1148" s="7">
        <x:f>IF(A1148="","",IF(01_Parametres!$B$11="Oui",IF((01_Parametres!$B$4*(D1148&gt;0)+01_Parametres!$B$5*(E1148&gt;0)+01_Parametres!$B$6*(F1148&gt;0))=0,"",(01_Parametres!$B$4*IF(D1148&gt;0,D1148,0)+01_Parametres!$B$5*IF(E1148&gt;0,E1148,0)+01_Parametres!$B$6*IF(F1148&gt;0,F1148,0))/(01_Parametres!$B$4*(D1148&gt;0)+01_Parametres!$B$5*(E1148&gt;0)+01_Parametres!$B$6*(F1148&gt;0))),IF(01_Parametres!$B$8=0,"",(01_Parametres!$B$4*D1148+01_Parametres!$B$5*E1148+01_Parametres!$B$6*F1148)/01_Parametres!$B$8)))</x:f>
      </x:c>
      <x:c r="H1148">
        <x:f>IFERROR(VLOOKUP(C1148,02_Referentiels!$A$20:$D$99,3,FALSE),"")</x:f>
      </x:c>
      <x:c r="I1148">
        <x:f>IFERROR(VLOOKUP(B1148,02_Referentiels!$A$5:$C$16,2,FALSE),"")</x:f>
      </x:c>
      <x:c r="J1148">
        <x:f>IF(A1148="","",IF(OR(D1148="",E1148="",F1148=""),1,IF(OR(D1148&lt;0,D1148&gt;3,E1148&lt;0,E1148&gt;3,F1148&lt;0,F1148&gt;3),1,0)))</x:f>
      </x:c>
      <x:c r="K1148">
        <x:f>IF(A1148="","",IF(G1148="",1,0))</x:f>
      </x:c>
      <x:c r="L1148">
        <x:f>IF(A1148="","",IF(COUNTIFS($A$5:$A$2004,A1148,$C$5:$C$2004,C1148)&gt;1,1,0))</x:f>
      </x:c>
    </x:row>
    <x:row r="1149">
      <x:c r="A1149" s="8" t="n"/>
      <x:c r="B1149" s="8" t="n"/>
      <x:c r="C1149" s="8" t="n"/>
      <x:c r="D1149" s="8" t="n"/>
      <x:c r="E1149" s="8" t="n"/>
      <x:c r="F1149" s="8" t="n"/>
      <x:c r="G1149" s="7">
        <x:f>IF(A1149="","",IF(01_Parametres!$B$11="Oui",IF((01_Parametres!$B$4*(D1149&gt;0)+01_Parametres!$B$5*(E1149&gt;0)+01_Parametres!$B$6*(F1149&gt;0))=0,"",(01_Parametres!$B$4*IF(D1149&gt;0,D1149,0)+01_Parametres!$B$5*IF(E1149&gt;0,E1149,0)+01_Parametres!$B$6*IF(F1149&gt;0,F1149,0))/(01_Parametres!$B$4*(D1149&gt;0)+01_Parametres!$B$5*(E1149&gt;0)+01_Parametres!$B$6*(F1149&gt;0))),IF(01_Parametres!$B$8=0,"",(01_Parametres!$B$4*D1149+01_Parametres!$B$5*E1149+01_Parametres!$B$6*F1149)/01_Parametres!$B$8)))</x:f>
      </x:c>
      <x:c r="H1149">
        <x:f>IFERROR(VLOOKUP(C1149,02_Referentiels!$A$20:$D$99,3,FALSE),"")</x:f>
      </x:c>
      <x:c r="I1149">
        <x:f>IFERROR(VLOOKUP(B1149,02_Referentiels!$A$5:$C$16,2,FALSE),"")</x:f>
      </x:c>
      <x:c r="J1149">
        <x:f>IF(A1149="","",IF(OR(D1149="",E1149="",F1149=""),1,IF(OR(D1149&lt;0,D1149&gt;3,E1149&lt;0,E1149&gt;3,F1149&lt;0,F1149&gt;3),1,0)))</x:f>
      </x:c>
      <x:c r="K1149">
        <x:f>IF(A1149="","",IF(G1149="",1,0))</x:f>
      </x:c>
      <x:c r="L1149">
        <x:f>IF(A1149="","",IF(COUNTIFS($A$5:$A$2004,A1149,$C$5:$C$2004,C1149)&gt;1,1,0))</x:f>
      </x:c>
    </x:row>
    <x:row r="1150">
      <x:c r="A1150" s="8" t="n"/>
      <x:c r="B1150" s="8" t="n"/>
      <x:c r="C1150" s="8" t="n"/>
      <x:c r="D1150" s="8" t="n"/>
      <x:c r="E1150" s="8" t="n"/>
      <x:c r="F1150" s="8" t="n"/>
      <x:c r="G1150" s="7">
        <x:f>IF(A1150="","",IF(01_Parametres!$B$11="Oui",IF((01_Parametres!$B$4*(D1150&gt;0)+01_Parametres!$B$5*(E1150&gt;0)+01_Parametres!$B$6*(F1150&gt;0))=0,"",(01_Parametres!$B$4*IF(D1150&gt;0,D1150,0)+01_Parametres!$B$5*IF(E1150&gt;0,E1150,0)+01_Parametres!$B$6*IF(F1150&gt;0,F1150,0))/(01_Parametres!$B$4*(D1150&gt;0)+01_Parametres!$B$5*(E1150&gt;0)+01_Parametres!$B$6*(F1150&gt;0))),IF(01_Parametres!$B$8=0,"",(01_Parametres!$B$4*D1150+01_Parametres!$B$5*E1150+01_Parametres!$B$6*F1150)/01_Parametres!$B$8)))</x:f>
      </x:c>
      <x:c r="H1150">
        <x:f>IFERROR(VLOOKUP(C1150,02_Referentiels!$A$20:$D$99,3,FALSE),"")</x:f>
      </x:c>
      <x:c r="I1150">
        <x:f>IFERROR(VLOOKUP(B1150,02_Referentiels!$A$5:$C$16,2,FALSE),"")</x:f>
      </x:c>
      <x:c r="J1150">
        <x:f>IF(A1150="","",IF(OR(D1150="",E1150="",F1150=""),1,IF(OR(D1150&lt;0,D1150&gt;3,E1150&lt;0,E1150&gt;3,F1150&lt;0,F1150&gt;3),1,0)))</x:f>
      </x:c>
      <x:c r="K1150">
        <x:f>IF(A1150="","",IF(G1150="",1,0))</x:f>
      </x:c>
      <x:c r="L1150">
        <x:f>IF(A1150="","",IF(COUNTIFS($A$5:$A$2004,A1150,$C$5:$C$2004,C1150)&gt;1,1,0))</x:f>
      </x:c>
    </x:row>
    <x:row r="1151">
      <x:c r="A1151" s="8" t="n"/>
      <x:c r="B1151" s="8" t="n"/>
      <x:c r="C1151" s="8" t="n"/>
      <x:c r="D1151" s="8" t="n"/>
      <x:c r="E1151" s="8" t="n"/>
      <x:c r="F1151" s="8" t="n"/>
      <x:c r="G1151" s="7">
        <x:f>IF(A1151="","",IF(01_Parametres!$B$11="Oui",IF((01_Parametres!$B$4*(D1151&gt;0)+01_Parametres!$B$5*(E1151&gt;0)+01_Parametres!$B$6*(F1151&gt;0))=0,"",(01_Parametres!$B$4*IF(D1151&gt;0,D1151,0)+01_Parametres!$B$5*IF(E1151&gt;0,E1151,0)+01_Parametres!$B$6*IF(F1151&gt;0,F1151,0))/(01_Parametres!$B$4*(D1151&gt;0)+01_Parametres!$B$5*(E1151&gt;0)+01_Parametres!$B$6*(F1151&gt;0))),IF(01_Parametres!$B$8=0,"",(01_Parametres!$B$4*D1151+01_Parametres!$B$5*E1151+01_Parametres!$B$6*F1151)/01_Parametres!$B$8)))</x:f>
      </x:c>
      <x:c r="H1151">
        <x:f>IFERROR(VLOOKUP(C1151,02_Referentiels!$A$20:$D$99,3,FALSE),"")</x:f>
      </x:c>
      <x:c r="I1151">
        <x:f>IFERROR(VLOOKUP(B1151,02_Referentiels!$A$5:$C$16,2,FALSE),"")</x:f>
      </x:c>
      <x:c r="J1151">
        <x:f>IF(A1151="","",IF(OR(D1151="",E1151="",F1151=""),1,IF(OR(D1151&lt;0,D1151&gt;3,E1151&lt;0,E1151&gt;3,F1151&lt;0,F1151&gt;3),1,0)))</x:f>
      </x:c>
      <x:c r="K1151">
        <x:f>IF(A1151="","",IF(G1151="",1,0))</x:f>
      </x:c>
      <x:c r="L1151">
        <x:f>IF(A1151="","",IF(COUNTIFS($A$5:$A$2004,A1151,$C$5:$C$2004,C1151)&gt;1,1,0))</x:f>
      </x:c>
    </x:row>
    <x:row r="1152">
      <x:c r="A1152" s="8" t="n"/>
      <x:c r="B1152" s="8" t="n"/>
      <x:c r="C1152" s="8" t="n"/>
      <x:c r="D1152" s="8" t="n"/>
      <x:c r="E1152" s="8" t="n"/>
      <x:c r="F1152" s="8" t="n"/>
      <x:c r="G1152" s="7">
        <x:f>IF(A1152="","",IF(01_Parametres!$B$11="Oui",IF((01_Parametres!$B$4*(D1152&gt;0)+01_Parametres!$B$5*(E1152&gt;0)+01_Parametres!$B$6*(F1152&gt;0))=0,"",(01_Parametres!$B$4*IF(D1152&gt;0,D1152,0)+01_Parametres!$B$5*IF(E1152&gt;0,E1152,0)+01_Parametres!$B$6*IF(F1152&gt;0,F1152,0))/(01_Parametres!$B$4*(D1152&gt;0)+01_Parametres!$B$5*(E1152&gt;0)+01_Parametres!$B$6*(F1152&gt;0))),IF(01_Parametres!$B$8=0,"",(01_Parametres!$B$4*D1152+01_Parametres!$B$5*E1152+01_Parametres!$B$6*F1152)/01_Parametres!$B$8)))</x:f>
      </x:c>
      <x:c r="H1152">
        <x:f>IFERROR(VLOOKUP(C1152,02_Referentiels!$A$20:$D$99,3,FALSE),"")</x:f>
      </x:c>
      <x:c r="I1152">
        <x:f>IFERROR(VLOOKUP(B1152,02_Referentiels!$A$5:$C$16,2,FALSE),"")</x:f>
      </x:c>
      <x:c r="J1152">
        <x:f>IF(A1152="","",IF(OR(D1152="",E1152="",F1152=""),1,IF(OR(D1152&lt;0,D1152&gt;3,E1152&lt;0,E1152&gt;3,F1152&lt;0,F1152&gt;3),1,0)))</x:f>
      </x:c>
      <x:c r="K1152">
        <x:f>IF(A1152="","",IF(G1152="",1,0))</x:f>
      </x:c>
      <x:c r="L1152">
        <x:f>IF(A1152="","",IF(COUNTIFS($A$5:$A$2004,A1152,$C$5:$C$2004,C1152)&gt;1,1,0))</x:f>
      </x:c>
    </x:row>
    <x:row r="1153">
      <x:c r="A1153" s="8" t="n"/>
      <x:c r="B1153" s="8" t="n"/>
      <x:c r="C1153" s="8" t="n"/>
      <x:c r="D1153" s="8" t="n"/>
      <x:c r="E1153" s="8" t="n"/>
      <x:c r="F1153" s="8" t="n"/>
      <x:c r="G1153" s="7">
        <x:f>IF(A1153="","",IF(01_Parametres!$B$11="Oui",IF((01_Parametres!$B$4*(D1153&gt;0)+01_Parametres!$B$5*(E1153&gt;0)+01_Parametres!$B$6*(F1153&gt;0))=0,"",(01_Parametres!$B$4*IF(D1153&gt;0,D1153,0)+01_Parametres!$B$5*IF(E1153&gt;0,E1153,0)+01_Parametres!$B$6*IF(F1153&gt;0,F1153,0))/(01_Parametres!$B$4*(D1153&gt;0)+01_Parametres!$B$5*(E1153&gt;0)+01_Parametres!$B$6*(F1153&gt;0))),IF(01_Parametres!$B$8=0,"",(01_Parametres!$B$4*D1153+01_Parametres!$B$5*E1153+01_Parametres!$B$6*F1153)/01_Parametres!$B$8)))</x:f>
      </x:c>
      <x:c r="H1153">
        <x:f>IFERROR(VLOOKUP(C1153,02_Referentiels!$A$20:$D$99,3,FALSE),"")</x:f>
      </x:c>
      <x:c r="I1153">
        <x:f>IFERROR(VLOOKUP(B1153,02_Referentiels!$A$5:$C$16,2,FALSE),"")</x:f>
      </x:c>
      <x:c r="J1153">
        <x:f>IF(A1153="","",IF(OR(D1153="",E1153="",F1153=""),1,IF(OR(D1153&lt;0,D1153&gt;3,E1153&lt;0,E1153&gt;3,F1153&lt;0,F1153&gt;3),1,0)))</x:f>
      </x:c>
      <x:c r="K1153">
        <x:f>IF(A1153="","",IF(G1153="",1,0))</x:f>
      </x:c>
      <x:c r="L1153">
        <x:f>IF(A1153="","",IF(COUNTIFS($A$5:$A$2004,A1153,$C$5:$C$2004,C1153)&gt;1,1,0))</x:f>
      </x:c>
    </x:row>
    <x:row r="1154">
      <x:c r="A1154" s="8" t="n"/>
      <x:c r="B1154" s="8" t="n"/>
      <x:c r="C1154" s="8" t="n"/>
      <x:c r="D1154" s="8" t="n"/>
      <x:c r="E1154" s="8" t="n"/>
      <x:c r="F1154" s="8" t="n"/>
      <x:c r="G1154" s="7">
        <x:f>IF(A1154="","",IF(01_Parametres!$B$11="Oui",IF((01_Parametres!$B$4*(D1154&gt;0)+01_Parametres!$B$5*(E1154&gt;0)+01_Parametres!$B$6*(F1154&gt;0))=0,"",(01_Parametres!$B$4*IF(D1154&gt;0,D1154,0)+01_Parametres!$B$5*IF(E1154&gt;0,E1154,0)+01_Parametres!$B$6*IF(F1154&gt;0,F1154,0))/(01_Parametres!$B$4*(D1154&gt;0)+01_Parametres!$B$5*(E1154&gt;0)+01_Parametres!$B$6*(F1154&gt;0))),IF(01_Parametres!$B$8=0,"",(01_Parametres!$B$4*D1154+01_Parametres!$B$5*E1154+01_Parametres!$B$6*F1154)/01_Parametres!$B$8)))</x:f>
      </x:c>
      <x:c r="H1154">
        <x:f>IFERROR(VLOOKUP(C1154,02_Referentiels!$A$20:$D$99,3,FALSE),"")</x:f>
      </x:c>
      <x:c r="I1154">
        <x:f>IFERROR(VLOOKUP(B1154,02_Referentiels!$A$5:$C$16,2,FALSE),"")</x:f>
      </x:c>
      <x:c r="J1154">
        <x:f>IF(A1154="","",IF(OR(D1154="",E1154="",F1154=""),1,IF(OR(D1154&lt;0,D1154&gt;3,E1154&lt;0,E1154&gt;3,F1154&lt;0,F1154&gt;3),1,0)))</x:f>
      </x:c>
      <x:c r="K1154">
        <x:f>IF(A1154="","",IF(G1154="",1,0))</x:f>
      </x:c>
      <x:c r="L1154">
        <x:f>IF(A1154="","",IF(COUNTIFS($A$5:$A$2004,A1154,$C$5:$C$2004,C1154)&gt;1,1,0))</x:f>
      </x:c>
    </x:row>
    <x:row r="1155">
      <x:c r="A1155" s="8" t="n"/>
      <x:c r="B1155" s="8" t="n"/>
      <x:c r="C1155" s="8" t="n"/>
      <x:c r="D1155" s="8" t="n"/>
      <x:c r="E1155" s="8" t="n"/>
      <x:c r="F1155" s="8" t="n"/>
      <x:c r="G1155" s="7">
        <x:f>IF(A1155="","",IF(01_Parametres!$B$11="Oui",IF((01_Parametres!$B$4*(D1155&gt;0)+01_Parametres!$B$5*(E1155&gt;0)+01_Parametres!$B$6*(F1155&gt;0))=0,"",(01_Parametres!$B$4*IF(D1155&gt;0,D1155,0)+01_Parametres!$B$5*IF(E1155&gt;0,E1155,0)+01_Parametres!$B$6*IF(F1155&gt;0,F1155,0))/(01_Parametres!$B$4*(D1155&gt;0)+01_Parametres!$B$5*(E1155&gt;0)+01_Parametres!$B$6*(F1155&gt;0))),IF(01_Parametres!$B$8=0,"",(01_Parametres!$B$4*D1155+01_Parametres!$B$5*E1155+01_Parametres!$B$6*F1155)/01_Parametres!$B$8)))</x:f>
      </x:c>
      <x:c r="H1155">
        <x:f>IFERROR(VLOOKUP(C1155,02_Referentiels!$A$20:$D$99,3,FALSE),"")</x:f>
      </x:c>
      <x:c r="I1155">
        <x:f>IFERROR(VLOOKUP(B1155,02_Referentiels!$A$5:$C$16,2,FALSE),"")</x:f>
      </x:c>
      <x:c r="J1155">
        <x:f>IF(A1155="","",IF(OR(D1155="",E1155="",F1155=""),1,IF(OR(D1155&lt;0,D1155&gt;3,E1155&lt;0,E1155&gt;3,F1155&lt;0,F1155&gt;3),1,0)))</x:f>
      </x:c>
      <x:c r="K1155">
        <x:f>IF(A1155="","",IF(G1155="",1,0))</x:f>
      </x:c>
      <x:c r="L1155">
        <x:f>IF(A1155="","",IF(COUNTIFS($A$5:$A$2004,A1155,$C$5:$C$2004,C1155)&gt;1,1,0))</x:f>
      </x:c>
    </x:row>
    <x:row r="1156">
      <x:c r="A1156" s="8" t="n"/>
      <x:c r="B1156" s="8" t="n"/>
      <x:c r="C1156" s="8" t="n"/>
      <x:c r="D1156" s="8" t="n"/>
      <x:c r="E1156" s="8" t="n"/>
      <x:c r="F1156" s="8" t="n"/>
      <x:c r="G1156" s="7">
        <x:f>IF(A1156="","",IF(01_Parametres!$B$11="Oui",IF((01_Parametres!$B$4*(D1156&gt;0)+01_Parametres!$B$5*(E1156&gt;0)+01_Parametres!$B$6*(F1156&gt;0))=0,"",(01_Parametres!$B$4*IF(D1156&gt;0,D1156,0)+01_Parametres!$B$5*IF(E1156&gt;0,E1156,0)+01_Parametres!$B$6*IF(F1156&gt;0,F1156,0))/(01_Parametres!$B$4*(D1156&gt;0)+01_Parametres!$B$5*(E1156&gt;0)+01_Parametres!$B$6*(F1156&gt;0))),IF(01_Parametres!$B$8=0,"",(01_Parametres!$B$4*D1156+01_Parametres!$B$5*E1156+01_Parametres!$B$6*F1156)/01_Parametres!$B$8)))</x:f>
      </x:c>
      <x:c r="H1156">
        <x:f>IFERROR(VLOOKUP(C1156,02_Referentiels!$A$20:$D$99,3,FALSE),"")</x:f>
      </x:c>
      <x:c r="I1156">
        <x:f>IFERROR(VLOOKUP(B1156,02_Referentiels!$A$5:$C$16,2,FALSE),"")</x:f>
      </x:c>
      <x:c r="J1156">
        <x:f>IF(A1156="","",IF(OR(D1156="",E1156="",F1156=""),1,IF(OR(D1156&lt;0,D1156&gt;3,E1156&lt;0,E1156&gt;3,F1156&lt;0,F1156&gt;3),1,0)))</x:f>
      </x:c>
      <x:c r="K1156">
        <x:f>IF(A1156="","",IF(G1156="",1,0))</x:f>
      </x:c>
      <x:c r="L1156">
        <x:f>IF(A1156="","",IF(COUNTIFS($A$5:$A$2004,A1156,$C$5:$C$2004,C1156)&gt;1,1,0))</x:f>
      </x:c>
    </x:row>
    <x:row r="1157">
      <x:c r="A1157" s="8" t="n"/>
      <x:c r="B1157" s="8" t="n"/>
      <x:c r="C1157" s="8" t="n"/>
      <x:c r="D1157" s="8" t="n"/>
      <x:c r="E1157" s="8" t="n"/>
      <x:c r="F1157" s="8" t="n"/>
      <x:c r="G1157" s="7">
        <x:f>IF(A1157="","",IF(01_Parametres!$B$11="Oui",IF((01_Parametres!$B$4*(D1157&gt;0)+01_Parametres!$B$5*(E1157&gt;0)+01_Parametres!$B$6*(F1157&gt;0))=0,"",(01_Parametres!$B$4*IF(D1157&gt;0,D1157,0)+01_Parametres!$B$5*IF(E1157&gt;0,E1157,0)+01_Parametres!$B$6*IF(F1157&gt;0,F1157,0))/(01_Parametres!$B$4*(D1157&gt;0)+01_Parametres!$B$5*(E1157&gt;0)+01_Parametres!$B$6*(F1157&gt;0))),IF(01_Parametres!$B$8=0,"",(01_Parametres!$B$4*D1157+01_Parametres!$B$5*E1157+01_Parametres!$B$6*F1157)/01_Parametres!$B$8)))</x:f>
      </x:c>
      <x:c r="H1157">
        <x:f>IFERROR(VLOOKUP(C1157,02_Referentiels!$A$20:$D$99,3,FALSE),"")</x:f>
      </x:c>
      <x:c r="I1157">
        <x:f>IFERROR(VLOOKUP(B1157,02_Referentiels!$A$5:$C$16,2,FALSE),"")</x:f>
      </x:c>
      <x:c r="J1157">
        <x:f>IF(A1157="","",IF(OR(D1157="",E1157="",F1157=""),1,IF(OR(D1157&lt;0,D1157&gt;3,E1157&lt;0,E1157&gt;3,F1157&lt;0,F1157&gt;3),1,0)))</x:f>
      </x:c>
      <x:c r="K1157">
        <x:f>IF(A1157="","",IF(G1157="",1,0))</x:f>
      </x:c>
      <x:c r="L1157">
        <x:f>IF(A1157="","",IF(COUNTIFS($A$5:$A$2004,A1157,$C$5:$C$2004,C1157)&gt;1,1,0))</x:f>
      </x:c>
    </x:row>
    <x:row r="1158">
      <x:c r="A1158" s="8" t="n"/>
      <x:c r="B1158" s="8" t="n"/>
      <x:c r="C1158" s="8" t="n"/>
      <x:c r="D1158" s="8" t="n"/>
      <x:c r="E1158" s="8" t="n"/>
      <x:c r="F1158" s="8" t="n"/>
      <x:c r="G1158" s="7">
        <x:f>IF(A1158="","",IF(01_Parametres!$B$11="Oui",IF((01_Parametres!$B$4*(D1158&gt;0)+01_Parametres!$B$5*(E1158&gt;0)+01_Parametres!$B$6*(F1158&gt;0))=0,"",(01_Parametres!$B$4*IF(D1158&gt;0,D1158,0)+01_Parametres!$B$5*IF(E1158&gt;0,E1158,0)+01_Parametres!$B$6*IF(F1158&gt;0,F1158,0))/(01_Parametres!$B$4*(D1158&gt;0)+01_Parametres!$B$5*(E1158&gt;0)+01_Parametres!$B$6*(F1158&gt;0))),IF(01_Parametres!$B$8=0,"",(01_Parametres!$B$4*D1158+01_Parametres!$B$5*E1158+01_Parametres!$B$6*F1158)/01_Parametres!$B$8)))</x:f>
      </x:c>
      <x:c r="H1158">
        <x:f>IFERROR(VLOOKUP(C1158,02_Referentiels!$A$20:$D$99,3,FALSE),"")</x:f>
      </x:c>
      <x:c r="I1158">
        <x:f>IFERROR(VLOOKUP(B1158,02_Referentiels!$A$5:$C$16,2,FALSE),"")</x:f>
      </x:c>
      <x:c r="J1158">
        <x:f>IF(A1158="","",IF(OR(D1158="",E1158="",F1158=""),1,IF(OR(D1158&lt;0,D1158&gt;3,E1158&lt;0,E1158&gt;3,F1158&lt;0,F1158&gt;3),1,0)))</x:f>
      </x:c>
      <x:c r="K1158">
        <x:f>IF(A1158="","",IF(G1158="",1,0))</x:f>
      </x:c>
      <x:c r="L1158">
        <x:f>IF(A1158="","",IF(COUNTIFS($A$5:$A$2004,A1158,$C$5:$C$2004,C1158)&gt;1,1,0))</x:f>
      </x:c>
    </x:row>
    <x:row r="1159">
      <x:c r="A1159" s="8" t="n"/>
      <x:c r="B1159" s="8" t="n"/>
      <x:c r="C1159" s="8" t="n"/>
      <x:c r="D1159" s="8" t="n"/>
      <x:c r="E1159" s="8" t="n"/>
      <x:c r="F1159" s="8" t="n"/>
      <x:c r="G1159" s="7">
        <x:f>IF(A1159="","",IF(01_Parametres!$B$11="Oui",IF((01_Parametres!$B$4*(D1159&gt;0)+01_Parametres!$B$5*(E1159&gt;0)+01_Parametres!$B$6*(F1159&gt;0))=0,"",(01_Parametres!$B$4*IF(D1159&gt;0,D1159,0)+01_Parametres!$B$5*IF(E1159&gt;0,E1159,0)+01_Parametres!$B$6*IF(F1159&gt;0,F1159,0))/(01_Parametres!$B$4*(D1159&gt;0)+01_Parametres!$B$5*(E1159&gt;0)+01_Parametres!$B$6*(F1159&gt;0))),IF(01_Parametres!$B$8=0,"",(01_Parametres!$B$4*D1159+01_Parametres!$B$5*E1159+01_Parametres!$B$6*F1159)/01_Parametres!$B$8)))</x:f>
      </x:c>
      <x:c r="H1159">
        <x:f>IFERROR(VLOOKUP(C1159,02_Referentiels!$A$20:$D$99,3,FALSE),"")</x:f>
      </x:c>
      <x:c r="I1159">
        <x:f>IFERROR(VLOOKUP(B1159,02_Referentiels!$A$5:$C$16,2,FALSE),"")</x:f>
      </x:c>
      <x:c r="J1159">
        <x:f>IF(A1159="","",IF(OR(D1159="",E1159="",F1159=""),1,IF(OR(D1159&lt;0,D1159&gt;3,E1159&lt;0,E1159&gt;3,F1159&lt;0,F1159&gt;3),1,0)))</x:f>
      </x:c>
      <x:c r="K1159">
        <x:f>IF(A1159="","",IF(G1159="",1,0))</x:f>
      </x:c>
      <x:c r="L1159">
        <x:f>IF(A1159="","",IF(COUNTIFS($A$5:$A$2004,A1159,$C$5:$C$2004,C1159)&gt;1,1,0))</x:f>
      </x:c>
    </x:row>
    <x:row r="1160">
      <x:c r="A1160" s="8" t="n"/>
      <x:c r="B1160" s="8" t="n"/>
      <x:c r="C1160" s="8" t="n"/>
      <x:c r="D1160" s="8" t="n"/>
      <x:c r="E1160" s="8" t="n"/>
      <x:c r="F1160" s="8" t="n"/>
      <x:c r="G1160" s="7">
        <x:f>IF(A1160="","",IF(01_Parametres!$B$11="Oui",IF((01_Parametres!$B$4*(D1160&gt;0)+01_Parametres!$B$5*(E1160&gt;0)+01_Parametres!$B$6*(F1160&gt;0))=0,"",(01_Parametres!$B$4*IF(D1160&gt;0,D1160,0)+01_Parametres!$B$5*IF(E1160&gt;0,E1160,0)+01_Parametres!$B$6*IF(F1160&gt;0,F1160,0))/(01_Parametres!$B$4*(D1160&gt;0)+01_Parametres!$B$5*(E1160&gt;0)+01_Parametres!$B$6*(F1160&gt;0))),IF(01_Parametres!$B$8=0,"",(01_Parametres!$B$4*D1160+01_Parametres!$B$5*E1160+01_Parametres!$B$6*F1160)/01_Parametres!$B$8)))</x:f>
      </x:c>
      <x:c r="H1160">
        <x:f>IFERROR(VLOOKUP(C1160,02_Referentiels!$A$20:$D$99,3,FALSE),"")</x:f>
      </x:c>
      <x:c r="I1160">
        <x:f>IFERROR(VLOOKUP(B1160,02_Referentiels!$A$5:$C$16,2,FALSE),"")</x:f>
      </x:c>
      <x:c r="J1160">
        <x:f>IF(A1160="","",IF(OR(D1160="",E1160="",F1160=""),1,IF(OR(D1160&lt;0,D1160&gt;3,E1160&lt;0,E1160&gt;3,F1160&lt;0,F1160&gt;3),1,0)))</x:f>
      </x:c>
      <x:c r="K1160">
        <x:f>IF(A1160="","",IF(G1160="",1,0))</x:f>
      </x:c>
      <x:c r="L1160">
        <x:f>IF(A1160="","",IF(COUNTIFS($A$5:$A$2004,A1160,$C$5:$C$2004,C1160)&gt;1,1,0))</x:f>
      </x:c>
    </x:row>
    <x:row r="1161">
      <x:c r="A1161" s="8" t="n"/>
      <x:c r="B1161" s="8" t="n"/>
      <x:c r="C1161" s="8" t="n"/>
      <x:c r="D1161" s="8" t="n"/>
      <x:c r="E1161" s="8" t="n"/>
      <x:c r="F1161" s="8" t="n"/>
      <x:c r="G1161" s="7">
        <x:f>IF(A1161="","",IF(01_Parametres!$B$11="Oui",IF((01_Parametres!$B$4*(D1161&gt;0)+01_Parametres!$B$5*(E1161&gt;0)+01_Parametres!$B$6*(F1161&gt;0))=0,"",(01_Parametres!$B$4*IF(D1161&gt;0,D1161,0)+01_Parametres!$B$5*IF(E1161&gt;0,E1161,0)+01_Parametres!$B$6*IF(F1161&gt;0,F1161,0))/(01_Parametres!$B$4*(D1161&gt;0)+01_Parametres!$B$5*(E1161&gt;0)+01_Parametres!$B$6*(F1161&gt;0))),IF(01_Parametres!$B$8=0,"",(01_Parametres!$B$4*D1161+01_Parametres!$B$5*E1161+01_Parametres!$B$6*F1161)/01_Parametres!$B$8)))</x:f>
      </x:c>
      <x:c r="H1161">
        <x:f>IFERROR(VLOOKUP(C1161,02_Referentiels!$A$20:$D$99,3,FALSE),"")</x:f>
      </x:c>
      <x:c r="I1161">
        <x:f>IFERROR(VLOOKUP(B1161,02_Referentiels!$A$5:$C$16,2,FALSE),"")</x:f>
      </x:c>
      <x:c r="J1161">
        <x:f>IF(A1161="","",IF(OR(D1161="",E1161="",F1161=""),1,IF(OR(D1161&lt;0,D1161&gt;3,E1161&lt;0,E1161&gt;3,F1161&lt;0,F1161&gt;3),1,0)))</x:f>
      </x:c>
      <x:c r="K1161">
        <x:f>IF(A1161="","",IF(G1161="",1,0))</x:f>
      </x:c>
      <x:c r="L1161">
        <x:f>IF(A1161="","",IF(COUNTIFS($A$5:$A$2004,A1161,$C$5:$C$2004,C1161)&gt;1,1,0))</x:f>
      </x:c>
    </x:row>
    <x:row r="1162">
      <x:c r="A1162" s="8" t="n"/>
      <x:c r="B1162" s="8" t="n"/>
      <x:c r="C1162" s="8" t="n"/>
      <x:c r="D1162" s="8" t="n"/>
      <x:c r="E1162" s="8" t="n"/>
      <x:c r="F1162" s="8" t="n"/>
      <x:c r="G1162" s="7">
        <x:f>IF(A1162="","",IF(01_Parametres!$B$11="Oui",IF((01_Parametres!$B$4*(D1162&gt;0)+01_Parametres!$B$5*(E1162&gt;0)+01_Parametres!$B$6*(F1162&gt;0))=0,"",(01_Parametres!$B$4*IF(D1162&gt;0,D1162,0)+01_Parametres!$B$5*IF(E1162&gt;0,E1162,0)+01_Parametres!$B$6*IF(F1162&gt;0,F1162,0))/(01_Parametres!$B$4*(D1162&gt;0)+01_Parametres!$B$5*(E1162&gt;0)+01_Parametres!$B$6*(F1162&gt;0))),IF(01_Parametres!$B$8=0,"",(01_Parametres!$B$4*D1162+01_Parametres!$B$5*E1162+01_Parametres!$B$6*F1162)/01_Parametres!$B$8)))</x:f>
      </x:c>
      <x:c r="H1162">
        <x:f>IFERROR(VLOOKUP(C1162,02_Referentiels!$A$20:$D$99,3,FALSE),"")</x:f>
      </x:c>
      <x:c r="I1162">
        <x:f>IFERROR(VLOOKUP(B1162,02_Referentiels!$A$5:$C$16,2,FALSE),"")</x:f>
      </x:c>
      <x:c r="J1162">
        <x:f>IF(A1162="","",IF(OR(D1162="",E1162="",F1162=""),1,IF(OR(D1162&lt;0,D1162&gt;3,E1162&lt;0,E1162&gt;3,F1162&lt;0,F1162&gt;3),1,0)))</x:f>
      </x:c>
      <x:c r="K1162">
        <x:f>IF(A1162="","",IF(G1162="",1,0))</x:f>
      </x:c>
      <x:c r="L1162">
        <x:f>IF(A1162="","",IF(COUNTIFS($A$5:$A$2004,A1162,$C$5:$C$2004,C1162)&gt;1,1,0))</x:f>
      </x:c>
    </x:row>
    <x:row r="1163">
      <x:c r="A1163" s="8" t="n"/>
      <x:c r="B1163" s="8" t="n"/>
      <x:c r="C1163" s="8" t="n"/>
      <x:c r="D1163" s="8" t="n"/>
      <x:c r="E1163" s="8" t="n"/>
      <x:c r="F1163" s="8" t="n"/>
      <x:c r="G1163" s="7">
        <x:f>IF(A1163="","",IF(01_Parametres!$B$11="Oui",IF((01_Parametres!$B$4*(D1163&gt;0)+01_Parametres!$B$5*(E1163&gt;0)+01_Parametres!$B$6*(F1163&gt;0))=0,"",(01_Parametres!$B$4*IF(D1163&gt;0,D1163,0)+01_Parametres!$B$5*IF(E1163&gt;0,E1163,0)+01_Parametres!$B$6*IF(F1163&gt;0,F1163,0))/(01_Parametres!$B$4*(D1163&gt;0)+01_Parametres!$B$5*(E1163&gt;0)+01_Parametres!$B$6*(F1163&gt;0))),IF(01_Parametres!$B$8=0,"",(01_Parametres!$B$4*D1163+01_Parametres!$B$5*E1163+01_Parametres!$B$6*F1163)/01_Parametres!$B$8)))</x:f>
      </x:c>
      <x:c r="H1163">
        <x:f>IFERROR(VLOOKUP(C1163,02_Referentiels!$A$20:$D$99,3,FALSE),"")</x:f>
      </x:c>
      <x:c r="I1163">
        <x:f>IFERROR(VLOOKUP(B1163,02_Referentiels!$A$5:$C$16,2,FALSE),"")</x:f>
      </x:c>
      <x:c r="J1163">
        <x:f>IF(A1163="","",IF(OR(D1163="",E1163="",F1163=""),1,IF(OR(D1163&lt;0,D1163&gt;3,E1163&lt;0,E1163&gt;3,F1163&lt;0,F1163&gt;3),1,0)))</x:f>
      </x:c>
      <x:c r="K1163">
        <x:f>IF(A1163="","",IF(G1163="",1,0))</x:f>
      </x:c>
      <x:c r="L1163">
        <x:f>IF(A1163="","",IF(COUNTIFS($A$5:$A$2004,A1163,$C$5:$C$2004,C1163)&gt;1,1,0))</x:f>
      </x:c>
    </x:row>
    <x:row r="1164">
      <x:c r="A1164" s="8" t="n"/>
      <x:c r="B1164" s="8" t="n"/>
      <x:c r="C1164" s="8" t="n"/>
      <x:c r="D1164" s="8" t="n"/>
      <x:c r="E1164" s="8" t="n"/>
      <x:c r="F1164" s="8" t="n"/>
      <x:c r="G1164" s="7">
        <x:f>IF(A1164="","",IF(01_Parametres!$B$11="Oui",IF((01_Parametres!$B$4*(D1164&gt;0)+01_Parametres!$B$5*(E1164&gt;0)+01_Parametres!$B$6*(F1164&gt;0))=0,"",(01_Parametres!$B$4*IF(D1164&gt;0,D1164,0)+01_Parametres!$B$5*IF(E1164&gt;0,E1164,0)+01_Parametres!$B$6*IF(F1164&gt;0,F1164,0))/(01_Parametres!$B$4*(D1164&gt;0)+01_Parametres!$B$5*(E1164&gt;0)+01_Parametres!$B$6*(F1164&gt;0))),IF(01_Parametres!$B$8=0,"",(01_Parametres!$B$4*D1164+01_Parametres!$B$5*E1164+01_Parametres!$B$6*F1164)/01_Parametres!$B$8)))</x:f>
      </x:c>
      <x:c r="H1164">
        <x:f>IFERROR(VLOOKUP(C1164,02_Referentiels!$A$20:$D$99,3,FALSE),"")</x:f>
      </x:c>
      <x:c r="I1164">
        <x:f>IFERROR(VLOOKUP(B1164,02_Referentiels!$A$5:$C$16,2,FALSE),"")</x:f>
      </x:c>
      <x:c r="J1164">
        <x:f>IF(A1164="","",IF(OR(D1164="",E1164="",F1164=""),1,IF(OR(D1164&lt;0,D1164&gt;3,E1164&lt;0,E1164&gt;3,F1164&lt;0,F1164&gt;3),1,0)))</x:f>
      </x:c>
      <x:c r="K1164">
        <x:f>IF(A1164="","",IF(G1164="",1,0))</x:f>
      </x:c>
      <x:c r="L1164">
        <x:f>IF(A1164="","",IF(COUNTIFS($A$5:$A$2004,A1164,$C$5:$C$2004,C1164)&gt;1,1,0))</x:f>
      </x:c>
    </x:row>
    <x:row r="1165">
      <x:c r="A1165" s="8" t="n"/>
      <x:c r="B1165" s="8" t="n"/>
      <x:c r="C1165" s="8" t="n"/>
      <x:c r="D1165" s="8" t="n"/>
      <x:c r="E1165" s="8" t="n"/>
      <x:c r="F1165" s="8" t="n"/>
      <x:c r="G1165" s="7">
        <x:f>IF(A1165="","",IF(01_Parametres!$B$11="Oui",IF((01_Parametres!$B$4*(D1165&gt;0)+01_Parametres!$B$5*(E1165&gt;0)+01_Parametres!$B$6*(F1165&gt;0))=0,"",(01_Parametres!$B$4*IF(D1165&gt;0,D1165,0)+01_Parametres!$B$5*IF(E1165&gt;0,E1165,0)+01_Parametres!$B$6*IF(F1165&gt;0,F1165,0))/(01_Parametres!$B$4*(D1165&gt;0)+01_Parametres!$B$5*(E1165&gt;0)+01_Parametres!$B$6*(F1165&gt;0))),IF(01_Parametres!$B$8=0,"",(01_Parametres!$B$4*D1165+01_Parametres!$B$5*E1165+01_Parametres!$B$6*F1165)/01_Parametres!$B$8)))</x:f>
      </x:c>
      <x:c r="H1165">
        <x:f>IFERROR(VLOOKUP(C1165,02_Referentiels!$A$20:$D$99,3,FALSE),"")</x:f>
      </x:c>
      <x:c r="I1165">
        <x:f>IFERROR(VLOOKUP(B1165,02_Referentiels!$A$5:$C$16,2,FALSE),"")</x:f>
      </x:c>
      <x:c r="J1165">
        <x:f>IF(A1165="","",IF(OR(D1165="",E1165="",F1165=""),1,IF(OR(D1165&lt;0,D1165&gt;3,E1165&lt;0,E1165&gt;3,F1165&lt;0,F1165&gt;3),1,0)))</x:f>
      </x:c>
      <x:c r="K1165">
        <x:f>IF(A1165="","",IF(G1165="",1,0))</x:f>
      </x:c>
      <x:c r="L1165">
        <x:f>IF(A1165="","",IF(COUNTIFS($A$5:$A$2004,A1165,$C$5:$C$2004,C1165)&gt;1,1,0))</x:f>
      </x:c>
    </x:row>
    <x:row r="1166">
      <x:c r="A1166" s="8" t="n"/>
      <x:c r="B1166" s="8" t="n"/>
      <x:c r="C1166" s="8" t="n"/>
      <x:c r="D1166" s="8" t="n"/>
      <x:c r="E1166" s="8" t="n"/>
      <x:c r="F1166" s="8" t="n"/>
      <x:c r="G1166" s="7">
        <x:f>IF(A1166="","",IF(01_Parametres!$B$11="Oui",IF((01_Parametres!$B$4*(D1166&gt;0)+01_Parametres!$B$5*(E1166&gt;0)+01_Parametres!$B$6*(F1166&gt;0))=0,"",(01_Parametres!$B$4*IF(D1166&gt;0,D1166,0)+01_Parametres!$B$5*IF(E1166&gt;0,E1166,0)+01_Parametres!$B$6*IF(F1166&gt;0,F1166,0))/(01_Parametres!$B$4*(D1166&gt;0)+01_Parametres!$B$5*(E1166&gt;0)+01_Parametres!$B$6*(F1166&gt;0))),IF(01_Parametres!$B$8=0,"",(01_Parametres!$B$4*D1166+01_Parametres!$B$5*E1166+01_Parametres!$B$6*F1166)/01_Parametres!$B$8)))</x:f>
      </x:c>
      <x:c r="H1166">
        <x:f>IFERROR(VLOOKUP(C1166,02_Referentiels!$A$20:$D$99,3,FALSE),"")</x:f>
      </x:c>
      <x:c r="I1166">
        <x:f>IFERROR(VLOOKUP(B1166,02_Referentiels!$A$5:$C$16,2,FALSE),"")</x:f>
      </x:c>
      <x:c r="J1166">
        <x:f>IF(A1166="","",IF(OR(D1166="",E1166="",F1166=""),1,IF(OR(D1166&lt;0,D1166&gt;3,E1166&lt;0,E1166&gt;3,F1166&lt;0,F1166&gt;3),1,0)))</x:f>
      </x:c>
      <x:c r="K1166">
        <x:f>IF(A1166="","",IF(G1166="",1,0))</x:f>
      </x:c>
      <x:c r="L1166">
        <x:f>IF(A1166="","",IF(COUNTIFS($A$5:$A$2004,A1166,$C$5:$C$2004,C1166)&gt;1,1,0))</x:f>
      </x:c>
    </x:row>
    <x:row r="1167">
      <x:c r="A1167" s="8" t="n"/>
      <x:c r="B1167" s="8" t="n"/>
      <x:c r="C1167" s="8" t="n"/>
      <x:c r="D1167" s="8" t="n"/>
      <x:c r="E1167" s="8" t="n"/>
      <x:c r="F1167" s="8" t="n"/>
      <x:c r="G1167" s="7">
        <x:f>IF(A1167="","",IF(01_Parametres!$B$11="Oui",IF((01_Parametres!$B$4*(D1167&gt;0)+01_Parametres!$B$5*(E1167&gt;0)+01_Parametres!$B$6*(F1167&gt;0))=0,"",(01_Parametres!$B$4*IF(D1167&gt;0,D1167,0)+01_Parametres!$B$5*IF(E1167&gt;0,E1167,0)+01_Parametres!$B$6*IF(F1167&gt;0,F1167,0))/(01_Parametres!$B$4*(D1167&gt;0)+01_Parametres!$B$5*(E1167&gt;0)+01_Parametres!$B$6*(F1167&gt;0))),IF(01_Parametres!$B$8=0,"",(01_Parametres!$B$4*D1167+01_Parametres!$B$5*E1167+01_Parametres!$B$6*F1167)/01_Parametres!$B$8)))</x:f>
      </x:c>
      <x:c r="H1167">
        <x:f>IFERROR(VLOOKUP(C1167,02_Referentiels!$A$20:$D$99,3,FALSE),"")</x:f>
      </x:c>
      <x:c r="I1167">
        <x:f>IFERROR(VLOOKUP(B1167,02_Referentiels!$A$5:$C$16,2,FALSE),"")</x:f>
      </x:c>
      <x:c r="J1167">
        <x:f>IF(A1167="","",IF(OR(D1167="",E1167="",F1167=""),1,IF(OR(D1167&lt;0,D1167&gt;3,E1167&lt;0,E1167&gt;3,F1167&lt;0,F1167&gt;3),1,0)))</x:f>
      </x:c>
      <x:c r="K1167">
        <x:f>IF(A1167="","",IF(G1167="",1,0))</x:f>
      </x:c>
      <x:c r="L1167">
        <x:f>IF(A1167="","",IF(COUNTIFS($A$5:$A$2004,A1167,$C$5:$C$2004,C1167)&gt;1,1,0))</x:f>
      </x:c>
    </x:row>
    <x:row r="1168">
      <x:c r="A1168" s="8" t="n"/>
      <x:c r="B1168" s="8" t="n"/>
      <x:c r="C1168" s="8" t="n"/>
      <x:c r="D1168" s="8" t="n"/>
      <x:c r="E1168" s="8" t="n"/>
      <x:c r="F1168" s="8" t="n"/>
      <x:c r="G1168" s="7">
        <x:f>IF(A1168="","",IF(01_Parametres!$B$11="Oui",IF((01_Parametres!$B$4*(D1168&gt;0)+01_Parametres!$B$5*(E1168&gt;0)+01_Parametres!$B$6*(F1168&gt;0))=0,"",(01_Parametres!$B$4*IF(D1168&gt;0,D1168,0)+01_Parametres!$B$5*IF(E1168&gt;0,E1168,0)+01_Parametres!$B$6*IF(F1168&gt;0,F1168,0))/(01_Parametres!$B$4*(D1168&gt;0)+01_Parametres!$B$5*(E1168&gt;0)+01_Parametres!$B$6*(F1168&gt;0))),IF(01_Parametres!$B$8=0,"",(01_Parametres!$B$4*D1168+01_Parametres!$B$5*E1168+01_Parametres!$B$6*F1168)/01_Parametres!$B$8)))</x:f>
      </x:c>
      <x:c r="H1168">
        <x:f>IFERROR(VLOOKUP(C1168,02_Referentiels!$A$20:$D$99,3,FALSE),"")</x:f>
      </x:c>
      <x:c r="I1168">
        <x:f>IFERROR(VLOOKUP(B1168,02_Referentiels!$A$5:$C$16,2,FALSE),"")</x:f>
      </x:c>
      <x:c r="J1168">
        <x:f>IF(A1168="","",IF(OR(D1168="",E1168="",F1168=""),1,IF(OR(D1168&lt;0,D1168&gt;3,E1168&lt;0,E1168&gt;3,F1168&lt;0,F1168&gt;3),1,0)))</x:f>
      </x:c>
      <x:c r="K1168">
        <x:f>IF(A1168="","",IF(G1168="",1,0))</x:f>
      </x:c>
      <x:c r="L1168">
        <x:f>IF(A1168="","",IF(COUNTIFS($A$5:$A$2004,A1168,$C$5:$C$2004,C1168)&gt;1,1,0))</x:f>
      </x:c>
    </x:row>
    <x:row r="1169">
      <x:c r="A1169" s="8" t="n"/>
      <x:c r="B1169" s="8" t="n"/>
      <x:c r="C1169" s="8" t="n"/>
      <x:c r="D1169" s="8" t="n"/>
      <x:c r="E1169" s="8" t="n"/>
      <x:c r="F1169" s="8" t="n"/>
      <x:c r="G1169" s="7">
        <x:f>IF(A1169="","",IF(01_Parametres!$B$11="Oui",IF((01_Parametres!$B$4*(D1169&gt;0)+01_Parametres!$B$5*(E1169&gt;0)+01_Parametres!$B$6*(F1169&gt;0))=0,"",(01_Parametres!$B$4*IF(D1169&gt;0,D1169,0)+01_Parametres!$B$5*IF(E1169&gt;0,E1169,0)+01_Parametres!$B$6*IF(F1169&gt;0,F1169,0))/(01_Parametres!$B$4*(D1169&gt;0)+01_Parametres!$B$5*(E1169&gt;0)+01_Parametres!$B$6*(F1169&gt;0))),IF(01_Parametres!$B$8=0,"",(01_Parametres!$B$4*D1169+01_Parametres!$B$5*E1169+01_Parametres!$B$6*F1169)/01_Parametres!$B$8)))</x:f>
      </x:c>
      <x:c r="H1169">
        <x:f>IFERROR(VLOOKUP(C1169,02_Referentiels!$A$20:$D$99,3,FALSE),"")</x:f>
      </x:c>
      <x:c r="I1169">
        <x:f>IFERROR(VLOOKUP(B1169,02_Referentiels!$A$5:$C$16,2,FALSE),"")</x:f>
      </x:c>
      <x:c r="J1169">
        <x:f>IF(A1169="","",IF(OR(D1169="",E1169="",F1169=""),1,IF(OR(D1169&lt;0,D1169&gt;3,E1169&lt;0,E1169&gt;3,F1169&lt;0,F1169&gt;3),1,0)))</x:f>
      </x:c>
      <x:c r="K1169">
        <x:f>IF(A1169="","",IF(G1169="",1,0))</x:f>
      </x:c>
      <x:c r="L1169">
        <x:f>IF(A1169="","",IF(COUNTIFS($A$5:$A$2004,A1169,$C$5:$C$2004,C1169)&gt;1,1,0))</x:f>
      </x:c>
    </x:row>
    <x:row r="1170">
      <x:c r="A1170" s="8" t="n"/>
      <x:c r="B1170" s="8" t="n"/>
      <x:c r="C1170" s="8" t="n"/>
      <x:c r="D1170" s="8" t="n"/>
      <x:c r="E1170" s="8" t="n"/>
      <x:c r="F1170" s="8" t="n"/>
      <x:c r="G1170" s="7">
        <x:f>IF(A1170="","",IF(01_Parametres!$B$11="Oui",IF((01_Parametres!$B$4*(D1170&gt;0)+01_Parametres!$B$5*(E1170&gt;0)+01_Parametres!$B$6*(F1170&gt;0))=0,"",(01_Parametres!$B$4*IF(D1170&gt;0,D1170,0)+01_Parametres!$B$5*IF(E1170&gt;0,E1170,0)+01_Parametres!$B$6*IF(F1170&gt;0,F1170,0))/(01_Parametres!$B$4*(D1170&gt;0)+01_Parametres!$B$5*(E1170&gt;0)+01_Parametres!$B$6*(F1170&gt;0))),IF(01_Parametres!$B$8=0,"",(01_Parametres!$B$4*D1170+01_Parametres!$B$5*E1170+01_Parametres!$B$6*F1170)/01_Parametres!$B$8)))</x:f>
      </x:c>
      <x:c r="H1170">
        <x:f>IFERROR(VLOOKUP(C1170,02_Referentiels!$A$20:$D$99,3,FALSE),"")</x:f>
      </x:c>
      <x:c r="I1170">
        <x:f>IFERROR(VLOOKUP(B1170,02_Referentiels!$A$5:$C$16,2,FALSE),"")</x:f>
      </x:c>
      <x:c r="J1170">
        <x:f>IF(A1170="","",IF(OR(D1170="",E1170="",F1170=""),1,IF(OR(D1170&lt;0,D1170&gt;3,E1170&lt;0,E1170&gt;3,F1170&lt;0,F1170&gt;3),1,0)))</x:f>
      </x:c>
      <x:c r="K1170">
        <x:f>IF(A1170="","",IF(G1170="",1,0))</x:f>
      </x:c>
      <x:c r="L1170">
        <x:f>IF(A1170="","",IF(COUNTIFS($A$5:$A$2004,A1170,$C$5:$C$2004,C1170)&gt;1,1,0))</x:f>
      </x:c>
    </x:row>
    <x:row r="1171">
      <x:c r="A1171" s="8" t="n"/>
      <x:c r="B1171" s="8" t="n"/>
      <x:c r="C1171" s="8" t="n"/>
      <x:c r="D1171" s="8" t="n"/>
      <x:c r="E1171" s="8" t="n"/>
      <x:c r="F1171" s="8" t="n"/>
      <x:c r="G1171" s="7">
        <x:f>IF(A1171="","",IF(01_Parametres!$B$11="Oui",IF((01_Parametres!$B$4*(D1171&gt;0)+01_Parametres!$B$5*(E1171&gt;0)+01_Parametres!$B$6*(F1171&gt;0))=0,"",(01_Parametres!$B$4*IF(D1171&gt;0,D1171,0)+01_Parametres!$B$5*IF(E1171&gt;0,E1171,0)+01_Parametres!$B$6*IF(F1171&gt;0,F1171,0))/(01_Parametres!$B$4*(D1171&gt;0)+01_Parametres!$B$5*(E1171&gt;0)+01_Parametres!$B$6*(F1171&gt;0))),IF(01_Parametres!$B$8=0,"",(01_Parametres!$B$4*D1171+01_Parametres!$B$5*E1171+01_Parametres!$B$6*F1171)/01_Parametres!$B$8)))</x:f>
      </x:c>
      <x:c r="H1171">
        <x:f>IFERROR(VLOOKUP(C1171,02_Referentiels!$A$20:$D$99,3,FALSE),"")</x:f>
      </x:c>
      <x:c r="I1171">
        <x:f>IFERROR(VLOOKUP(B1171,02_Referentiels!$A$5:$C$16,2,FALSE),"")</x:f>
      </x:c>
      <x:c r="J1171">
        <x:f>IF(A1171="","",IF(OR(D1171="",E1171="",F1171=""),1,IF(OR(D1171&lt;0,D1171&gt;3,E1171&lt;0,E1171&gt;3,F1171&lt;0,F1171&gt;3),1,0)))</x:f>
      </x:c>
      <x:c r="K1171">
        <x:f>IF(A1171="","",IF(G1171="",1,0))</x:f>
      </x:c>
      <x:c r="L1171">
        <x:f>IF(A1171="","",IF(COUNTIFS($A$5:$A$2004,A1171,$C$5:$C$2004,C1171)&gt;1,1,0))</x:f>
      </x:c>
    </x:row>
    <x:row r="1172">
      <x:c r="A1172" s="8" t="n"/>
      <x:c r="B1172" s="8" t="n"/>
      <x:c r="C1172" s="8" t="n"/>
      <x:c r="D1172" s="8" t="n"/>
      <x:c r="E1172" s="8" t="n"/>
      <x:c r="F1172" s="8" t="n"/>
      <x:c r="G1172" s="7">
        <x:f>IF(A1172="","",IF(01_Parametres!$B$11="Oui",IF((01_Parametres!$B$4*(D1172&gt;0)+01_Parametres!$B$5*(E1172&gt;0)+01_Parametres!$B$6*(F1172&gt;0))=0,"",(01_Parametres!$B$4*IF(D1172&gt;0,D1172,0)+01_Parametres!$B$5*IF(E1172&gt;0,E1172,0)+01_Parametres!$B$6*IF(F1172&gt;0,F1172,0))/(01_Parametres!$B$4*(D1172&gt;0)+01_Parametres!$B$5*(E1172&gt;0)+01_Parametres!$B$6*(F1172&gt;0))),IF(01_Parametres!$B$8=0,"",(01_Parametres!$B$4*D1172+01_Parametres!$B$5*E1172+01_Parametres!$B$6*F1172)/01_Parametres!$B$8)))</x:f>
      </x:c>
      <x:c r="H1172">
        <x:f>IFERROR(VLOOKUP(C1172,02_Referentiels!$A$20:$D$99,3,FALSE),"")</x:f>
      </x:c>
      <x:c r="I1172">
        <x:f>IFERROR(VLOOKUP(B1172,02_Referentiels!$A$5:$C$16,2,FALSE),"")</x:f>
      </x:c>
      <x:c r="J1172">
        <x:f>IF(A1172="","",IF(OR(D1172="",E1172="",F1172=""),1,IF(OR(D1172&lt;0,D1172&gt;3,E1172&lt;0,E1172&gt;3,F1172&lt;0,F1172&gt;3),1,0)))</x:f>
      </x:c>
      <x:c r="K1172">
        <x:f>IF(A1172="","",IF(G1172="",1,0))</x:f>
      </x:c>
      <x:c r="L1172">
        <x:f>IF(A1172="","",IF(COUNTIFS($A$5:$A$2004,A1172,$C$5:$C$2004,C1172)&gt;1,1,0))</x:f>
      </x:c>
    </x:row>
    <x:row r="1173">
      <x:c r="A1173" s="8" t="n"/>
      <x:c r="B1173" s="8" t="n"/>
      <x:c r="C1173" s="8" t="n"/>
      <x:c r="D1173" s="8" t="n"/>
      <x:c r="E1173" s="8" t="n"/>
      <x:c r="F1173" s="8" t="n"/>
      <x:c r="G1173" s="7">
        <x:f>IF(A1173="","",IF(01_Parametres!$B$11="Oui",IF((01_Parametres!$B$4*(D1173&gt;0)+01_Parametres!$B$5*(E1173&gt;0)+01_Parametres!$B$6*(F1173&gt;0))=0,"",(01_Parametres!$B$4*IF(D1173&gt;0,D1173,0)+01_Parametres!$B$5*IF(E1173&gt;0,E1173,0)+01_Parametres!$B$6*IF(F1173&gt;0,F1173,0))/(01_Parametres!$B$4*(D1173&gt;0)+01_Parametres!$B$5*(E1173&gt;0)+01_Parametres!$B$6*(F1173&gt;0))),IF(01_Parametres!$B$8=0,"",(01_Parametres!$B$4*D1173+01_Parametres!$B$5*E1173+01_Parametres!$B$6*F1173)/01_Parametres!$B$8)))</x:f>
      </x:c>
      <x:c r="H1173">
        <x:f>IFERROR(VLOOKUP(C1173,02_Referentiels!$A$20:$D$99,3,FALSE),"")</x:f>
      </x:c>
      <x:c r="I1173">
        <x:f>IFERROR(VLOOKUP(B1173,02_Referentiels!$A$5:$C$16,2,FALSE),"")</x:f>
      </x:c>
      <x:c r="J1173">
        <x:f>IF(A1173="","",IF(OR(D1173="",E1173="",F1173=""),1,IF(OR(D1173&lt;0,D1173&gt;3,E1173&lt;0,E1173&gt;3,F1173&lt;0,F1173&gt;3),1,0)))</x:f>
      </x:c>
      <x:c r="K1173">
        <x:f>IF(A1173="","",IF(G1173="",1,0))</x:f>
      </x:c>
      <x:c r="L1173">
        <x:f>IF(A1173="","",IF(COUNTIFS($A$5:$A$2004,A1173,$C$5:$C$2004,C1173)&gt;1,1,0))</x:f>
      </x:c>
    </x:row>
    <x:row r="1174">
      <x:c r="A1174" s="8" t="n"/>
      <x:c r="B1174" s="8" t="n"/>
      <x:c r="C1174" s="8" t="n"/>
      <x:c r="D1174" s="8" t="n"/>
      <x:c r="E1174" s="8" t="n"/>
      <x:c r="F1174" s="8" t="n"/>
      <x:c r="G1174" s="7">
        <x:f>IF(A1174="","",IF(01_Parametres!$B$11="Oui",IF((01_Parametres!$B$4*(D1174&gt;0)+01_Parametres!$B$5*(E1174&gt;0)+01_Parametres!$B$6*(F1174&gt;0))=0,"",(01_Parametres!$B$4*IF(D1174&gt;0,D1174,0)+01_Parametres!$B$5*IF(E1174&gt;0,E1174,0)+01_Parametres!$B$6*IF(F1174&gt;0,F1174,0))/(01_Parametres!$B$4*(D1174&gt;0)+01_Parametres!$B$5*(E1174&gt;0)+01_Parametres!$B$6*(F1174&gt;0))),IF(01_Parametres!$B$8=0,"",(01_Parametres!$B$4*D1174+01_Parametres!$B$5*E1174+01_Parametres!$B$6*F1174)/01_Parametres!$B$8)))</x:f>
      </x:c>
      <x:c r="H1174">
        <x:f>IFERROR(VLOOKUP(C1174,02_Referentiels!$A$20:$D$99,3,FALSE),"")</x:f>
      </x:c>
      <x:c r="I1174">
        <x:f>IFERROR(VLOOKUP(B1174,02_Referentiels!$A$5:$C$16,2,FALSE),"")</x:f>
      </x:c>
      <x:c r="J1174">
        <x:f>IF(A1174="","",IF(OR(D1174="",E1174="",F1174=""),1,IF(OR(D1174&lt;0,D1174&gt;3,E1174&lt;0,E1174&gt;3,F1174&lt;0,F1174&gt;3),1,0)))</x:f>
      </x:c>
      <x:c r="K1174">
        <x:f>IF(A1174="","",IF(G1174="",1,0))</x:f>
      </x:c>
      <x:c r="L1174">
        <x:f>IF(A1174="","",IF(COUNTIFS($A$5:$A$2004,A1174,$C$5:$C$2004,C1174)&gt;1,1,0))</x:f>
      </x:c>
    </x:row>
    <x:row r="1175">
      <x:c r="A1175" s="8" t="n"/>
      <x:c r="B1175" s="8" t="n"/>
      <x:c r="C1175" s="8" t="n"/>
      <x:c r="D1175" s="8" t="n"/>
      <x:c r="E1175" s="8" t="n"/>
      <x:c r="F1175" s="8" t="n"/>
      <x:c r="G1175" s="7">
        <x:f>IF(A1175="","",IF(01_Parametres!$B$11="Oui",IF((01_Parametres!$B$4*(D1175&gt;0)+01_Parametres!$B$5*(E1175&gt;0)+01_Parametres!$B$6*(F1175&gt;0))=0,"",(01_Parametres!$B$4*IF(D1175&gt;0,D1175,0)+01_Parametres!$B$5*IF(E1175&gt;0,E1175,0)+01_Parametres!$B$6*IF(F1175&gt;0,F1175,0))/(01_Parametres!$B$4*(D1175&gt;0)+01_Parametres!$B$5*(E1175&gt;0)+01_Parametres!$B$6*(F1175&gt;0))),IF(01_Parametres!$B$8=0,"",(01_Parametres!$B$4*D1175+01_Parametres!$B$5*E1175+01_Parametres!$B$6*F1175)/01_Parametres!$B$8)))</x:f>
      </x:c>
      <x:c r="H1175">
        <x:f>IFERROR(VLOOKUP(C1175,02_Referentiels!$A$20:$D$99,3,FALSE),"")</x:f>
      </x:c>
      <x:c r="I1175">
        <x:f>IFERROR(VLOOKUP(B1175,02_Referentiels!$A$5:$C$16,2,FALSE),"")</x:f>
      </x:c>
      <x:c r="J1175">
        <x:f>IF(A1175="","",IF(OR(D1175="",E1175="",F1175=""),1,IF(OR(D1175&lt;0,D1175&gt;3,E1175&lt;0,E1175&gt;3,F1175&lt;0,F1175&gt;3),1,0)))</x:f>
      </x:c>
      <x:c r="K1175">
        <x:f>IF(A1175="","",IF(G1175="",1,0))</x:f>
      </x:c>
      <x:c r="L1175">
        <x:f>IF(A1175="","",IF(COUNTIFS($A$5:$A$2004,A1175,$C$5:$C$2004,C1175)&gt;1,1,0))</x:f>
      </x:c>
    </x:row>
    <x:row r="1176">
      <x:c r="A1176" s="8" t="n"/>
      <x:c r="B1176" s="8" t="n"/>
      <x:c r="C1176" s="8" t="n"/>
      <x:c r="D1176" s="8" t="n"/>
      <x:c r="E1176" s="8" t="n"/>
      <x:c r="F1176" s="8" t="n"/>
      <x:c r="G1176" s="7">
        <x:f>IF(A1176="","",IF(01_Parametres!$B$11="Oui",IF((01_Parametres!$B$4*(D1176&gt;0)+01_Parametres!$B$5*(E1176&gt;0)+01_Parametres!$B$6*(F1176&gt;0))=0,"",(01_Parametres!$B$4*IF(D1176&gt;0,D1176,0)+01_Parametres!$B$5*IF(E1176&gt;0,E1176,0)+01_Parametres!$B$6*IF(F1176&gt;0,F1176,0))/(01_Parametres!$B$4*(D1176&gt;0)+01_Parametres!$B$5*(E1176&gt;0)+01_Parametres!$B$6*(F1176&gt;0))),IF(01_Parametres!$B$8=0,"",(01_Parametres!$B$4*D1176+01_Parametres!$B$5*E1176+01_Parametres!$B$6*F1176)/01_Parametres!$B$8)))</x:f>
      </x:c>
      <x:c r="H1176">
        <x:f>IFERROR(VLOOKUP(C1176,02_Referentiels!$A$20:$D$99,3,FALSE),"")</x:f>
      </x:c>
      <x:c r="I1176">
        <x:f>IFERROR(VLOOKUP(B1176,02_Referentiels!$A$5:$C$16,2,FALSE),"")</x:f>
      </x:c>
      <x:c r="J1176">
        <x:f>IF(A1176="","",IF(OR(D1176="",E1176="",F1176=""),1,IF(OR(D1176&lt;0,D1176&gt;3,E1176&lt;0,E1176&gt;3,F1176&lt;0,F1176&gt;3),1,0)))</x:f>
      </x:c>
      <x:c r="K1176">
        <x:f>IF(A1176="","",IF(G1176="",1,0))</x:f>
      </x:c>
      <x:c r="L1176">
        <x:f>IF(A1176="","",IF(COUNTIFS($A$5:$A$2004,A1176,$C$5:$C$2004,C1176)&gt;1,1,0))</x:f>
      </x:c>
    </x:row>
    <x:row r="1177">
      <x:c r="A1177" s="8" t="n"/>
      <x:c r="B1177" s="8" t="n"/>
      <x:c r="C1177" s="8" t="n"/>
      <x:c r="D1177" s="8" t="n"/>
      <x:c r="E1177" s="8" t="n"/>
      <x:c r="F1177" s="8" t="n"/>
      <x:c r="G1177" s="7">
        <x:f>IF(A1177="","",IF(01_Parametres!$B$11="Oui",IF((01_Parametres!$B$4*(D1177&gt;0)+01_Parametres!$B$5*(E1177&gt;0)+01_Parametres!$B$6*(F1177&gt;0))=0,"",(01_Parametres!$B$4*IF(D1177&gt;0,D1177,0)+01_Parametres!$B$5*IF(E1177&gt;0,E1177,0)+01_Parametres!$B$6*IF(F1177&gt;0,F1177,0))/(01_Parametres!$B$4*(D1177&gt;0)+01_Parametres!$B$5*(E1177&gt;0)+01_Parametres!$B$6*(F1177&gt;0))),IF(01_Parametres!$B$8=0,"",(01_Parametres!$B$4*D1177+01_Parametres!$B$5*E1177+01_Parametres!$B$6*F1177)/01_Parametres!$B$8)))</x:f>
      </x:c>
      <x:c r="H1177">
        <x:f>IFERROR(VLOOKUP(C1177,02_Referentiels!$A$20:$D$99,3,FALSE),"")</x:f>
      </x:c>
      <x:c r="I1177">
        <x:f>IFERROR(VLOOKUP(B1177,02_Referentiels!$A$5:$C$16,2,FALSE),"")</x:f>
      </x:c>
      <x:c r="J1177">
        <x:f>IF(A1177="","",IF(OR(D1177="",E1177="",F1177=""),1,IF(OR(D1177&lt;0,D1177&gt;3,E1177&lt;0,E1177&gt;3,F1177&lt;0,F1177&gt;3),1,0)))</x:f>
      </x:c>
      <x:c r="K1177">
        <x:f>IF(A1177="","",IF(G1177="",1,0))</x:f>
      </x:c>
      <x:c r="L1177">
        <x:f>IF(A1177="","",IF(COUNTIFS($A$5:$A$2004,A1177,$C$5:$C$2004,C1177)&gt;1,1,0))</x:f>
      </x:c>
    </x:row>
    <x:row r="1178">
      <x:c r="A1178" s="8" t="n"/>
      <x:c r="B1178" s="8" t="n"/>
      <x:c r="C1178" s="8" t="n"/>
      <x:c r="D1178" s="8" t="n"/>
      <x:c r="E1178" s="8" t="n"/>
      <x:c r="F1178" s="8" t="n"/>
      <x:c r="G1178" s="7">
        <x:f>IF(A1178="","",IF(01_Parametres!$B$11="Oui",IF((01_Parametres!$B$4*(D1178&gt;0)+01_Parametres!$B$5*(E1178&gt;0)+01_Parametres!$B$6*(F1178&gt;0))=0,"",(01_Parametres!$B$4*IF(D1178&gt;0,D1178,0)+01_Parametres!$B$5*IF(E1178&gt;0,E1178,0)+01_Parametres!$B$6*IF(F1178&gt;0,F1178,0))/(01_Parametres!$B$4*(D1178&gt;0)+01_Parametres!$B$5*(E1178&gt;0)+01_Parametres!$B$6*(F1178&gt;0))),IF(01_Parametres!$B$8=0,"",(01_Parametres!$B$4*D1178+01_Parametres!$B$5*E1178+01_Parametres!$B$6*F1178)/01_Parametres!$B$8)))</x:f>
      </x:c>
      <x:c r="H1178">
        <x:f>IFERROR(VLOOKUP(C1178,02_Referentiels!$A$20:$D$99,3,FALSE),"")</x:f>
      </x:c>
      <x:c r="I1178">
        <x:f>IFERROR(VLOOKUP(B1178,02_Referentiels!$A$5:$C$16,2,FALSE),"")</x:f>
      </x:c>
      <x:c r="J1178">
        <x:f>IF(A1178="","",IF(OR(D1178="",E1178="",F1178=""),1,IF(OR(D1178&lt;0,D1178&gt;3,E1178&lt;0,E1178&gt;3,F1178&lt;0,F1178&gt;3),1,0)))</x:f>
      </x:c>
      <x:c r="K1178">
        <x:f>IF(A1178="","",IF(G1178="",1,0))</x:f>
      </x:c>
      <x:c r="L1178">
        <x:f>IF(A1178="","",IF(COUNTIFS($A$5:$A$2004,A1178,$C$5:$C$2004,C1178)&gt;1,1,0))</x:f>
      </x:c>
    </x:row>
    <x:row r="1179">
      <x:c r="A1179" s="8" t="n"/>
      <x:c r="B1179" s="8" t="n"/>
      <x:c r="C1179" s="8" t="n"/>
      <x:c r="D1179" s="8" t="n"/>
      <x:c r="E1179" s="8" t="n"/>
      <x:c r="F1179" s="8" t="n"/>
      <x:c r="G1179" s="7">
        <x:f>IF(A1179="","",IF(01_Parametres!$B$11="Oui",IF((01_Parametres!$B$4*(D1179&gt;0)+01_Parametres!$B$5*(E1179&gt;0)+01_Parametres!$B$6*(F1179&gt;0))=0,"",(01_Parametres!$B$4*IF(D1179&gt;0,D1179,0)+01_Parametres!$B$5*IF(E1179&gt;0,E1179,0)+01_Parametres!$B$6*IF(F1179&gt;0,F1179,0))/(01_Parametres!$B$4*(D1179&gt;0)+01_Parametres!$B$5*(E1179&gt;0)+01_Parametres!$B$6*(F1179&gt;0))),IF(01_Parametres!$B$8=0,"",(01_Parametres!$B$4*D1179+01_Parametres!$B$5*E1179+01_Parametres!$B$6*F1179)/01_Parametres!$B$8)))</x:f>
      </x:c>
      <x:c r="H1179">
        <x:f>IFERROR(VLOOKUP(C1179,02_Referentiels!$A$20:$D$99,3,FALSE),"")</x:f>
      </x:c>
      <x:c r="I1179">
        <x:f>IFERROR(VLOOKUP(B1179,02_Referentiels!$A$5:$C$16,2,FALSE),"")</x:f>
      </x:c>
      <x:c r="J1179">
        <x:f>IF(A1179="","",IF(OR(D1179="",E1179="",F1179=""),1,IF(OR(D1179&lt;0,D1179&gt;3,E1179&lt;0,E1179&gt;3,F1179&lt;0,F1179&gt;3),1,0)))</x:f>
      </x:c>
      <x:c r="K1179">
        <x:f>IF(A1179="","",IF(G1179="",1,0))</x:f>
      </x:c>
      <x:c r="L1179">
        <x:f>IF(A1179="","",IF(COUNTIFS($A$5:$A$2004,A1179,$C$5:$C$2004,C1179)&gt;1,1,0))</x:f>
      </x:c>
    </x:row>
    <x:row r="1180">
      <x:c r="A1180" s="8" t="n"/>
      <x:c r="B1180" s="8" t="n"/>
      <x:c r="C1180" s="8" t="n"/>
      <x:c r="D1180" s="8" t="n"/>
      <x:c r="E1180" s="8" t="n"/>
      <x:c r="F1180" s="8" t="n"/>
      <x:c r="G1180" s="7">
        <x:f>IF(A1180="","",IF(01_Parametres!$B$11="Oui",IF((01_Parametres!$B$4*(D1180&gt;0)+01_Parametres!$B$5*(E1180&gt;0)+01_Parametres!$B$6*(F1180&gt;0))=0,"",(01_Parametres!$B$4*IF(D1180&gt;0,D1180,0)+01_Parametres!$B$5*IF(E1180&gt;0,E1180,0)+01_Parametres!$B$6*IF(F1180&gt;0,F1180,0))/(01_Parametres!$B$4*(D1180&gt;0)+01_Parametres!$B$5*(E1180&gt;0)+01_Parametres!$B$6*(F1180&gt;0))),IF(01_Parametres!$B$8=0,"",(01_Parametres!$B$4*D1180+01_Parametres!$B$5*E1180+01_Parametres!$B$6*F1180)/01_Parametres!$B$8)))</x:f>
      </x:c>
      <x:c r="H1180">
        <x:f>IFERROR(VLOOKUP(C1180,02_Referentiels!$A$20:$D$99,3,FALSE),"")</x:f>
      </x:c>
      <x:c r="I1180">
        <x:f>IFERROR(VLOOKUP(B1180,02_Referentiels!$A$5:$C$16,2,FALSE),"")</x:f>
      </x:c>
      <x:c r="J1180">
        <x:f>IF(A1180="","",IF(OR(D1180="",E1180="",F1180=""),1,IF(OR(D1180&lt;0,D1180&gt;3,E1180&lt;0,E1180&gt;3,F1180&lt;0,F1180&gt;3),1,0)))</x:f>
      </x:c>
      <x:c r="K1180">
        <x:f>IF(A1180="","",IF(G1180="",1,0))</x:f>
      </x:c>
      <x:c r="L1180">
        <x:f>IF(A1180="","",IF(COUNTIFS($A$5:$A$2004,A1180,$C$5:$C$2004,C1180)&gt;1,1,0))</x:f>
      </x:c>
    </x:row>
    <x:row r="1181">
      <x:c r="A1181" s="8" t="n"/>
      <x:c r="B1181" s="8" t="n"/>
      <x:c r="C1181" s="8" t="n"/>
      <x:c r="D1181" s="8" t="n"/>
      <x:c r="E1181" s="8" t="n"/>
      <x:c r="F1181" s="8" t="n"/>
      <x:c r="G1181" s="7">
        <x:f>IF(A1181="","",IF(01_Parametres!$B$11="Oui",IF((01_Parametres!$B$4*(D1181&gt;0)+01_Parametres!$B$5*(E1181&gt;0)+01_Parametres!$B$6*(F1181&gt;0))=0,"",(01_Parametres!$B$4*IF(D1181&gt;0,D1181,0)+01_Parametres!$B$5*IF(E1181&gt;0,E1181,0)+01_Parametres!$B$6*IF(F1181&gt;0,F1181,0))/(01_Parametres!$B$4*(D1181&gt;0)+01_Parametres!$B$5*(E1181&gt;0)+01_Parametres!$B$6*(F1181&gt;0))),IF(01_Parametres!$B$8=0,"",(01_Parametres!$B$4*D1181+01_Parametres!$B$5*E1181+01_Parametres!$B$6*F1181)/01_Parametres!$B$8)))</x:f>
      </x:c>
      <x:c r="H1181">
        <x:f>IFERROR(VLOOKUP(C1181,02_Referentiels!$A$20:$D$99,3,FALSE),"")</x:f>
      </x:c>
      <x:c r="I1181">
        <x:f>IFERROR(VLOOKUP(B1181,02_Referentiels!$A$5:$C$16,2,FALSE),"")</x:f>
      </x:c>
      <x:c r="J1181">
        <x:f>IF(A1181="","",IF(OR(D1181="",E1181="",F1181=""),1,IF(OR(D1181&lt;0,D1181&gt;3,E1181&lt;0,E1181&gt;3,F1181&lt;0,F1181&gt;3),1,0)))</x:f>
      </x:c>
      <x:c r="K1181">
        <x:f>IF(A1181="","",IF(G1181="",1,0))</x:f>
      </x:c>
      <x:c r="L1181">
        <x:f>IF(A1181="","",IF(COUNTIFS($A$5:$A$2004,A1181,$C$5:$C$2004,C1181)&gt;1,1,0))</x:f>
      </x:c>
    </x:row>
    <x:row r="1182">
      <x:c r="A1182" s="8" t="n"/>
      <x:c r="B1182" s="8" t="n"/>
      <x:c r="C1182" s="8" t="n"/>
      <x:c r="D1182" s="8" t="n"/>
      <x:c r="E1182" s="8" t="n"/>
      <x:c r="F1182" s="8" t="n"/>
      <x:c r="G1182" s="7">
        <x:f>IF(A1182="","",IF(01_Parametres!$B$11="Oui",IF((01_Parametres!$B$4*(D1182&gt;0)+01_Parametres!$B$5*(E1182&gt;0)+01_Parametres!$B$6*(F1182&gt;0))=0,"",(01_Parametres!$B$4*IF(D1182&gt;0,D1182,0)+01_Parametres!$B$5*IF(E1182&gt;0,E1182,0)+01_Parametres!$B$6*IF(F1182&gt;0,F1182,0))/(01_Parametres!$B$4*(D1182&gt;0)+01_Parametres!$B$5*(E1182&gt;0)+01_Parametres!$B$6*(F1182&gt;0))),IF(01_Parametres!$B$8=0,"",(01_Parametres!$B$4*D1182+01_Parametres!$B$5*E1182+01_Parametres!$B$6*F1182)/01_Parametres!$B$8)))</x:f>
      </x:c>
      <x:c r="H1182">
        <x:f>IFERROR(VLOOKUP(C1182,02_Referentiels!$A$20:$D$99,3,FALSE),"")</x:f>
      </x:c>
      <x:c r="I1182">
        <x:f>IFERROR(VLOOKUP(B1182,02_Referentiels!$A$5:$C$16,2,FALSE),"")</x:f>
      </x:c>
      <x:c r="J1182">
        <x:f>IF(A1182="","",IF(OR(D1182="",E1182="",F1182=""),1,IF(OR(D1182&lt;0,D1182&gt;3,E1182&lt;0,E1182&gt;3,F1182&lt;0,F1182&gt;3),1,0)))</x:f>
      </x:c>
      <x:c r="K1182">
        <x:f>IF(A1182="","",IF(G1182="",1,0))</x:f>
      </x:c>
      <x:c r="L1182">
        <x:f>IF(A1182="","",IF(COUNTIFS($A$5:$A$2004,A1182,$C$5:$C$2004,C1182)&gt;1,1,0))</x:f>
      </x:c>
    </x:row>
    <x:row r="1183">
      <x:c r="A1183" s="8" t="n"/>
      <x:c r="B1183" s="8" t="n"/>
      <x:c r="C1183" s="8" t="n"/>
      <x:c r="D1183" s="8" t="n"/>
      <x:c r="E1183" s="8" t="n"/>
      <x:c r="F1183" s="8" t="n"/>
      <x:c r="G1183" s="7">
        <x:f>IF(A1183="","",IF(01_Parametres!$B$11="Oui",IF((01_Parametres!$B$4*(D1183&gt;0)+01_Parametres!$B$5*(E1183&gt;0)+01_Parametres!$B$6*(F1183&gt;0))=0,"",(01_Parametres!$B$4*IF(D1183&gt;0,D1183,0)+01_Parametres!$B$5*IF(E1183&gt;0,E1183,0)+01_Parametres!$B$6*IF(F1183&gt;0,F1183,0))/(01_Parametres!$B$4*(D1183&gt;0)+01_Parametres!$B$5*(E1183&gt;0)+01_Parametres!$B$6*(F1183&gt;0))),IF(01_Parametres!$B$8=0,"",(01_Parametres!$B$4*D1183+01_Parametres!$B$5*E1183+01_Parametres!$B$6*F1183)/01_Parametres!$B$8)))</x:f>
      </x:c>
      <x:c r="H1183">
        <x:f>IFERROR(VLOOKUP(C1183,02_Referentiels!$A$20:$D$99,3,FALSE),"")</x:f>
      </x:c>
      <x:c r="I1183">
        <x:f>IFERROR(VLOOKUP(B1183,02_Referentiels!$A$5:$C$16,2,FALSE),"")</x:f>
      </x:c>
      <x:c r="J1183">
        <x:f>IF(A1183="","",IF(OR(D1183="",E1183="",F1183=""),1,IF(OR(D1183&lt;0,D1183&gt;3,E1183&lt;0,E1183&gt;3,F1183&lt;0,F1183&gt;3),1,0)))</x:f>
      </x:c>
      <x:c r="K1183">
        <x:f>IF(A1183="","",IF(G1183="",1,0))</x:f>
      </x:c>
      <x:c r="L1183">
        <x:f>IF(A1183="","",IF(COUNTIFS($A$5:$A$2004,A1183,$C$5:$C$2004,C1183)&gt;1,1,0))</x:f>
      </x:c>
    </x:row>
    <x:row r="1184">
      <x:c r="A1184" s="8" t="n"/>
      <x:c r="B1184" s="8" t="n"/>
      <x:c r="C1184" s="8" t="n"/>
      <x:c r="D1184" s="8" t="n"/>
      <x:c r="E1184" s="8" t="n"/>
      <x:c r="F1184" s="8" t="n"/>
      <x:c r="G1184" s="7">
        <x:f>IF(A1184="","",IF(01_Parametres!$B$11="Oui",IF((01_Parametres!$B$4*(D1184&gt;0)+01_Parametres!$B$5*(E1184&gt;0)+01_Parametres!$B$6*(F1184&gt;0))=0,"",(01_Parametres!$B$4*IF(D1184&gt;0,D1184,0)+01_Parametres!$B$5*IF(E1184&gt;0,E1184,0)+01_Parametres!$B$6*IF(F1184&gt;0,F1184,0))/(01_Parametres!$B$4*(D1184&gt;0)+01_Parametres!$B$5*(E1184&gt;0)+01_Parametres!$B$6*(F1184&gt;0))),IF(01_Parametres!$B$8=0,"",(01_Parametres!$B$4*D1184+01_Parametres!$B$5*E1184+01_Parametres!$B$6*F1184)/01_Parametres!$B$8)))</x:f>
      </x:c>
      <x:c r="H1184">
        <x:f>IFERROR(VLOOKUP(C1184,02_Referentiels!$A$20:$D$99,3,FALSE),"")</x:f>
      </x:c>
      <x:c r="I1184">
        <x:f>IFERROR(VLOOKUP(B1184,02_Referentiels!$A$5:$C$16,2,FALSE),"")</x:f>
      </x:c>
      <x:c r="J1184">
        <x:f>IF(A1184="","",IF(OR(D1184="",E1184="",F1184=""),1,IF(OR(D1184&lt;0,D1184&gt;3,E1184&lt;0,E1184&gt;3,F1184&lt;0,F1184&gt;3),1,0)))</x:f>
      </x:c>
      <x:c r="K1184">
        <x:f>IF(A1184="","",IF(G1184="",1,0))</x:f>
      </x:c>
      <x:c r="L1184">
        <x:f>IF(A1184="","",IF(COUNTIFS($A$5:$A$2004,A1184,$C$5:$C$2004,C1184)&gt;1,1,0))</x:f>
      </x:c>
    </x:row>
    <x:row r="1185">
      <x:c r="A1185" s="8" t="n"/>
      <x:c r="B1185" s="8" t="n"/>
      <x:c r="C1185" s="8" t="n"/>
      <x:c r="D1185" s="8" t="n"/>
      <x:c r="E1185" s="8" t="n"/>
      <x:c r="F1185" s="8" t="n"/>
      <x:c r="G1185" s="7">
        <x:f>IF(A1185="","",IF(01_Parametres!$B$11="Oui",IF((01_Parametres!$B$4*(D1185&gt;0)+01_Parametres!$B$5*(E1185&gt;0)+01_Parametres!$B$6*(F1185&gt;0))=0,"",(01_Parametres!$B$4*IF(D1185&gt;0,D1185,0)+01_Parametres!$B$5*IF(E1185&gt;0,E1185,0)+01_Parametres!$B$6*IF(F1185&gt;0,F1185,0))/(01_Parametres!$B$4*(D1185&gt;0)+01_Parametres!$B$5*(E1185&gt;0)+01_Parametres!$B$6*(F1185&gt;0))),IF(01_Parametres!$B$8=0,"",(01_Parametres!$B$4*D1185+01_Parametres!$B$5*E1185+01_Parametres!$B$6*F1185)/01_Parametres!$B$8)))</x:f>
      </x:c>
      <x:c r="H1185">
        <x:f>IFERROR(VLOOKUP(C1185,02_Referentiels!$A$20:$D$99,3,FALSE),"")</x:f>
      </x:c>
      <x:c r="I1185">
        <x:f>IFERROR(VLOOKUP(B1185,02_Referentiels!$A$5:$C$16,2,FALSE),"")</x:f>
      </x:c>
      <x:c r="J1185">
        <x:f>IF(A1185="","",IF(OR(D1185="",E1185="",F1185=""),1,IF(OR(D1185&lt;0,D1185&gt;3,E1185&lt;0,E1185&gt;3,F1185&lt;0,F1185&gt;3),1,0)))</x:f>
      </x:c>
      <x:c r="K1185">
        <x:f>IF(A1185="","",IF(G1185="",1,0))</x:f>
      </x:c>
      <x:c r="L1185">
        <x:f>IF(A1185="","",IF(COUNTIFS($A$5:$A$2004,A1185,$C$5:$C$2004,C1185)&gt;1,1,0))</x:f>
      </x:c>
    </x:row>
    <x:row r="1186">
      <x:c r="A1186" s="8" t="n"/>
      <x:c r="B1186" s="8" t="n"/>
      <x:c r="C1186" s="8" t="n"/>
      <x:c r="D1186" s="8" t="n"/>
      <x:c r="E1186" s="8" t="n"/>
      <x:c r="F1186" s="8" t="n"/>
      <x:c r="G1186" s="7">
        <x:f>IF(A1186="","",IF(01_Parametres!$B$11="Oui",IF((01_Parametres!$B$4*(D1186&gt;0)+01_Parametres!$B$5*(E1186&gt;0)+01_Parametres!$B$6*(F1186&gt;0))=0,"",(01_Parametres!$B$4*IF(D1186&gt;0,D1186,0)+01_Parametres!$B$5*IF(E1186&gt;0,E1186,0)+01_Parametres!$B$6*IF(F1186&gt;0,F1186,0))/(01_Parametres!$B$4*(D1186&gt;0)+01_Parametres!$B$5*(E1186&gt;0)+01_Parametres!$B$6*(F1186&gt;0))),IF(01_Parametres!$B$8=0,"",(01_Parametres!$B$4*D1186+01_Parametres!$B$5*E1186+01_Parametres!$B$6*F1186)/01_Parametres!$B$8)))</x:f>
      </x:c>
      <x:c r="H1186">
        <x:f>IFERROR(VLOOKUP(C1186,02_Referentiels!$A$20:$D$99,3,FALSE),"")</x:f>
      </x:c>
      <x:c r="I1186">
        <x:f>IFERROR(VLOOKUP(B1186,02_Referentiels!$A$5:$C$16,2,FALSE),"")</x:f>
      </x:c>
      <x:c r="J1186">
        <x:f>IF(A1186="","",IF(OR(D1186="",E1186="",F1186=""),1,IF(OR(D1186&lt;0,D1186&gt;3,E1186&lt;0,E1186&gt;3,F1186&lt;0,F1186&gt;3),1,0)))</x:f>
      </x:c>
      <x:c r="K1186">
        <x:f>IF(A1186="","",IF(G1186="",1,0))</x:f>
      </x:c>
      <x:c r="L1186">
        <x:f>IF(A1186="","",IF(COUNTIFS($A$5:$A$2004,A1186,$C$5:$C$2004,C1186)&gt;1,1,0))</x:f>
      </x:c>
    </x:row>
    <x:row r="1187">
      <x:c r="A1187" s="8" t="n"/>
      <x:c r="B1187" s="8" t="n"/>
      <x:c r="C1187" s="8" t="n"/>
      <x:c r="D1187" s="8" t="n"/>
      <x:c r="E1187" s="8" t="n"/>
      <x:c r="F1187" s="8" t="n"/>
      <x:c r="G1187" s="7">
        <x:f>IF(A1187="","",IF(01_Parametres!$B$11="Oui",IF((01_Parametres!$B$4*(D1187&gt;0)+01_Parametres!$B$5*(E1187&gt;0)+01_Parametres!$B$6*(F1187&gt;0))=0,"",(01_Parametres!$B$4*IF(D1187&gt;0,D1187,0)+01_Parametres!$B$5*IF(E1187&gt;0,E1187,0)+01_Parametres!$B$6*IF(F1187&gt;0,F1187,0))/(01_Parametres!$B$4*(D1187&gt;0)+01_Parametres!$B$5*(E1187&gt;0)+01_Parametres!$B$6*(F1187&gt;0))),IF(01_Parametres!$B$8=0,"",(01_Parametres!$B$4*D1187+01_Parametres!$B$5*E1187+01_Parametres!$B$6*F1187)/01_Parametres!$B$8)))</x:f>
      </x:c>
      <x:c r="H1187">
        <x:f>IFERROR(VLOOKUP(C1187,02_Referentiels!$A$20:$D$99,3,FALSE),"")</x:f>
      </x:c>
      <x:c r="I1187">
        <x:f>IFERROR(VLOOKUP(B1187,02_Referentiels!$A$5:$C$16,2,FALSE),"")</x:f>
      </x:c>
      <x:c r="J1187">
        <x:f>IF(A1187="","",IF(OR(D1187="",E1187="",F1187=""),1,IF(OR(D1187&lt;0,D1187&gt;3,E1187&lt;0,E1187&gt;3,F1187&lt;0,F1187&gt;3),1,0)))</x:f>
      </x:c>
      <x:c r="K1187">
        <x:f>IF(A1187="","",IF(G1187="",1,0))</x:f>
      </x:c>
      <x:c r="L1187">
        <x:f>IF(A1187="","",IF(COUNTIFS($A$5:$A$2004,A1187,$C$5:$C$2004,C1187)&gt;1,1,0))</x:f>
      </x:c>
    </x:row>
    <x:row r="1188">
      <x:c r="A1188" s="8" t="n"/>
      <x:c r="B1188" s="8" t="n"/>
      <x:c r="C1188" s="8" t="n"/>
      <x:c r="D1188" s="8" t="n"/>
      <x:c r="E1188" s="8" t="n"/>
      <x:c r="F1188" s="8" t="n"/>
      <x:c r="G1188" s="7">
        <x:f>IF(A1188="","",IF(01_Parametres!$B$11="Oui",IF((01_Parametres!$B$4*(D1188&gt;0)+01_Parametres!$B$5*(E1188&gt;0)+01_Parametres!$B$6*(F1188&gt;0))=0,"",(01_Parametres!$B$4*IF(D1188&gt;0,D1188,0)+01_Parametres!$B$5*IF(E1188&gt;0,E1188,0)+01_Parametres!$B$6*IF(F1188&gt;0,F1188,0))/(01_Parametres!$B$4*(D1188&gt;0)+01_Parametres!$B$5*(E1188&gt;0)+01_Parametres!$B$6*(F1188&gt;0))),IF(01_Parametres!$B$8=0,"",(01_Parametres!$B$4*D1188+01_Parametres!$B$5*E1188+01_Parametres!$B$6*F1188)/01_Parametres!$B$8)))</x:f>
      </x:c>
      <x:c r="H1188">
        <x:f>IFERROR(VLOOKUP(C1188,02_Referentiels!$A$20:$D$99,3,FALSE),"")</x:f>
      </x:c>
      <x:c r="I1188">
        <x:f>IFERROR(VLOOKUP(B1188,02_Referentiels!$A$5:$C$16,2,FALSE),"")</x:f>
      </x:c>
      <x:c r="J1188">
        <x:f>IF(A1188="","",IF(OR(D1188="",E1188="",F1188=""),1,IF(OR(D1188&lt;0,D1188&gt;3,E1188&lt;0,E1188&gt;3,F1188&lt;0,F1188&gt;3),1,0)))</x:f>
      </x:c>
      <x:c r="K1188">
        <x:f>IF(A1188="","",IF(G1188="",1,0))</x:f>
      </x:c>
      <x:c r="L1188">
        <x:f>IF(A1188="","",IF(COUNTIFS($A$5:$A$2004,A1188,$C$5:$C$2004,C1188)&gt;1,1,0))</x:f>
      </x:c>
    </x:row>
    <x:row r="1189">
      <x:c r="A1189" s="8" t="n"/>
      <x:c r="B1189" s="8" t="n"/>
      <x:c r="C1189" s="8" t="n"/>
      <x:c r="D1189" s="8" t="n"/>
      <x:c r="E1189" s="8" t="n"/>
      <x:c r="F1189" s="8" t="n"/>
      <x:c r="G1189" s="7">
        <x:f>IF(A1189="","",IF(01_Parametres!$B$11="Oui",IF((01_Parametres!$B$4*(D1189&gt;0)+01_Parametres!$B$5*(E1189&gt;0)+01_Parametres!$B$6*(F1189&gt;0))=0,"",(01_Parametres!$B$4*IF(D1189&gt;0,D1189,0)+01_Parametres!$B$5*IF(E1189&gt;0,E1189,0)+01_Parametres!$B$6*IF(F1189&gt;0,F1189,0))/(01_Parametres!$B$4*(D1189&gt;0)+01_Parametres!$B$5*(E1189&gt;0)+01_Parametres!$B$6*(F1189&gt;0))),IF(01_Parametres!$B$8=0,"",(01_Parametres!$B$4*D1189+01_Parametres!$B$5*E1189+01_Parametres!$B$6*F1189)/01_Parametres!$B$8)))</x:f>
      </x:c>
      <x:c r="H1189">
        <x:f>IFERROR(VLOOKUP(C1189,02_Referentiels!$A$20:$D$99,3,FALSE),"")</x:f>
      </x:c>
      <x:c r="I1189">
        <x:f>IFERROR(VLOOKUP(B1189,02_Referentiels!$A$5:$C$16,2,FALSE),"")</x:f>
      </x:c>
      <x:c r="J1189">
        <x:f>IF(A1189="","",IF(OR(D1189="",E1189="",F1189=""),1,IF(OR(D1189&lt;0,D1189&gt;3,E1189&lt;0,E1189&gt;3,F1189&lt;0,F1189&gt;3),1,0)))</x:f>
      </x:c>
      <x:c r="K1189">
        <x:f>IF(A1189="","",IF(G1189="",1,0))</x:f>
      </x:c>
      <x:c r="L1189">
        <x:f>IF(A1189="","",IF(COUNTIFS($A$5:$A$2004,A1189,$C$5:$C$2004,C1189)&gt;1,1,0))</x:f>
      </x:c>
    </x:row>
    <x:row r="1190">
      <x:c r="A1190" s="8" t="n"/>
      <x:c r="B1190" s="8" t="n"/>
      <x:c r="C1190" s="8" t="n"/>
      <x:c r="D1190" s="8" t="n"/>
      <x:c r="E1190" s="8" t="n"/>
      <x:c r="F1190" s="8" t="n"/>
      <x:c r="G1190" s="7">
        <x:f>IF(A1190="","",IF(01_Parametres!$B$11="Oui",IF((01_Parametres!$B$4*(D1190&gt;0)+01_Parametres!$B$5*(E1190&gt;0)+01_Parametres!$B$6*(F1190&gt;0))=0,"",(01_Parametres!$B$4*IF(D1190&gt;0,D1190,0)+01_Parametres!$B$5*IF(E1190&gt;0,E1190,0)+01_Parametres!$B$6*IF(F1190&gt;0,F1190,0))/(01_Parametres!$B$4*(D1190&gt;0)+01_Parametres!$B$5*(E1190&gt;0)+01_Parametres!$B$6*(F1190&gt;0))),IF(01_Parametres!$B$8=0,"",(01_Parametres!$B$4*D1190+01_Parametres!$B$5*E1190+01_Parametres!$B$6*F1190)/01_Parametres!$B$8)))</x:f>
      </x:c>
      <x:c r="H1190">
        <x:f>IFERROR(VLOOKUP(C1190,02_Referentiels!$A$20:$D$99,3,FALSE),"")</x:f>
      </x:c>
      <x:c r="I1190">
        <x:f>IFERROR(VLOOKUP(B1190,02_Referentiels!$A$5:$C$16,2,FALSE),"")</x:f>
      </x:c>
      <x:c r="J1190">
        <x:f>IF(A1190="","",IF(OR(D1190="",E1190="",F1190=""),1,IF(OR(D1190&lt;0,D1190&gt;3,E1190&lt;0,E1190&gt;3,F1190&lt;0,F1190&gt;3),1,0)))</x:f>
      </x:c>
      <x:c r="K1190">
        <x:f>IF(A1190="","",IF(G1190="",1,0))</x:f>
      </x:c>
      <x:c r="L1190">
        <x:f>IF(A1190="","",IF(COUNTIFS($A$5:$A$2004,A1190,$C$5:$C$2004,C1190)&gt;1,1,0))</x:f>
      </x:c>
    </x:row>
    <x:row r="1191">
      <x:c r="A1191" s="8" t="n"/>
      <x:c r="B1191" s="8" t="n"/>
      <x:c r="C1191" s="8" t="n"/>
      <x:c r="D1191" s="8" t="n"/>
      <x:c r="E1191" s="8" t="n"/>
      <x:c r="F1191" s="8" t="n"/>
      <x:c r="G1191" s="7">
        <x:f>IF(A1191="","",IF(01_Parametres!$B$11="Oui",IF((01_Parametres!$B$4*(D1191&gt;0)+01_Parametres!$B$5*(E1191&gt;0)+01_Parametres!$B$6*(F1191&gt;0))=0,"",(01_Parametres!$B$4*IF(D1191&gt;0,D1191,0)+01_Parametres!$B$5*IF(E1191&gt;0,E1191,0)+01_Parametres!$B$6*IF(F1191&gt;0,F1191,0))/(01_Parametres!$B$4*(D1191&gt;0)+01_Parametres!$B$5*(E1191&gt;0)+01_Parametres!$B$6*(F1191&gt;0))),IF(01_Parametres!$B$8=0,"",(01_Parametres!$B$4*D1191+01_Parametres!$B$5*E1191+01_Parametres!$B$6*F1191)/01_Parametres!$B$8)))</x:f>
      </x:c>
      <x:c r="H1191">
        <x:f>IFERROR(VLOOKUP(C1191,02_Referentiels!$A$20:$D$99,3,FALSE),"")</x:f>
      </x:c>
      <x:c r="I1191">
        <x:f>IFERROR(VLOOKUP(B1191,02_Referentiels!$A$5:$C$16,2,FALSE),"")</x:f>
      </x:c>
      <x:c r="J1191">
        <x:f>IF(A1191="","",IF(OR(D1191="",E1191="",F1191=""),1,IF(OR(D1191&lt;0,D1191&gt;3,E1191&lt;0,E1191&gt;3,F1191&lt;0,F1191&gt;3),1,0)))</x:f>
      </x:c>
      <x:c r="K1191">
        <x:f>IF(A1191="","",IF(G1191="",1,0))</x:f>
      </x:c>
      <x:c r="L1191">
        <x:f>IF(A1191="","",IF(COUNTIFS($A$5:$A$2004,A1191,$C$5:$C$2004,C1191)&gt;1,1,0))</x:f>
      </x:c>
    </x:row>
    <x:row r="1192">
      <x:c r="A1192" s="8" t="n"/>
      <x:c r="B1192" s="8" t="n"/>
      <x:c r="C1192" s="8" t="n"/>
      <x:c r="D1192" s="8" t="n"/>
      <x:c r="E1192" s="8" t="n"/>
      <x:c r="F1192" s="8" t="n"/>
      <x:c r="G1192" s="7">
        <x:f>IF(A1192="","",IF(01_Parametres!$B$11="Oui",IF((01_Parametres!$B$4*(D1192&gt;0)+01_Parametres!$B$5*(E1192&gt;0)+01_Parametres!$B$6*(F1192&gt;0))=0,"",(01_Parametres!$B$4*IF(D1192&gt;0,D1192,0)+01_Parametres!$B$5*IF(E1192&gt;0,E1192,0)+01_Parametres!$B$6*IF(F1192&gt;0,F1192,0))/(01_Parametres!$B$4*(D1192&gt;0)+01_Parametres!$B$5*(E1192&gt;0)+01_Parametres!$B$6*(F1192&gt;0))),IF(01_Parametres!$B$8=0,"",(01_Parametres!$B$4*D1192+01_Parametres!$B$5*E1192+01_Parametres!$B$6*F1192)/01_Parametres!$B$8)))</x:f>
      </x:c>
      <x:c r="H1192">
        <x:f>IFERROR(VLOOKUP(C1192,02_Referentiels!$A$20:$D$99,3,FALSE),"")</x:f>
      </x:c>
      <x:c r="I1192">
        <x:f>IFERROR(VLOOKUP(B1192,02_Referentiels!$A$5:$C$16,2,FALSE),"")</x:f>
      </x:c>
      <x:c r="J1192">
        <x:f>IF(A1192="","",IF(OR(D1192="",E1192="",F1192=""),1,IF(OR(D1192&lt;0,D1192&gt;3,E1192&lt;0,E1192&gt;3,F1192&lt;0,F1192&gt;3),1,0)))</x:f>
      </x:c>
      <x:c r="K1192">
        <x:f>IF(A1192="","",IF(G1192="",1,0))</x:f>
      </x:c>
      <x:c r="L1192">
        <x:f>IF(A1192="","",IF(COUNTIFS($A$5:$A$2004,A1192,$C$5:$C$2004,C1192)&gt;1,1,0))</x:f>
      </x:c>
    </x:row>
    <x:row r="1193">
      <x:c r="A1193" s="8" t="n"/>
      <x:c r="B1193" s="8" t="n"/>
      <x:c r="C1193" s="8" t="n"/>
      <x:c r="D1193" s="8" t="n"/>
      <x:c r="E1193" s="8" t="n"/>
      <x:c r="F1193" s="8" t="n"/>
      <x:c r="G1193" s="7">
        <x:f>IF(A1193="","",IF(01_Parametres!$B$11="Oui",IF((01_Parametres!$B$4*(D1193&gt;0)+01_Parametres!$B$5*(E1193&gt;0)+01_Parametres!$B$6*(F1193&gt;0))=0,"",(01_Parametres!$B$4*IF(D1193&gt;0,D1193,0)+01_Parametres!$B$5*IF(E1193&gt;0,E1193,0)+01_Parametres!$B$6*IF(F1193&gt;0,F1193,0))/(01_Parametres!$B$4*(D1193&gt;0)+01_Parametres!$B$5*(E1193&gt;0)+01_Parametres!$B$6*(F1193&gt;0))),IF(01_Parametres!$B$8=0,"",(01_Parametres!$B$4*D1193+01_Parametres!$B$5*E1193+01_Parametres!$B$6*F1193)/01_Parametres!$B$8)))</x:f>
      </x:c>
      <x:c r="H1193">
        <x:f>IFERROR(VLOOKUP(C1193,02_Referentiels!$A$20:$D$99,3,FALSE),"")</x:f>
      </x:c>
      <x:c r="I1193">
        <x:f>IFERROR(VLOOKUP(B1193,02_Referentiels!$A$5:$C$16,2,FALSE),"")</x:f>
      </x:c>
      <x:c r="J1193">
        <x:f>IF(A1193="","",IF(OR(D1193="",E1193="",F1193=""),1,IF(OR(D1193&lt;0,D1193&gt;3,E1193&lt;0,E1193&gt;3,F1193&lt;0,F1193&gt;3),1,0)))</x:f>
      </x:c>
      <x:c r="K1193">
        <x:f>IF(A1193="","",IF(G1193="",1,0))</x:f>
      </x:c>
      <x:c r="L1193">
        <x:f>IF(A1193="","",IF(COUNTIFS($A$5:$A$2004,A1193,$C$5:$C$2004,C1193)&gt;1,1,0))</x:f>
      </x:c>
    </x:row>
    <x:row r="1194">
      <x:c r="A1194" s="8" t="n"/>
      <x:c r="B1194" s="8" t="n"/>
      <x:c r="C1194" s="8" t="n"/>
      <x:c r="D1194" s="8" t="n"/>
      <x:c r="E1194" s="8" t="n"/>
      <x:c r="F1194" s="8" t="n"/>
      <x:c r="G1194" s="7">
        <x:f>IF(A1194="","",IF(01_Parametres!$B$11="Oui",IF((01_Parametres!$B$4*(D1194&gt;0)+01_Parametres!$B$5*(E1194&gt;0)+01_Parametres!$B$6*(F1194&gt;0))=0,"",(01_Parametres!$B$4*IF(D1194&gt;0,D1194,0)+01_Parametres!$B$5*IF(E1194&gt;0,E1194,0)+01_Parametres!$B$6*IF(F1194&gt;0,F1194,0))/(01_Parametres!$B$4*(D1194&gt;0)+01_Parametres!$B$5*(E1194&gt;0)+01_Parametres!$B$6*(F1194&gt;0))),IF(01_Parametres!$B$8=0,"",(01_Parametres!$B$4*D1194+01_Parametres!$B$5*E1194+01_Parametres!$B$6*F1194)/01_Parametres!$B$8)))</x:f>
      </x:c>
      <x:c r="H1194">
        <x:f>IFERROR(VLOOKUP(C1194,02_Referentiels!$A$20:$D$99,3,FALSE),"")</x:f>
      </x:c>
      <x:c r="I1194">
        <x:f>IFERROR(VLOOKUP(B1194,02_Referentiels!$A$5:$C$16,2,FALSE),"")</x:f>
      </x:c>
      <x:c r="J1194">
        <x:f>IF(A1194="","",IF(OR(D1194="",E1194="",F1194=""),1,IF(OR(D1194&lt;0,D1194&gt;3,E1194&lt;0,E1194&gt;3,F1194&lt;0,F1194&gt;3),1,0)))</x:f>
      </x:c>
      <x:c r="K1194">
        <x:f>IF(A1194="","",IF(G1194="",1,0))</x:f>
      </x:c>
      <x:c r="L1194">
        <x:f>IF(A1194="","",IF(COUNTIFS($A$5:$A$2004,A1194,$C$5:$C$2004,C1194)&gt;1,1,0))</x:f>
      </x:c>
    </x:row>
    <x:row r="1195">
      <x:c r="A1195" s="8" t="n"/>
      <x:c r="B1195" s="8" t="n"/>
      <x:c r="C1195" s="8" t="n"/>
      <x:c r="D1195" s="8" t="n"/>
      <x:c r="E1195" s="8" t="n"/>
      <x:c r="F1195" s="8" t="n"/>
      <x:c r="G1195" s="7">
        <x:f>IF(A1195="","",IF(01_Parametres!$B$11="Oui",IF((01_Parametres!$B$4*(D1195&gt;0)+01_Parametres!$B$5*(E1195&gt;0)+01_Parametres!$B$6*(F1195&gt;0))=0,"",(01_Parametres!$B$4*IF(D1195&gt;0,D1195,0)+01_Parametres!$B$5*IF(E1195&gt;0,E1195,0)+01_Parametres!$B$6*IF(F1195&gt;0,F1195,0))/(01_Parametres!$B$4*(D1195&gt;0)+01_Parametres!$B$5*(E1195&gt;0)+01_Parametres!$B$6*(F1195&gt;0))),IF(01_Parametres!$B$8=0,"",(01_Parametres!$B$4*D1195+01_Parametres!$B$5*E1195+01_Parametres!$B$6*F1195)/01_Parametres!$B$8)))</x:f>
      </x:c>
      <x:c r="H1195">
        <x:f>IFERROR(VLOOKUP(C1195,02_Referentiels!$A$20:$D$99,3,FALSE),"")</x:f>
      </x:c>
      <x:c r="I1195">
        <x:f>IFERROR(VLOOKUP(B1195,02_Referentiels!$A$5:$C$16,2,FALSE),"")</x:f>
      </x:c>
      <x:c r="J1195">
        <x:f>IF(A1195="","",IF(OR(D1195="",E1195="",F1195=""),1,IF(OR(D1195&lt;0,D1195&gt;3,E1195&lt;0,E1195&gt;3,F1195&lt;0,F1195&gt;3),1,0)))</x:f>
      </x:c>
      <x:c r="K1195">
        <x:f>IF(A1195="","",IF(G1195="",1,0))</x:f>
      </x:c>
      <x:c r="L1195">
        <x:f>IF(A1195="","",IF(COUNTIFS($A$5:$A$2004,A1195,$C$5:$C$2004,C1195)&gt;1,1,0))</x:f>
      </x:c>
    </x:row>
    <x:row r="1196">
      <x:c r="A1196" s="8" t="n"/>
      <x:c r="B1196" s="8" t="n"/>
      <x:c r="C1196" s="8" t="n"/>
      <x:c r="D1196" s="8" t="n"/>
      <x:c r="E1196" s="8" t="n"/>
      <x:c r="F1196" s="8" t="n"/>
      <x:c r="G1196" s="7">
        <x:f>IF(A1196="","",IF(01_Parametres!$B$11="Oui",IF((01_Parametres!$B$4*(D1196&gt;0)+01_Parametres!$B$5*(E1196&gt;0)+01_Parametres!$B$6*(F1196&gt;0))=0,"",(01_Parametres!$B$4*IF(D1196&gt;0,D1196,0)+01_Parametres!$B$5*IF(E1196&gt;0,E1196,0)+01_Parametres!$B$6*IF(F1196&gt;0,F1196,0))/(01_Parametres!$B$4*(D1196&gt;0)+01_Parametres!$B$5*(E1196&gt;0)+01_Parametres!$B$6*(F1196&gt;0))),IF(01_Parametres!$B$8=0,"",(01_Parametres!$B$4*D1196+01_Parametres!$B$5*E1196+01_Parametres!$B$6*F1196)/01_Parametres!$B$8)))</x:f>
      </x:c>
      <x:c r="H1196">
        <x:f>IFERROR(VLOOKUP(C1196,02_Referentiels!$A$20:$D$99,3,FALSE),"")</x:f>
      </x:c>
      <x:c r="I1196">
        <x:f>IFERROR(VLOOKUP(B1196,02_Referentiels!$A$5:$C$16,2,FALSE),"")</x:f>
      </x:c>
      <x:c r="J1196">
        <x:f>IF(A1196="","",IF(OR(D1196="",E1196="",F1196=""),1,IF(OR(D1196&lt;0,D1196&gt;3,E1196&lt;0,E1196&gt;3,F1196&lt;0,F1196&gt;3),1,0)))</x:f>
      </x:c>
      <x:c r="K1196">
        <x:f>IF(A1196="","",IF(G1196="",1,0))</x:f>
      </x:c>
      <x:c r="L1196">
        <x:f>IF(A1196="","",IF(COUNTIFS($A$5:$A$2004,A1196,$C$5:$C$2004,C1196)&gt;1,1,0))</x:f>
      </x:c>
    </x:row>
    <x:row r="1197">
      <x:c r="A1197" s="8" t="n"/>
      <x:c r="B1197" s="8" t="n"/>
      <x:c r="C1197" s="8" t="n"/>
      <x:c r="D1197" s="8" t="n"/>
      <x:c r="E1197" s="8" t="n"/>
      <x:c r="F1197" s="8" t="n"/>
      <x:c r="G1197" s="7">
        <x:f>IF(A1197="","",IF(01_Parametres!$B$11="Oui",IF((01_Parametres!$B$4*(D1197&gt;0)+01_Parametres!$B$5*(E1197&gt;0)+01_Parametres!$B$6*(F1197&gt;0))=0,"",(01_Parametres!$B$4*IF(D1197&gt;0,D1197,0)+01_Parametres!$B$5*IF(E1197&gt;0,E1197,0)+01_Parametres!$B$6*IF(F1197&gt;0,F1197,0))/(01_Parametres!$B$4*(D1197&gt;0)+01_Parametres!$B$5*(E1197&gt;0)+01_Parametres!$B$6*(F1197&gt;0))),IF(01_Parametres!$B$8=0,"",(01_Parametres!$B$4*D1197+01_Parametres!$B$5*E1197+01_Parametres!$B$6*F1197)/01_Parametres!$B$8)))</x:f>
      </x:c>
      <x:c r="H1197">
        <x:f>IFERROR(VLOOKUP(C1197,02_Referentiels!$A$20:$D$99,3,FALSE),"")</x:f>
      </x:c>
      <x:c r="I1197">
        <x:f>IFERROR(VLOOKUP(B1197,02_Referentiels!$A$5:$C$16,2,FALSE),"")</x:f>
      </x:c>
      <x:c r="J1197">
        <x:f>IF(A1197="","",IF(OR(D1197="",E1197="",F1197=""),1,IF(OR(D1197&lt;0,D1197&gt;3,E1197&lt;0,E1197&gt;3,F1197&lt;0,F1197&gt;3),1,0)))</x:f>
      </x:c>
      <x:c r="K1197">
        <x:f>IF(A1197="","",IF(G1197="",1,0))</x:f>
      </x:c>
      <x:c r="L1197">
        <x:f>IF(A1197="","",IF(COUNTIFS($A$5:$A$2004,A1197,$C$5:$C$2004,C1197)&gt;1,1,0))</x:f>
      </x:c>
    </x:row>
    <x:row r="1198">
      <x:c r="A1198" s="8" t="n"/>
      <x:c r="B1198" s="8" t="n"/>
      <x:c r="C1198" s="8" t="n"/>
      <x:c r="D1198" s="8" t="n"/>
      <x:c r="E1198" s="8" t="n"/>
      <x:c r="F1198" s="8" t="n"/>
      <x:c r="G1198" s="7">
        <x:f>IF(A1198="","",IF(01_Parametres!$B$11="Oui",IF((01_Parametres!$B$4*(D1198&gt;0)+01_Parametres!$B$5*(E1198&gt;0)+01_Parametres!$B$6*(F1198&gt;0))=0,"",(01_Parametres!$B$4*IF(D1198&gt;0,D1198,0)+01_Parametres!$B$5*IF(E1198&gt;0,E1198,0)+01_Parametres!$B$6*IF(F1198&gt;0,F1198,0))/(01_Parametres!$B$4*(D1198&gt;0)+01_Parametres!$B$5*(E1198&gt;0)+01_Parametres!$B$6*(F1198&gt;0))),IF(01_Parametres!$B$8=0,"",(01_Parametres!$B$4*D1198+01_Parametres!$B$5*E1198+01_Parametres!$B$6*F1198)/01_Parametres!$B$8)))</x:f>
      </x:c>
      <x:c r="H1198">
        <x:f>IFERROR(VLOOKUP(C1198,02_Referentiels!$A$20:$D$99,3,FALSE),"")</x:f>
      </x:c>
      <x:c r="I1198">
        <x:f>IFERROR(VLOOKUP(B1198,02_Referentiels!$A$5:$C$16,2,FALSE),"")</x:f>
      </x:c>
      <x:c r="J1198">
        <x:f>IF(A1198="","",IF(OR(D1198="",E1198="",F1198=""),1,IF(OR(D1198&lt;0,D1198&gt;3,E1198&lt;0,E1198&gt;3,F1198&lt;0,F1198&gt;3),1,0)))</x:f>
      </x:c>
      <x:c r="K1198">
        <x:f>IF(A1198="","",IF(G1198="",1,0))</x:f>
      </x:c>
      <x:c r="L1198">
        <x:f>IF(A1198="","",IF(COUNTIFS($A$5:$A$2004,A1198,$C$5:$C$2004,C1198)&gt;1,1,0))</x:f>
      </x:c>
    </x:row>
    <x:row r="1199">
      <x:c r="A1199" s="8" t="n"/>
      <x:c r="B1199" s="8" t="n"/>
      <x:c r="C1199" s="8" t="n"/>
      <x:c r="D1199" s="8" t="n"/>
      <x:c r="E1199" s="8" t="n"/>
      <x:c r="F1199" s="8" t="n"/>
      <x:c r="G1199" s="7">
        <x:f>IF(A1199="","",IF(01_Parametres!$B$11="Oui",IF((01_Parametres!$B$4*(D1199&gt;0)+01_Parametres!$B$5*(E1199&gt;0)+01_Parametres!$B$6*(F1199&gt;0))=0,"",(01_Parametres!$B$4*IF(D1199&gt;0,D1199,0)+01_Parametres!$B$5*IF(E1199&gt;0,E1199,0)+01_Parametres!$B$6*IF(F1199&gt;0,F1199,0))/(01_Parametres!$B$4*(D1199&gt;0)+01_Parametres!$B$5*(E1199&gt;0)+01_Parametres!$B$6*(F1199&gt;0))),IF(01_Parametres!$B$8=0,"",(01_Parametres!$B$4*D1199+01_Parametres!$B$5*E1199+01_Parametres!$B$6*F1199)/01_Parametres!$B$8)))</x:f>
      </x:c>
      <x:c r="H1199">
        <x:f>IFERROR(VLOOKUP(C1199,02_Referentiels!$A$20:$D$99,3,FALSE),"")</x:f>
      </x:c>
      <x:c r="I1199">
        <x:f>IFERROR(VLOOKUP(B1199,02_Referentiels!$A$5:$C$16,2,FALSE),"")</x:f>
      </x:c>
      <x:c r="J1199">
        <x:f>IF(A1199="","",IF(OR(D1199="",E1199="",F1199=""),1,IF(OR(D1199&lt;0,D1199&gt;3,E1199&lt;0,E1199&gt;3,F1199&lt;0,F1199&gt;3),1,0)))</x:f>
      </x:c>
      <x:c r="K1199">
        <x:f>IF(A1199="","",IF(G1199="",1,0))</x:f>
      </x:c>
      <x:c r="L1199">
        <x:f>IF(A1199="","",IF(COUNTIFS($A$5:$A$2004,A1199,$C$5:$C$2004,C1199)&gt;1,1,0))</x:f>
      </x:c>
    </x:row>
    <x:row r="1200">
      <x:c r="A1200" s="8" t="n"/>
      <x:c r="B1200" s="8" t="n"/>
      <x:c r="C1200" s="8" t="n"/>
      <x:c r="D1200" s="8" t="n"/>
      <x:c r="E1200" s="8" t="n"/>
      <x:c r="F1200" s="8" t="n"/>
      <x:c r="G1200" s="7">
        <x:f>IF(A1200="","",IF(01_Parametres!$B$11="Oui",IF((01_Parametres!$B$4*(D1200&gt;0)+01_Parametres!$B$5*(E1200&gt;0)+01_Parametres!$B$6*(F1200&gt;0))=0,"",(01_Parametres!$B$4*IF(D1200&gt;0,D1200,0)+01_Parametres!$B$5*IF(E1200&gt;0,E1200,0)+01_Parametres!$B$6*IF(F1200&gt;0,F1200,0))/(01_Parametres!$B$4*(D1200&gt;0)+01_Parametres!$B$5*(E1200&gt;0)+01_Parametres!$B$6*(F1200&gt;0))),IF(01_Parametres!$B$8=0,"",(01_Parametres!$B$4*D1200+01_Parametres!$B$5*E1200+01_Parametres!$B$6*F1200)/01_Parametres!$B$8)))</x:f>
      </x:c>
      <x:c r="H1200">
        <x:f>IFERROR(VLOOKUP(C1200,02_Referentiels!$A$20:$D$99,3,FALSE),"")</x:f>
      </x:c>
      <x:c r="I1200">
        <x:f>IFERROR(VLOOKUP(B1200,02_Referentiels!$A$5:$C$16,2,FALSE),"")</x:f>
      </x:c>
      <x:c r="J1200">
        <x:f>IF(A1200="","",IF(OR(D1200="",E1200="",F1200=""),1,IF(OR(D1200&lt;0,D1200&gt;3,E1200&lt;0,E1200&gt;3,F1200&lt;0,F1200&gt;3),1,0)))</x:f>
      </x:c>
      <x:c r="K1200">
        <x:f>IF(A1200="","",IF(G1200="",1,0))</x:f>
      </x:c>
      <x:c r="L1200">
        <x:f>IF(A1200="","",IF(COUNTIFS($A$5:$A$2004,A1200,$C$5:$C$2004,C1200)&gt;1,1,0))</x:f>
      </x:c>
    </x:row>
    <x:row r="1201">
      <x:c r="A1201" s="8" t="n"/>
      <x:c r="B1201" s="8" t="n"/>
      <x:c r="C1201" s="8" t="n"/>
      <x:c r="D1201" s="8" t="n"/>
      <x:c r="E1201" s="8" t="n"/>
      <x:c r="F1201" s="8" t="n"/>
      <x:c r="G1201" s="7">
        <x:f>IF(A1201="","",IF(01_Parametres!$B$11="Oui",IF((01_Parametres!$B$4*(D1201&gt;0)+01_Parametres!$B$5*(E1201&gt;0)+01_Parametres!$B$6*(F1201&gt;0))=0,"",(01_Parametres!$B$4*IF(D1201&gt;0,D1201,0)+01_Parametres!$B$5*IF(E1201&gt;0,E1201,0)+01_Parametres!$B$6*IF(F1201&gt;0,F1201,0))/(01_Parametres!$B$4*(D1201&gt;0)+01_Parametres!$B$5*(E1201&gt;0)+01_Parametres!$B$6*(F1201&gt;0))),IF(01_Parametres!$B$8=0,"",(01_Parametres!$B$4*D1201+01_Parametres!$B$5*E1201+01_Parametres!$B$6*F1201)/01_Parametres!$B$8)))</x:f>
      </x:c>
      <x:c r="H1201">
        <x:f>IFERROR(VLOOKUP(C1201,02_Referentiels!$A$20:$D$99,3,FALSE),"")</x:f>
      </x:c>
      <x:c r="I1201">
        <x:f>IFERROR(VLOOKUP(B1201,02_Referentiels!$A$5:$C$16,2,FALSE),"")</x:f>
      </x:c>
      <x:c r="J1201">
        <x:f>IF(A1201="","",IF(OR(D1201="",E1201="",F1201=""),1,IF(OR(D1201&lt;0,D1201&gt;3,E1201&lt;0,E1201&gt;3,F1201&lt;0,F1201&gt;3),1,0)))</x:f>
      </x:c>
      <x:c r="K1201">
        <x:f>IF(A1201="","",IF(G1201="",1,0))</x:f>
      </x:c>
      <x:c r="L1201">
        <x:f>IF(A1201="","",IF(COUNTIFS($A$5:$A$2004,A1201,$C$5:$C$2004,C1201)&gt;1,1,0))</x:f>
      </x:c>
    </x:row>
    <x:row r="1202">
      <x:c r="A1202" s="8" t="n"/>
      <x:c r="B1202" s="8" t="n"/>
      <x:c r="C1202" s="8" t="n"/>
      <x:c r="D1202" s="8" t="n"/>
      <x:c r="E1202" s="8" t="n"/>
      <x:c r="F1202" s="8" t="n"/>
      <x:c r="G1202" s="7">
        <x:f>IF(A1202="","",IF(01_Parametres!$B$11="Oui",IF((01_Parametres!$B$4*(D1202&gt;0)+01_Parametres!$B$5*(E1202&gt;0)+01_Parametres!$B$6*(F1202&gt;0))=0,"",(01_Parametres!$B$4*IF(D1202&gt;0,D1202,0)+01_Parametres!$B$5*IF(E1202&gt;0,E1202,0)+01_Parametres!$B$6*IF(F1202&gt;0,F1202,0))/(01_Parametres!$B$4*(D1202&gt;0)+01_Parametres!$B$5*(E1202&gt;0)+01_Parametres!$B$6*(F1202&gt;0))),IF(01_Parametres!$B$8=0,"",(01_Parametres!$B$4*D1202+01_Parametres!$B$5*E1202+01_Parametres!$B$6*F1202)/01_Parametres!$B$8)))</x:f>
      </x:c>
      <x:c r="H1202">
        <x:f>IFERROR(VLOOKUP(C1202,02_Referentiels!$A$20:$D$99,3,FALSE),"")</x:f>
      </x:c>
      <x:c r="I1202">
        <x:f>IFERROR(VLOOKUP(B1202,02_Referentiels!$A$5:$C$16,2,FALSE),"")</x:f>
      </x:c>
      <x:c r="J1202">
        <x:f>IF(A1202="","",IF(OR(D1202="",E1202="",F1202=""),1,IF(OR(D1202&lt;0,D1202&gt;3,E1202&lt;0,E1202&gt;3,F1202&lt;0,F1202&gt;3),1,0)))</x:f>
      </x:c>
      <x:c r="K1202">
        <x:f>IF(A1202="","",IF(G1202="",1,0))</x:f>
      </x:c>
      <x:c r="L1202">
        <x:f>IF(A1202="","",IF(COUNTIFS($A$5:$A$2004,A1202,$C$5:$C$2004,C1202)&gt;1,1,0))</x:f>
      </x:c>
    </x:row>
    <x:row r="1203">
      <x:c r="A1203" s="8" t="n"/>
      <x:c r="B1203" s="8" t="n"/>
      <x:c r="C1203" s="8" t="n"/>
      <x:c r="D1203" s="8" t="n"/>
      <x:c r="E1203" s="8" t="n"/>
      <x:c r="F1203" s="8" t="n"/>
      <x:c r="G1203" s="7">
        <x:f>IF(A1203="","",IF(01_Parametres!$B$11="Oui",IF((01_Parametres!$B$4*(D1203&gt;0)+01_Parametres!$B$5*(E1203&gt;0)+01_Parametres!$B$6*(F1203&gt;0))=0,"",(01_Parametres!$B$4*IF(D1203&gt;0,D1203,0)+01_Parametres!$B$5*IF(E1203&gt;0,E1203,0)+01_Parametres!$B$6*IF(F1203&gt;0,F1203,0))/(01_Parametres!$B$4*(D1203&gt;0)+01_Parametres!$B$5*(E1203&gt;0)+01_Parametres!$B$6*(F1203&gt;0))),IF(01_Parametres!$B$8=0,"",(01_Parametres!$B$4*D1203+01_Parametres!$B$5*E1203+01_Parametres!$B$6*F1203)/01_Parametres!$B$8)))</x:f>
      </x:c>
      <x:c r="H1203">
        <x:f>IFERROR(VLOOKUP(C1203,02_Referentiels!$A$20:$D$99,3,FALSE),"")</x:f>
      </x:c>
      <x:c r="I1203">
        <x:f>IFERROR(VLOOKUP(B1203,02_Referentiels!$A$5:$C$16,2,FALSE),"")</x:f>
      </x:c>
      <x:c r="J1203">
        <x:f>IF(A1203="","",IF(OR(D1203="",E1203="",F1203=""),1,IF(OR(D1203&lt;0,D1203&gt;3,E1203&lt;0,E1203&gt;3,F1203&lt;0,F1203&gt;3),1,0)))</x:f>
      </x:c>
      <x:c r="K1203">
        <x:f>IF(A1203="","",IF(G1203="",1,0))</x:f>
      </x:c>
      <x:c r="L1203">
        <x:f>IF(A1203="","",IF(COUNTIFS($A$5:$A$2004,A1203,$C$5:$C$2004,C1203)&gt;1,1,0))</x:f>
      </x:c>
    </x:row>
    <x:row r="1204">
      <x:c r="A1204" s="8" t="n"/>
      <x:c r="B1204" s="8" t="n"/>
      <x:c r="C1204" s="8" t="n"/>
      <x:c r="D1204" s="8" t="n"/>
      <x:c r="E1204" s="8" t="n"/>
      <x:c r="F1204" s="8" t="n"/>
      <x:c r="G1204" s="7">
        <x:f>IF(A1204="","",IF(01_Parametres!$B$11="Oui",IF((01_Parametres!$B$4*(D1204&gt;0)+01_Parametres!$B$5*(E1204&gt;0)+01_Parametres!$B$6*(F1204&gt;0))=0,"",(01_Parametres!$B$4*IF(D1204&gt;0,D1204,0)+01_Parametres!$B$5*IF(E1204&gt;0,E1204,0)+01_Parametres!$B$6*IF(F1204&gt;0,F1204,0))/(01_Parametres!$B$4*(D1204&gt;0)+01_Parametres!$B$5*(E1204&gt;0)+01_Parametres!$B$6*(F1204&gt;0))),IF(01_Parametres!$B$8=0,"",(01_Parametres!$B$4*D1204+01_Parametres!$B$5*E1204+01_Parametres!$B$6*F1204)/01_Parametres!$B$8)))</x:f>
      </x:c>
      <x:c r="H1204">
        <x:f>IFERROR(VLOOKUP(C1204,02_Referentiels!$A$20:$D$99,3,FALSE),"")</x:f>
      </x:c>
      <x:c r="I1204">
        <x:f>IFERROR(VLOOKUP(B1204,02_Referentiels!$A$5:$C$16,2,FALSE),"")</x:f>
      </x:c>
      <x:c r="J1204">
        <x:f>IF(A1204="","",IF(OR(D1204="",E1204="",F1204=""),1,IF(OR(D1204&lt;0,D1204&gt;3,E1204&lt;0,E1204&gt;3,F1204&lt;0,F1204&gt;3),1,0)))</x:f>
      </x:c>
      <x:c r="K1204">
        <x:f>IF(A1204="","",IF(G1204="",1,0))</x:f>
      </x:c>
      <x:c r="L1204">
        <x:f>IF(A1204="","",IF(COUNTIFS($A$5:$A$2004,A1204,$C$5:$C$2004,C1204)&gt;1,1,0))</x:f>
      </x:c>
    </x:row>
    <x:row r="1205">
      <x:c r="A1205" s="8" t="n"/>
      <x:c r="B1205" s="8" t="n"/>
      <x:c r="C1205" s="8" t="n"/>
      <x:c r="D1205" s="8" t="n"/>
      <x:c r="E1205" s="8" t="n"/>
      <x:c r="F1205" s="8" t="n"/>
      <x:c r="G1205" s="7">
        <x:f>IF(A1205="","",IF(01_Parametres!$B$11="Oui",IF((01_Parametres!$B$4*(D1205&gt;0)+01_Parametres!$B$5*(E1205&gt;0)+01_Parametres!$B$6*(F1205&gt;0))=0,"",(01_Parametres!$B$4*IF(D1205&gt;0,D1205,0)+01_Parametres!$B$5*IF(E1205&gt;0,E1205,0)+01_Parametres!$B$6*IF(F1205&gt;0,F1205,0))/(01_Parametres!$B$4*(D1205&gt;0)+01_Parametres!$B$5*(E1205&gt;0)+01_Parametres!$B$6*(F1205&gt;0))),IF(01_Parametres!$B$8=0,"",(01_Parametres!$B$4*D1205+01_Parametres!$B$5*E1205+01_Parametres!$B$6*F1205)/01_Parametres!$B$8)))</x:f>
      </x:c>
      <x:c r="H1205">
        <x:f>IFERROR(VLOOKUP(C1205,02_Referentiels!$A$20:$D$99,3,FALSE),"")</x:f>
      </x:c>
      <x:c r="I1205">
        <x:f>IFERROR(VLOOKUP(B1205,02_Referentiels!$A$5:$C$16,2,FALSE),"")</x:f>
      </x:c>
      <x:c r="J1205">
        <x:f>IF(A1205="","",IF(OR(D1205="",E1205="",F1205=""),1,IF(OR(D1205&lt;0,D1205&gt;3,E1205&lt;0,E1205&gt;3,F1205&lt;0,F1205&gt;3),1,0)))</x:f>
      </x:c>
      <x:c r="K1205">
        <x:f>IF(A1205="","",IF(G1205="",1,0))</x:f>
      </x:c>
      <x:c r="L1205">
        <x:f>IF(A1205="","",IF(COUNTIFS($A$5:$A$2004,A1205,$C$5:$C$2004,C1205)&gt;1,1,0))</x:f>
      </x:c>
    </x:row>
    <x:row r="1206">
      <x:c r="A1206" s="8" t="n"/>
      <x:c r="B1206" s="8" t="n"/>
      <x:c r="C1206" s="8" t="n"/>
      <x:c r="D1206" s="8" t="n"/>
      <x:c r="E1206" s="8" t="n"/>
      <x:c r="F1206" s="8" t="n"/>
      <x:c r="G1206" s="7">
        <x:f>IF(A1206="","",IF(01_Parametres!$B$11="Oui",IF((01_Parametres!$B$4*(D1206&gt;0)+01_Parametres!$B$5*(E1206&gt;0)+01_Parametres!$B$6*(F1206&gt;0))=0,"",(01_Parametres!$B$4*IF(D1206&gt;0,D1206,0)+01_Parametres!$B$5*IF(E1206&gt;0,E1206,0)+01_Parametres!$B$6*IF(F1206&gt;0,F1206,0))/(01_Parametres!$B$4*(D1206&gt;0)+01_Parametres!$B$5*(E1206&gt;0)+01_Parametres!$B$6*(F1206&gt;0))),IF(01_Parametres!$B$8=0,"",(01_Parametres!$B$4*D1206+01_Parametres!$B$5*E1206+01_Parametres!$B$6*F1206)/01_Parametres!$B$8)))</x:f>
      </x:c>
      <x:c r="H1206">
        <x:f>IFERROR(VLOOKUP(C1206,02_Referentiels!$A$20:$D$99,3,FALSE),"")</x:f>
      </x:c>
      <x:c r="I1206">
        <x:f>IFERROR(VLOOKUP(B1206,02_Referentiels!$A$5:$C$16,2,FALSE),"")</x:f>
      </x:c>
      <x:c r="J1206">
        <x:f>IF(A1206="","",IF(OR(D1206="",E1206="",F1206=""),1,IF(OR(D1206&lt;0,D1206&gt;3,E1206&lt;0,E1206&gt;3,F1206&lt;0,F1206&gt;3),1,0)))</x:f>
      </x:c>
      <x:c r="K1206">
        <x:f>IF(A1206="","",IF(G1206="",1,0))</x:f>
      </x:c>
      <x:c r="L1206">
        <x:f>IF(A1206="","",IF(COUNTIFS($A$5:$A$2004,A1206,$C$5:$C$2004,C1206)&gt;1,1,0))</x:f>
      </x:c>
    </x:row>
    <x:row r="1207">
      <x:c r="A1207" s="8" t="n"/>
      <x:c r="B1207" s="8" t="n"/>
      <x:c r="C1207" s="8" t="n"/>
      <x:c r="D1207" s="8" t="n"/>
      <x:c r="E1207" s="8" t="n"/>
      <x:c r="F1207" s="8" t="n"/>
      <x:c r="G1207" s="7">
        <x:f>IF(A1207="","",IF(01_Parametres!$B$11="Oui",IF((01_Parametres!$B$4*(D1207&gt;0)+01_Parametres!$B$5*(E1207&gt;0)+01_Parametres!$B$6*(F1207&gt;0))=0,"",(01_Parametres!$B$4*IF(D1207&gt;0,D1207,0)+01_Parametres!$B$5*IF(E1207&gt;0,E1207,0)+01_Parametres!$B$6*IF(F1207&gt;0,F1207,0))/(01_Parametres!$B$4*(D1207&gt;0)+01_Parametres!$B$5*(E1207&gt;0)+01_Parametres!$B$6*(F1207&gt;0))),IF(01_Parametres!$B$8=0,"",(01_Parametres!$B$4*D1207+01_Parametres!$B$5*E1207+01_Parametres!$B$6*F1207)/01_Parametres!$B$8)))</x:f>
      </x:c>
      <x:c r="H1207">
        <x:f>IFERROR(VLOOKUP(C1207,02_Referentiels!$A$20:$D$99,3,FALSE),"")</x:f>
      </x:c>
      <x:c r="I1207">
        <x:f>IFERROR(VLOOKUP(B1207,02_Referentiels!$A$5:$C$16,2,FALSE),"")</x:f>
      </x:c>
      <x:c r="J1207">
        <x:f>IF(A1207="","",IF(OR(D1207="",E1207="",F1207=""),1,IF(OR(D1207&lt;0,D1207&gt;3,E1207&lt;0,E1207&gt;3,F1207&lt;0,F1207&gt;3),1,0)))</x:f>
      </x:c>
      <x:c r="K1207">
        <x:f>IF(A1207="","",IF(G1207="",1,0))</x:f>
      </x:c>
      <x:c r="L1207">
        <x:f>IF(A1207="","",IF(COUNTIFS($A$5:$A$2004,A1207,$C$5:$C$2004,C1207)&gt;1,1,0))</x:f>
      </x:c>
    </x:row>
    <x:row r="1208">
      <x:c r="A1208" s="8" t="n"/>
      <x:c r="B1208" s="8" t="n"/>
      <x:c r="C1208" s="8" t="n"/>
      <x:c r="D1208" s="8" t="n"/>
      <x:c r="E1208" s="8" t="n"/>
      <x:c r="F1208" s="8" t="n"/>
      <x:c r="G1208" s="7">
        <x:f>IF(A1208="","",IF(01_Parametres!$B$11="Oui",IF((01_Parametres!$B$4*(D1208&gt;0)+01_Parametres!$B$5*(E1208&gt;0)+01_Parametres!$B$6*(F1208&gt;0))=0,"",(01_Parametres!$B$4*IF(D1208&gt;0,D1208,0)+01_Parametres!$B$5*IF(E1208&gt;0,E1208,0)+01_Parametres!$B$6*IF(F1208&gt;0,F1208,0))/(01_Parametres!$B$4*(D1208&gt;0)+01_Parametres!$B$5*(E1208&gt;0)+01_Parametres!$B$6*(F1208&gt;0))),IF(01_Parametres!$B$8=0,"",(01_Parametres!$B$4*D1208+01_Parametres!$B$5*E1208+01_Parametres!$B$6*F1208)/01_Parametres!$B$8)))</x:f>
      </x:c>
      <x:c r="H1208">
        <x:f>IFERROR(VLOOKUP(C1208,02_Referentiels!$A$20:$D$99,3,FALSE),"")</x:f>
      </x:c>
      <x:c r="I1208">
        <x:f>IFERROR(VLOOKUP(B1208,02_Referentiels!$A$5:$C$16,2,FALSE),"")</x:f>
      </x:c>
      <x:c r="J1208">
        <x:f>IF(A1208="","",IF(OR(D1208="",E1208="",F1208=""),1,IF(OR(D1208&lt;0,D1208&gt;3,E1208&lt;0,E1208&gt;3,F1208&lt;0,F1208&gt;3),1,0)))</x:f>
      </x:c>
      <x:c r="K1208">
        <x:f>IF(A1208="","",IF(G1208="",1,0))</x:f>
      </x:c>
      <x:c r="L1208">
        <x:f>IF(A1208="","",IF(COUNTIFS($A$5:$A$2004,A1208,$C$5:$C$2004,C1208)&gt;1,1,0))</x:f>
      </x:c>
    </x:row>
    <x:row r="1209">
      <x:c r="A1209" s="8" t="n"/>
      <x:c r="B1209" s="8" t="n"/>
      <x:c r="C1209" s="8" t="n"/>
      <x:c r="D1209" s="8" t="n"/>
      <x:c r="E1209" s="8" t="n"/>
      <x:c r="F1209" s="8" t="n"/>
      <x:c r="G1209" s="7">
        <x:f>IF(A1209="","",IF(01_Parametres!$B$11="Oui",IF((01_Parametres!$B$4*(D1209&gt;0)+01_Parametres!$B$5*(E1209&gt;0)+01_Parametres!$B$6*(F1209&gt;0))=0,"",(01_Parametres!$B$4*IF(D1209&gt;0,D1209,0)+01_Parametres!$B$5*IF(E1209&gt;0,E1209,0)+01_Parametres!$B$6*IF(F1209&gt;0,F1209,0))/(01_Parametres!$B$4*(D1209&gt;0)+01_Parametres!$B$5*(E1209&gt;0)+01_Parametres!$B$6*(F1209&gt;0))),IF(01_Parametres!$B$8=0,"",(01_Parametres!$B$4*D1209+01_Parametres!$B$5*E1209+01_Parametres!$B$6*F1209)/01_Parametres!$B$8)))</x:f>
      </x:c>
      <x:c r="H1209">
        <x:f>IFERROR(VLOOKUP(C1209,02_Referentiels!$A$20:$D$99,3,FALSE),"")</x:f>
      </x:c>
      <x:c r="I1209">
        <x:f>IFERROR(VLOOKUP(B1209,02_Referentiels!$A$5:$C$16,2,FALSE),"")</x:f>
      </x:c>
      <x:c r="J1209">
        <x:f>IF(A1209="","",IF(OR(D1209="",E1209="",F1209=""),1,IF(OR(D1209&lt;0,D1209&gt;3,E1209&lt;0,E1209&gt;3,F1209&lt;0,F1209&gt;3),1,0)))</x:f>
      </x:c>
      <x:c r="K1209">
        <x:f>IF(A1209="","",IF(G1209="",1,0))</x:f>
      </x:c>
      <x:c r="L1209">
        <x:f>IF(A1209="","",IF(COUNTIFS($A$5:$A$2004,A1209,$C$5:$C$2004,C1209)&gt;1,1,0))</x:f>
      </x:c>
    </x:row>
    <x:row r="1210">
      <x:c r="A1210" s="8" t="n"/>
      <x:c r="B1210" s="8" t="n"/>
      <x:c r="C1210" s="8" t="n"/>
      <x:c r="D1210" s="8" t="n"/>
      <x:c r="E1210" s="8" t="n"/>
      <x:c r="F1210" s="8" t="n"/>
      <x:c r="G1210" s="7">
        <x:f>IF(A1210="","",IF(01_Parametres!$B$11="Oui",IF((01_Parametres!$B$4*(D1210&gt;0)+01_Parametres!$B$5*(E1210&gt;0)+01_Parametres!$B$6*(F1210&gt;0))=0,"",(01_Parametres!$B$4*IF(D1210&gt;0,D1210,0)+01_Parametres!$B$5*IF(E1210&gt;0,E1210,0)+01_Parametres!$B$6*IF(F1210&gt;0,F1210,0))/(01_Parametres!$B$4*(D1210&gt;0)+01_Parametres!$B$5*(E1210&gt;0)+01_Parametres!$B$6*(F1210&gt;0))),IF(01_Parametres!$B$8=0,"",(01_Parametres!$B$4*D1210+01_Parametres!$B$5*E1210+01_Parametres!$B$6*F1210)/01_Parametres!$B$8)))</x:f>
      </x:c>
      <x:c r="H1210">
        <x:f>IFERROR(VLOOKUP(C1210,02_Referentiels!$A$20:$D$99,3,FALSE),"")</x:f>
      </x:c>
      <x:c r="I1210">
        <x:f>IFERROR(VLOOKUP(B1210,02_Referentiels!$A$5:$C$16,2,FALSE),"")</x:f>
      </x:c>
      <x:c r="J1210">
        <x:f>IF(A1210="","",IF(OR(D1210="",E1210="",F1210=""),1,IF(OR(D1210&lt;0,D1210&gt;3,E1210&lt;0,E1210&gt;3,F1210&lt;0,F1210&gt;3),1,0)))</x:f>
      </x:c>
      <x:c r="K1210">
        <x:f>IF(A1210="","",IF(G1210="",1,0))</x:f>
      </x:c>
      <x:c r="L1210">
        <x:f>IF(A1210="","",IF(COUNTIFS($A$5:$A$2004,A1210,$C$5:$C$2004,C1210)&gt;1,1,0))</x:f>
      </x:c>
    </x:row>
    <x:row r="1211">
      <x:c r="A1211" s="8" t="n"/>
      <x:c r="B1211" s="8" t="n"/>
      <x:c r="C1211" s="8" t="n"/>
      <x:c r="D1211" s="8" t="n"/>
      <x:c r="E1211" s="8" t="n"/>
      <x:c r="F1211" s="8" t="n"/>
      <x:c r="G1211" s="7">
        <x:f>IF(A1211="","",IF(01_Parametres!$B$11="Oui",IF((01_Parametres!$B$4*(D1211&gt;0)+01_Parametres!$B$5*(E1211&gt;0)+01_Parametres!$B$6*(F1211&gt;0))=0,"",(01_Parametres!$B$4*IF(D1211&gt;0,D1211,0)+01_Parametres!$B$5*IF(E1211&gt;0,E1211,0)+01_Parametres!$B$6*IF(F1211&gt;0,F1211,0))/(01_Parametres!$B$4*(D1211&gt;0)+01_Parametres!$B$5*(E1211&gt;0)+01_Parametres!$B$6*(F1211&gt;0))),IF(01_Parametres!$B$8=0,"",(01_Parametres!$B$4*D1211+01_Parametres!$B$5*E1211+01_Parametres!$B$6*F1211)/01_Parametres!$B$8)))</x:f>
      </x:c>
      <x:c r="H1211">
        <x:f>IFERROR(VLOOKUP(C1211,02_Referentiels!$A$20:$D$99,3,FALSE),"")</x:f>
      </x:c>
      <x:c r="I1211">
        <x:f>IFERROR(VLOOKUP(B1211,02_Referentiels!$A$5:$C$16,2,FALSE),"")</x:f>
      </x:c>
      <x:c r="J1211">
        <x:f>IF(A1211="","",IF(OR(D1211="",E1211="",F1211=""),1,IF(OR(D1211&lt;0,D1211&gt;3,E1211&lt;0,E1211&gt;3,F1211&lt;0,F1211&gt;3),1,0)))</x:f>
      </x:c>
      <x:c r="K1211">
        <x:f>IF(A1211="","",IF(G1211="",1,0))</x:f>
      </x:c>
      <x:c r="L1211">
        <x:f>IF(A1211="","",IF(COUNTIFS($A$5:$A$2004,A1211,$C$5:$C$2004,C1211)&gt;1,1,0))</x:f>
      </x:c>
    </x:row>
    <x:row r="1212">
      <x:c r="A1212" s="8" t="n"/>
      <x:c r="B1212" s="8" t="n"/>
      <x:c r="C1212" s="8" t="n"/>
      <x:c r="D1212" s="8" t="n"/>
      <x:c r="E1212" s="8" t="n"/>
      <x:c r="F1212" s="8" t="n"/>
      <x:c r="G1212" s="7">
        <x:f>IF(A1212="","",IF(01_Parametres!$B$11="Oui",IF((01_Parametres!$B$4*(D1212&gt;0)+01_Parametres!$B$5*(E1212&gt;0)+01_Parametres!$B$6*(F1212&gt;0))=0,"",(01_Parametres!$B$4*IF(D1212&gt;0,D1212,0)+01_Parametres!$B$5*IF(E1212&gt;0,E1212,0)+01_Parametres!$B$6*IF(F1212&gt;0,F1212,0))/(01_Parametres!$B$4*(D1212&gt;0)+01_Parametres!$B$5*(E1212&gt;0)+01_Parametres!$B$6*(F1212&gt;0))),IF(01_Parametres!$B$8=0,"",(01_Parametres!$B$4*D1212+01_Parametres!$B$5*E1212+01_Parametres!$B$6*F1212)/01_Parametres!$B$8)))</x:f>
      </x:c>
      <x:c r="H1212">
        <x:f>IFERROR(VLOOKUP(C1212,02_Referentiels!$A$20:$D$99,3,FALSE),"")</x:f>
      </x:c>
      <x:c r="I1212">
        <x:f>IFERROR(VLOOKUP(B1212,02_Referentiels!$A$5:$C$16,2,FALSE),"")</x:f>
      </x:c>
      <x:c r="J1212">
        <x:f>IF(A1212="","",IF(OR(D1212="",E1212="",F1212=""),1,IF(OR(D1212&lt;0,D1212&gt;3,E1212&lt;0,E1212&gt;3,F1212&lt;0,F1212&gt;3),1,0)))</x:f>
      </x:c>
      <x:c r="K1212">
        <x:f>IF(A1212="","",IF(G1212="",1,0))</x:f>
      </x:c>
      <x:c r="L1212">
        <x:f>IF(A1212="","",IF(COUNTIFS($A$5:$A$2004,A1212,$C$5:$C$2004,C1212)&gt;1,1,0))</x:f>
      </x:c>
    </x:row>
    <x:row r="1213">
      <x:c r="A1213" s="8" t="n"/>
      <x:c r="B1213" s="8" t="n"/>
      <x:c r="C1213" s="8" t="n"/>
      <x:c r="D1213" s="8" t="n"/>
      <x:c r="E1213" s="8" t="n"/>
      <x:c r="F1213" s="8" t="n"/>
      <x:c r="G1213" s="7">
        <x:f>IF(A1213="","",IF(01_Parametres!$B$11="Oui",IF((01_Parametres!$B$4*(D1213&gt;0)+01_Parametres!$B$5*(E1213&gt;0)+01_Parametres!$B$6*(F1213&gt;0))=0,"",(01_Parametres!$B$4*IF(D1213&gt;0,D1213,0)+01_Parametres!$B$5*IF(E1213&gt;0,E1213,0)+01_Parametres!$B$6*IF(F1213&gt;0,F1213,0))/(01_Parametres!$B$4*(D1213&gt;0)+01_Parametres!$B$5*(E1213&gt;0)+01_Parametres!$B$6*(F1213&gt;0))),IF(01_Parametres!$B$8=0,"",(01_Parametres!$B$4*D1213+01_Parametres!$B$5*E1213+01_Parametres!$B$6*F1213)/01_Parametres!$B$8)))</x:f>
      </x:c>
      <x:c r="H1213">
        <x:f>IFERROR(VLOOKUP(C1213,02_Referentiels!$A$20:$D$99,3,FALSE),"")</x:f>
      </x:c>
      <x:c r="I1213">
        <x:f>IFERROR(VLOOKUP(B1213,02_Referentiels!$A$5:$C$16,2,FALSE),"")</x:f>
      </x:c>
      <x:c r="J1213">
        <x:f>IF(A1213="","",IF(OR(D1213="",E1213="",F1213=""),1,IF(OR(D1213&lt;0,D1213&gt;3,E1213&lt;0,E1213&gt;3,F1213&lt;0,F1213&gt;3),1,0)))</x:f>
      </x:c>
      <x:c r="K1213">
        <x:f>IF(A1213="","",IF(G1213="",1,0))</x:f>
      </x:c>
      <x:c r="L1213">
        <x:f>IF(A1213="","",IF(COUNTIFS($A$5:$A$2004,A1213,$C$5:$C$2004,C1213)&gt;1,1,0))</x:f>
      </x:c>
    </x:row>
    <x:row r="1214">
      <x:c r="A1214" s="8" t="n"/>
      <x:c r="B1214" s="8" t="n"/>
      <x:c r="C1214" s="8" t="n"/>
      <x:c r="D1214" s="8" t="n"/>
      <x:c r="E1214" s="8" t="n"/>
      <x:c r="F1214" s="8" t="n"/>
      <x:c r="G1214" s="7">
        <x:f>IF(A1214="","",IF(01_Parametres!$B$11="Oui",IF((01_Parametres!$B$4*(D1214&gt;0)+01_Parametres!$B$5*(E1214&gt;0)+01_Parametres!$B$6*(F1214&gt;0))=0,"",(01_Parametres!$B$4*IF(D1214&gt;0,D1214,0)+01_Parametres!$B$5*IF(E1214&gt;0,E1214,0)+01_Parametres!$B$6*IF(F1214&gt;0,F1214,0))/(01_Parametres!$B$4*(D1214&gt;0)+01_Parametres!$B$5*(E1214&gt;0)+01_Parametres!$B$6*(F1214&gt;0))),IF(01_Parametres!$B$8=0,"",(01_Parametres!$B$4*D1214+01_Parametres!$B$5*E1214+01_Parametres!$B$6*F1214)/01_Parametres!$B$8)))</x:f>
      </x:c>
      <x:c r="H1214">
        <x:f>IFERROR(VLOOKUP(C1214,02_Referentiels!$A$20:$D$99,3,FALSE),"")</x:f>
      </x:c>
      <x:c r="I1214">
        <x:f>IFERROR(VLOOKUP(B1214,02_Referentiels!$A$5:$C$16,2,FALSE),"")</x:f>
      </x:c>
      <x:c r="J1214">
        <x:f>IF(A1214="","",IF(OR(D1214="",E1214="",F1214=""),1,IF(OR(D1214&lt;0,D1214&gt;3,E1214&lt;0,E1214&gt;3,F1214&lt;0,F1214&gt;3),1,0)))</x:f>
      </x:c>
      <x:c r="K1214">
        <x:f>IF(A1214="","",IF(G1214="",1,0))</x:f>
      </x:c>
      <x:c r="L1214">
        <x:f>IF(A1214="","",IF(COUNTIFS($A$5:$A$2004,A1214,$C$5:$C$2004,C1214)&gt;1,1,0))</x:f>
      </x:c>
    </x:row>
    <x:row r="1215">
      <x:c r="A1215" s="8" t="n"/>
      <x:c r="B1215" s="8" t="n"/>
      <x:c r="C1215" s="8" t="n"/>
      <x:c r="D1215" s="8" t="n"/>
      <x:c r="E1215" s="8" t="n"/>
      <x:c r="F1215" s="8" t="n"/>
      <x:c r="G1215" s="7">
        <x:f>IF(A1215="","",IF(01_Parametres!$B$11="Oui",IF((01_Parametres!$B$4*(D1215&gt;0)+01_Parametres!$B$5*(E1215&gt;0)+01_Parametres!$B$6*(F1215&gt;0))=0,"",(01_Parametres!$B$4*IF(D1215&gt;0,D1215,0)+01_Parametres!$B$5*IF(E1215&gt;0,E1215,0)+01_Parametres!$B$6*IF(F1215&gt;0,F1215,0))/(01_Parametres!$B$4*(D1215&gt;0)+01_Parametres!$B$5*(E1215&gt;0)+01_Parametres!$B$6*(F1215&gt;0))),IF(01_Parametres!$B$8=0,"",(01_Parametres!$B$4*D1215+01_Parametres!$B$5*E1215+01_Parametres!$B$6*F1215)/01_Parametres!$B$8)))</x:f>
      </x:c>
      <x:c r="H1215">
        <x:f>IFERROR(VLOOKUP(C1215,02_Referentiels!$A$20:$D$99,3,FALSE),"")</x:f>
      </x:c>
      <x:c r="I1215">
        <x:f>IFERROR(VLOOKUP(B1215,02_Referentiels!$A$5:$C$16,2,FALSE),"")</x:f>
      </x:c>
      <x:c r="J1215">
        <x:f>IF(A1215="","",IF(OR(D1215="",E1215="",F1215=""),1,IF(OR(D1215&lt;0,D1215&gt;3,E1215&lt;0,E1215&gt;3,F1215&lt;0,F1215&gt;3),1,0)))</x:f>
      </x:c>
      <x:c r="K1215">
        <x:f>IF(A1215="","",IF(G1215="",1,0))</x:f>
      </x:c>
      <x:c r="L1215">
        <x:f>IF(A1215="","",IF(COUNTIFS($A$5:$A$2004,A1215,$C$5:$C$2004,C1215)&gt;1,1,0))</x:f>
      </x:c>
    </x:row>
    <x:row r="1216">
      <x:c r="A1216" s="8" t="n"/>
      <x:c r="B1216" s="8" t="n"/>
      <x:c r="C1216" s="8" t="n"/>
      <x:c r="D1216" s="8" t="n"/>
      <x:c r="E1216" s="8" t="n"/>
      <x:c r="F1216" s="8" t="n"/>
      <x:c r="G1216" s="7">
        <x:f>IF(A1216="","",IF(01_Parametres!$B$11="Oui",IF((01_Parametres!$B$4*(D1216&gt;0)+01_Parametres!$B$5*(E1216&gt;0)+01_Parametres!$B$6*(F1216&gt;0))=0,"",(01_Parametres!$B$4*IF(D1216&gt;0,D1216,0)+01_Parametres!$B$5*IF(E1216&gt;0,E1216,0)+01_Parametres!$B$6*IF(F1216&gt;0,F1216,0))/(01_Parametres!$B$4*(D1216&gt;0)+01_Parametres!$B$5*(E1216&gt;0)+01_Parametres!$B$6*(F1216&gt;0))),IF(01_Parametres!$B$8=0,"",(01_Parametres!$B$4*D1216+01_Parametres!$B$5*E1216+01_Parametres!$B$6*F1216)/01_Parametres!$B$8)))</x:f>
      </x:c>
      <x:c r="H1216">
        <x:f>IFERROR(VLOOKUP(C1216,02_Referentiels!$A$20:$D$99,3,FALSE),"")</x:f>
      </x:c>
      <x:c r="I1216">
        <x:f>IFERROR(VLOOKUP(B1216,02_Referentiels!$A$5:$C$16,2,FALSE),"")</x:f>
      </x:c>
      <x:c r="J1216">
        <x:f>IF(A1216="","",IF(OR(D1216="",E1216="",F1216=""),1,IF(OR(D1216&lt;0,D1216&gt;3,E1216&lt;0,E1216&gt;3,F1216&lt;0,F1216&gt;3),1,0)))</x:f>
      </x:c>
      <x:c r="K1216">
        <x:f>IF(A1216="","",IF(G1216="",1,0))</x:f>
      </x:c>
      <x:c r="L1216">
        <x:f>IF(A1216="","",IF(COUNTIFS($A$5:$A$2004,A1216,$C$5:$C$2004,C1216)&gt;1,1,0))</x:f>
      </x:c>
    </x:row>
    <x:row r="1217">
      <x:c r="A1217" s="8" t="n"/>
      <x:c r="B1217" s="8" t="n"/>
      <x:c r="C1217" s="8" t="n"/>
      <x:c r="D1217" s="8" t="n"/>
      <x:c r="E1217" s="8" t="n"/>
      <x:c r="F1217" s="8" t="n"/>
      <x:c r="G1217" s="7">
        <x:f>IF(A1217="","",IF(01_Parametres!$B$11="Oui",IF((01_Parametres!$B$4*(D1217&gt;0)+01_Parametres!$B$5*(E1217&gt;0)+01_Parametres!$B$6*(F1217&gt;0))=0,"",(01_Parametres!$B$4*IF(D1217&gt;0,D1217,0)+01_Parametres!$B$5*IF(E1217&gt;0,E1217,0)+01_Parametres!$B$6*IF(F1217&gt;0,F1217,0))/(01_Parametres!$B$4*(D1217&gt;0)+01_Parametres!$B$5*(E1217&gt;0)+01_Parametres!$B$6*(F1217&gt;0))),IF(01_Parametres!$B$8=0,"",(01_Parametres!$B$4*D1217+01_Parametres!$B$5*E1217+01_Parametres!$B$6*F1217)/01_Parametres!$B$8)))</x:f>
      </x:c>
      <x:c r="H1217">
        <x:f>IFERROR(VLOOKUP(C1217,02_Referentiels!$A$20:$D$99,3,FALSE),"")</x:f>
      </x:c>
      <x:c r="I1217">
        <x:f>IFERROR(VLOOKUP(B1217,02_Referentiels!$A$5:$C$16,2,FALSE),"")</x:f>
      </x:c>
      <x:c r="J1217">
        <x:f>IF(A1217="","",IF(OR(D1217="",E1217="",F1217=""),1,IF(OR(D1217&lt;0,D1217&gt;3,E1217&lt;0,E1217&gt;3,F1217&lt;0,F1217&gt;3),1,0)))</x:f>
      </x:c>
      <x:c r="K1217">
        <x:f>IF(A1217="","",IF(G1217="",1,0))</x:f>
      </x:c>
      <x:c r="L1217">
        <x:f>IF(A1217="","",IF(COUNTIFS($A$5:$A$2004,A1217,$C$5:$C$2004,C1217)&gt;1,1,0))</x:f>
      </x:c>
    </x:row>
    <x:row r="1218">
      <x:c r="A1218" s="8" t="n"/>
      <x:c r="B1218" s="8" t="n"/>
      <x:c r="C1218" s="8" t="n"/>
      <x:c r="D1218" s="8" t="n"/>
      <x:c r="E1218" s="8" t="n"/>
      <x:c r="F1218" s="8" t="n"/>
      <x:c r="G1218" s="7">
        <x:f>IF(A1218="","",IF(01_Parametres!$B$11="Oui",IF((01_Parametres!$B$4*(D1218&gt;0)+01_Parametres!$B$5*(E1218&gt;0)+01_Parametres!$B$6*(F1218&gt;0))=0,"",(01_Parametres!$B$4*IF(D1218&gt;0,D1218,0)+01_Parametres!$B$5*IF(E1218&gt;0,E1218,0)+01_Parametres!$B$6*IF(F1218&gt;0,F1218,0))/(01_Parametres!$B$4*(D1218&gt;0)+01_Parametres!$B$5*(E1218&gt;0)+01_Parametres!$B$6*(F1218&gt;0))),IF(01_Parametres!$B$8=0,"",(01_Parametres!$B$4*D1218+01_Parametres!$B$5*E1218+01_Parametres!$B$6*F1218)/01_Parametres!$B$8)))</x:f>
      </x:c>
      <x:c r="H1218">
        <x:f>IFERROR(VLOOKUP(C1218,02_Referentiels!$A$20:$D$99,3,FALSE),"")</x:f>
      </x:c>
      <x:c r="I1218">
        <x:f>IFERROR(VLOOKUP(B1218,02_Referentiels!$A$5:$C$16,2,FALSE),"")</x:f>
      </x:c>
      <x:c r="J1218">
        <x:f>IF(A1218="","",IF(OR(D1218="",E1218="",F1218=""),1,IF(OR(D1218&lt;0,D1218&gt;3,E1218&lt;0,E1218&gt;3,F1218&lt;0,F1218&gt;3),1,0)))</x:f>
      </x:c>
      <x:c r="K1218">
        <x:f>IF(A1218="","",IF(G1218="",1,0))</x:f>
      </x:c>
      <x:c r="L1218">
        <x:f>IF(A1218="","",IF(COUNTIFS($A$5:$A$2004,A1218,$C$5:$C$2004,C1218)&gt;1,1,0))</x:f>
      </x:c>
    </x:row>
    <x:row r="1219">
      <x:c r="A1219" s="8" t="n"/>
      <x:c r="B1219" s="8" t="n"/>
      <x:c r="C1219" s="8" t="n"/>
      <x:c r="D1219" s="8" t="n"/>
      <x:c r="E1219" s="8" t="n"/>
      <x:c r="F1219" s="8" t="n"/>
      <x:c r="G1219" s="7">
        <x:f>IF(A1219="","",IF(01_Parametres!$B$11="Oui",IF((01_Parametres!$B$4*(D1219&gt;0)+01_Parametres!$B$5*(E1219&gt;0)+01_Parametres!$B$6*(F1219&gt;0))=0,"",(01_Parametres!$B$4*IF(D1219&gt;0,D1219,0)+01_Parametres!$B$5*IF(E1219&gt;0,E1219,0)+01_Parametres!$B$6*IF(F1219&gt;0,F1219,0))/(01_Parametres!$B$4*(D1219&gt;0)+01_Parametres!$B$5*(E1219&gt;0)+01_Parametres!$B$6*(F1219&gt;0))),IF(01_Parametres!$B$8=0,"",(01_Parametres!$B$4*D1219+01_Parametres!$B$5*E1219+01_Parametres!$B$6*F1219)/01_Parametres!$B$8)))</x:f>
      </x:c>
      <x:c r="H1219">
        <x:f>IFERROR(VLOOKUP(C1219,02_Referentiels!$A$20:$D$99,3,FALSE),"")</x:f>
      </x:c>
      <x:c r="I1219">
        <x:f>IFERROR(VLOOKUP(B1219,02_Referentiels!$A$5:$C$16,2,FALSE),"")</x:f>
      </x:c>
      <x:c r="J1219">
        <x:f>IF(A1219="","",IF(OR(D1219="",E1219="",F1219=""),1,IF(OR(D1219&lt;0,D1219&gt;3,E1219&lt;0,E1219&gt;3,F1219&lt;0,F1219&gt;3),1,0)))</x:f>
      </x:c>
      <x:c r="K1219">
        <x:f>IF(A1219="","",IF(G1219="",1,0))</x:f>
      </x:c>
      <x:c r="L1219">
        <x:f>IF(A1219="","",IF(COUNTIFS($A$5:$A$2004,A1219,$C$5:$C$2004,C1219)&gt;1,1,0))</x:f>
      </x:c>
    </x:row>
    <x:row r="1220">
      <x:c r="A1220" s="8" t="n"/>
      <x:c r="B1220" s="8" t="n"/>
      <x:c r="C1220" s="8" t="n"/>
      <x:c r="D1220" s="8" t="n"/>
      <x:c r="E1220" s="8" t="n"/>
      <x:c r="F1220" s="8" t="n"/>
      <x:c r="G1220" s="7">
        <x:f>IF(A1220="","",IF(01_Parametres!$B$11="Oui",IF((01_Parametres!$B$4*(D1220&gt;0)+01_Parametres!$B$5*(E1220&gt;0)+01_Parametres!$B$6*(F1220&gt;0))=0,"",(01_Parametres!$B$4*IF(D1220&gt;0,D1220,0)+01_Parametres!$B$5*IF(E1220&gt;0,E1220,0)+01_Parametres!$B$6*IF(F1220&gt;0,F1220,0))/(01_Parametres!$B$4*(D1220&gt;0)+01_Parametres!$B$5*(E1220&gt;0)+01_Parametres!$B$6*(F1220&gt;0))),IF(01_Parametres!$B$8=0,"",(01_Parametres!$B$4*D1220+01_Parametres!$B$5*E1220+01_Parametres!$B$6*F1220)/01_Parametres!$B$8)))</x:f>
      </x:c>
      <x:c r="H1220">
        <x:f>IFERROR(VLOOKUP(C1220,02_Referentiels!$A$20:$D$99,3,FALSE),"")</x:f>
      </x:c>
      <x:c r="I1220">
        <x:f>IFERROR(VLOOKUP(B1220,02_Referentiels!$A$5:$C$16,2,FALSE),"")</x:f>
      </x:c>
      <x:c r="J1220">
        <x:f>IF(A1220="","",IF(OR(D1220="",E1220="",F1220=""),1,IF(OR(D1220&lt;0,D1220&gt;3,E1220&lt;0,E1220&gt;3,F1220&lt;0,F1220&gt;3),1,0)))</x:f>
      </x:c>
      <x:c r="K1220">
        <x:f>IF(A1220="","",IF(G1220="",1,0))</x:f>
      </x:c>
      <x:c r="L1220">
        <x:f>IF(A1220="","",IF(COUNTIFS($A$5:$A$2004,A1220,$C$5:$C$2004,C1220)&gt;1,1,0))</x:f>
      </x:c>
    </x:row>
    <x:row r="1221">
      <x:c r="A1221" s="8" t="n"/>
      <x:c r="B1221" s="8" t="n"/>
      <x:c r="C1221" s="8" t="n"/>
      <x:c r="D1221" s="8" t="n"/>
      <x:c r="E1221" s="8" t="n"/>
      <x:c r="F1221" s="8" t="n"/>
      <x:c r="G1221" s="7">
        <x:f>IF(A1221="","",IF(01_Parametres!$B$11="Oui",IF((01_Parametres!$B$4*(D1221&gt;0)+01_Parametres!$B$5*(E1221&gt;0)+01_Parametres!$B$6*(F1221&gt;0))=0,"",(01_Parametres!$B$4*IF(D1221&gt;0,D1221,0)+01_Parametres!$B$5*IF(E1221&gt;0,E1221,0)+01_Parametres!$B$6*IF(F1221&gt;0,F1221,0))/(01_Parametres!$B$4*(D1221&gt;0)+01_Parametres!$B$5*(E1221&gt;0)+01_Parametres!$B$6*(F1221&gt;0))),IF(01_Parametres!$B$8=0,"",(01_Parametres!$B$4*D1221+01_Parametres!$B$5*E1221+01_Parametres!$B$6*F1221)/01_Parametres!$B$8)))</x:f>
      </x:c>
      <x:c r="H1221">
        <x:f>IFERROR(VLOOKUP(C1221,02_Referentiels!$A$20:$D$99,3,FALSE),"")</x:f>
      </x:c>
      <x:c r="I1221">
        <x:f>IFERROR(VLOOKUP(B1221,02_Referentiels!$A$5:$C$16,2,FALSE),"")</x:f>
      </x:c>
      <x:c r="J1221">
        <x:f>IF(A1221="","",IF(OR(D1221="",E1221="",F1221=""),1,IF(OR(D1221&lt;0,D1221&gt;3,E1221&lt;0,E1221&gt;3,F1221&lt;0,F1221&gt;3),1,0)))</x:f>
      </x:c>
      <x:c r="K1221">
        <x:f>IF(A1221="","",IF(G1221="",1,0))</x:f>
      </x:c>
      <x:c r="L1221">
        <x:f>IF(A1221="","",IF(COUNTIFS($A$5:$A$2004,A1221,$C$5:$C$2004,C1221)&gt;1,1,0))</x:f>
      </x:c>
    </x:row>
    <x:row r="1222">
      <x:c r="A1222" s="8" t="n"/>
      <x:c r="B1222" s="8" t="n"/>
      <x:c r="C1222" s="8" t="n"/>
      <x:c r="D1222" s="8" t="n"/>
      <x:c r="E1222" s="8" t="n"/>
      <x:c r="F1222" s="8" t="n"/>
      <x:c r="G1222" s="7">
        <x:f>IF(A1222="","",IF(01_Parametres!$B$11="Oui",IF((01_Parametres!$B$4*(D1222&gt;0)+01_Parametres!$B$5*(E1222&gt;0)+01_Parametres!$B$6*(F1222&gt;0))=0,"",(01_Parametres!$B$4*IF(D1222&gt;0,D1222,0)+01_Parametres!$B$5*IF(E1222&gt;0,E1222,0)+01_Parametres!$B$6*IF(F1222&gt;0,F1222,0))/(01_Parametres!$B$4*(D1222&gt;0)+01_Parametres!$B$5*(E1222&gt;0)+01_Parametres!$B$6*(F1222&gt;0))),IF(01_Parametres!$B$8=0,"",(01_Parametres!$B$4*D1222+01_Parametres!$B$5*E1222+01_Parametres!$B$6*F1222)/01_Parametres!$B$8)))</x:f>
      </x:c>
      <x:c r="H1222">
        <x:f>IFERROR(VLOOKUP(C1222,02_Referentiels!$A$20:$D$99,3,FALSE),"")</x:f>
      </x:c>
      <x:c r="I1222">
        <x:f>IFERROR(VLOOKUP(B1222,02_Referentiels!$A$5:$C$16,2,FALSE),"")</x:f>
      </x:c>
      <x:c r="J1222">
        <x:f>IF(A1222="","",IF(OR(D1222="",E1222="",F1222=""),1,IF(OR(D1222&lt;0,D1222&gt;3,E1222&lt;0,E1222&gt;3,F1222&lt;0,F1222&gt;3),1,0)))</x:f>
      </x:c>
      <x:c r="K1222">
        <x:f>IF(A1222="","",IF(G1222="",1,0))</x:f>
      </x:c>
      <x:c r="L1222">
        <x:f>IF(A1222="","",IF(COUNTIFS($A$5:$A$2004,A1222,$C$5:$C$2004,C1222)&gt;1,1,0))</x:f>
      </x:c>
    </x:row>
    <x:row r="1223">
      <x:c r="A1223" s="8" t="n"/>
      <x:c r="B1223" s="8" t="n"/>
      <x:c r="C1223" s="8" t="n"/>
      <x:c r="D1223" s="8" t="n"/>
      <x:c r="E1223" s="8" t="n"/>
      <x:c r="F1223" s="8" t="n"/>
      <x:c r="G1223" s="7">
        <x:f>IF(A1223="","",IF(01_Parametres!$B$11="Oui",IF((01_Parametres!$B$4*(D1223&gt;0)+01_Parametres!$B$5*(E1223&gt;0)+01_Parametres!$B$6*(F1223&gt;0))=0,"",(01_Parametres!$B$4*IF(D1223&gt;0,D1223,0)+01_Parametres!$B$5*IF(E1223&gt;0,E1223,0)+01_Parametres!$B$6*IF(F1223&gt;0,F1223,0))/(01_Parametres!$B$4*(D1223&gt;0)+01_Parametres!$B$5*(E1223&gt;0)+01_Parametres!$B$6*(F1223&gt;0))),IF(01_Parametres!$B$8=0,"",(01_Parametres!$B$4*D1223+01_Parametres!$B$5*E1223+01_Parametres!$B$6*F1223)/01_Parametres!$B$8)))</x:f>
      </x:c>
      <x:c r="H1223">
        <x:f>IFERROR(VLOOKUP(C1223,02_Referentiels!$A$20:$D$99,3,FALSE),"")</x:f>
      </x:c>
      <x:c r="I1223">
        <x:f>IFERROR(VLOOKUP(B1223,02_Referentiels!$A$5:$C$16,2,FALSE),"")</x:f>
      </x:c>
      <x:c r="J1223">
        <x:f>IF(A1223="","",IF(OR(D1223="",E1223="",F1223=""),1,IF(OR(D1223&lt;0,D1223&gt;3,E1223&lt;0,E1223&gt;3,F1223&lt;0,F1223&gt;3),1,0)))</x:f>
      </x:c>
      <x:c r="K1223">
        <x:f>IF(A1223="","",IF(G1223="",1,0))</x:f>
      </x:c>
      <x:c r="L1223">
        <x:f>IF(A1223="","",IF(COUNTIFS($A$5:$A$2004,A1223,$C$5:$C$2004,C1223)&gt;1,1,0))</x:f>
      </x:c>
    </x:row>
    <x:row r="1224">
      <x:c r="A1224" s="8" t="n"/>
      <x:c r="B1224" s="8" t="n"/>
      <x:c r="C1224" s="8" t="n"/>
      <x:c r="D1224" s="8" t="n"/>
      <x:c r="E1224" s="8" t="n"/>
      <x:c r="F1224" s="8" t="n"/>
      <x:c r="G1224" s="7">
        <x:f>IF(A1224="","",IF(01_Parametres!$B$11="Oui",IF((01_Parametres!$B$4*(D1224&gt;0)+01_Parametres!$B$5*(E1224&gt;0)+01_Parametres!$B$6*(F1224&gt;0))=0,"",(01_Parametres!$B$4*IF(D1224&gt;0,D1224,0)+01_Parametres!$B$5*IF(E1224&gt;0,E1224,0)+01_Parametres!$B$6*IF(F1224&gt;0,F1224,0))/(01_Parametres!$B$4*(D1224&gt;0)+01_Parametres!$B$5*(E1224&gt;0)+01_Parametres!$B$6*(F1224&gt;0))),IF(01_Parametres!$B$8=0,"",(01_Parametres!$B$4*D1224+01_Parametres!$B$5*E1224+01_Parametres!$B$6*F1224)/01_Parametres!$B$8)))</x:f>
      </x:c>
      <x:c r="H1224">
        <x:f>IFERROR(VLOOKUP(C1224,02_Referentiels!$A$20:$D$99,3,FALSE),"")</x:f>
      </x:c>
      <x:c r="I1224">
        <x:f>IFERROR(VLOOKUP(B1224,02_Referentiels!$A$5:$C$16,2,FALSE),"")</x:f>
      </x:c>
      <x:c r="J1224">
        <x:f>IF(A1224="","",IF(OR(D1224="",E1224="",F1224=""),1,IF(OR(D1224&lt;0,D1224&gt;3,E1224&lt;0,E1224&gt;3,F1224&lt;0,F1224&gt;3),1,0)))</x:f>
      </x:c>
      <x:c r="K1224">
        <x:f>IF(A1224="","",IF(G1224="",1,0))</x:f>
      </x:c>
      <x:c r="L1224">
        <x:f>IF(A1224="","",IF(COUNTIFS($A$5:$A$2004,A1224,$C$5:$C$2004,C1224)&gt;1,1,0))</x:f>
      </x:c>
    </x:row>
    <x:row r="1225">
      <x:c r="A1225" s="8" t="n"/>
      <x:c r="B1225" s="8" t="n"/>
      <x:c r="C1225" s="8" t="n"/>
      <x:c r="D1225" s="8" t="n"/>
      <x:c r="E1225" s="8" t="n"/>
      <x:c r="F1225" s="8" t="n"/>
      <x:c r="G1225" s="7">
        <x:f>IF(A1225="","",IF(01_Parametres!$B$11="Oui",IF((01_Parametres!$B$4*(D1225&gt;0)+01_Parametres!$B$5*(E1225&gt;0)+01_Parametres!$B$6*(F1225&gt;0))=0,"",(01_Parametres!$B$4*IF(D1225&gt;0,D1225,0)+01_Parametres!$B$5*IF(E1225&gt;0,E1225,0)+01_Parametres!$B$6*IF(F1225&gt;0,F1225,0))/(01_Parametres!$B$4*(D1225&gt;0)+01_Parametres!$B$5*(E1225&gt;0)+01_Parametres!$B$6*(F1225&gt;0))),IF(01_Parametres!$B$8=0,"",(01_Parametres!$B$4*D1225+01_Parametres!$B$5*E1225+01_Parametres!$B$6*F1225)/01_Parametres!$B$8)))</x:f>
      </x:c>
      <x:c r="H1225">
        <x:f>IFERROR(VLOOKUP(C1225,02_Referentiels!$A$20:$D$99,3,FALSE),"")</x:f>
      </x:c>
      <x:c r="I1225">
        <x:f>IFERROR(VLOOKUP(B1225,02_Referentiels!$A$5:$C$16,2,FALSE),"")</x:f>
      </x:c>
      <x:c r="J1225">
        <x:f>IF(A1225="","",IF(OR(D1225="",E1225="",F1225=""),1,IF(OR(D1225&lt;0,D1225&gt;3,E1225&lt;0,E1225&gt;3,F1225&lt;0,F1225&gt;3),1,0)))</x:f>
      </x:c>
      <x:c r="K1225">
        <x:f>IF(A1225="","",IF(G1225="",1,0))</x:f>
      </x:c>
      <x:c r="L1225">
        <x:f>IF(A1225="","",IF(COUNTIFS($A$5:$A$2004,A1225,$C$5:$C$2004,C1225)&gt;1,1,0))</x:f>
      </x:c>
    </x:row>
    <x:row r="1226">
      <x:c r="A1226" s="8" t="n"/>
      <x:c r="B1226" s="8" t="n"/>
      <x:c r="C1226" s="8" t="n"/>
      <x:c r="D1226" s="8" t="n"/>
      <x:c r="E1226" s="8" t="n"/>
      <x:c r="F1226" s="8" t="n"/>
      <x:c r="G1226" s="7">
        <x:f>IF(A1226="","",IF(01_Parametres!$B$11="Oui",IF((01_Parametres!$B$4*(D1226&gt;0)+01_Parametres!$B$5*(E1226&gt;0)+01_Parametres!$B$6*(F1226&gt;0))=0,"",(01_Parametres!$B$4*IF(D1226&gt;0,D1226,0)+01_Parametres!$B$5*IF(E1226&gt;0,E1226,0)+01_Parametres!$B$6*IF(F1226&gt;0,F1226,0))/(01_Parametres!$B$4*(D1226&gt;0)+01_Parametres!$B$5*(E1226&gt;0)+01_Parametres!$B$6*(F1226&gt;0))),IF(01_Parametres!$B$8=0,"",(01_Parametres!$B$4*D1226+01_Parametres!$B$5*E1226+01_Parametres!$B$6*F1226)/01_Parametres!$B$8)))</x:f>
      </x:c>
      <x:c r="H1226">
        <x:f>IFERROR(VLOOKUP(C1226,02_Referentiels!$A$20:$D$99,3,FALSE),"")</x:f>
      </x:c>
      <x:c r="I1226">
        <x:f>IFERROR(VLOOKUP(B1226,02_Referentiels!$A$5:$C$16,2,FALSE),"")</x:f>
      </x:c>
      <x:c r="J1226">
        <x:f>IF(A1226="","",IF(OR(D1226="",E1226="",F1226=""),1,IF(OR(D1226&lt;0,D1226&gt;3,E1226&lt;0,E1226&gt;3,F1226&lt;0,F1226&gt;3),1,0)))</x:f>
      </x:c>
      <x:c r="K1226">
        <x:f>IF(A1226="","",IF(G1226="",1,0))</x:f>
      </x:c>
      <x:c r="L1226">
        <x:f>IF(A1226="","",IF(COUNTIFS($A$5:$A$2004,A1226,$C$5:$C$2004,C1226)&gt;1,1,0))</x:f>
      </x:c>
    </x:row>
    <x:row r="1227">
      <x:c r="A1227" s="8" t="n"/>
      <x:c r="B1227" s="8" t="n"/>
      <x:c r="C1227" s="8" t="n"/>
      <x:c r="D1227" s="8" t="n"/>
      <x:c r="E1227" s="8" t="n"/>
      <x:c r="F1227" s="8" t="n"/>
      <x:c r="G1227" s="7">
        <x:f>IF(A1227="","",IF(01_Parametres!$B$11="Oui",IF((01_Parametres!$B$4*(D1227&gt;0)+01_Parametres!$B$5*(E1227&gt;0)+01_Parametres!$B$6*(F1227&gt;0))=0,"",(01_Parametres!$B$4*IF(D1227&gt;0,D1227,0)+01_Parametres!$B$5*IF(E1227&gt;0,E1227,0)+01_Parametres!$B$6*IF(F1227&gt;0,F1227,0))/(01_Parametres!$B$4*(D1227&gt;0)+01_Parametres!$B$5*(E1227&gt;0)+01_Parametres!$B$6*(F1227&gt;0))),IF(01_Parametres!$B$8=0,"",(01_Parametres!$B$4*D1227+01_Parametres!$B$5*E1227+01_Parametres!$B$6*F1227)/01_Parametres!$B$8)))</x:f>
      </x:c>
      <x:c r="H1227">
        <x:f>IFERROR(VLOOKUP(C1227,02_Referentiels!$A$20:$D$99,3,FALSE),"")</x:f>
      </x:c>
      <x:c r="I1227">
        <x:f>IFERROR(VLOOKUP(B1227,02_Referentiels!$A$5:$C$16,2,FALSE),"")</x:f>
      </x:c>
      <x:c r="J1227">
        <x:f>IF(A1227="","",IF(OR(D1227="",E1227="",F1227=""),1,IF(OR(D1227&lt;0,D1227&gt;3,E1227&lt;0,E1227&gt;3,F1227&lt;0,F1227&gt;3),1,0)))</x:f>
      </x:c>
      <x:c r="K1227">
        <x:f>IF(A1227="","",IF(G1227="",1,0))</x:f>
      </x:c>
      <x:c r="L1227">
        <x:f>IF(A1227="","",IF(COUNTIFS($A$5:$A$2004,A1227,$C$5:$C$2004,C1227)&gt;1,1,0))</x:f>
      </x:c>
    </x:row>
    <x:row r="1228">
      <x:c r="A1228" s="8" t="n"/>
      <x:c r="B1228" s="8" t="n"/>
      <x:c r="C1228" s="8" t="n"/>
      <x:c r="D1228" s="8" t="n"/>
      <x:c r="E1228" s="8" t="n"/>
      <x:c r="F1228" s="8" t="n"/>
      <x:c r="G1228" s="7">
        <x:f>IF(A1228="","",IF(01_Parametres!$B$11="Oui",IF((01_Parametres!$B$4*(D1228&gt;0)+01_Parametres!$B$5*(E1228&gt;0)+01_Parametres!$B$6*(F1228&gt;0))=0,"",(01_Parametres!$B$4*IF(D1228&gt;0,D1228,0)+01_Parametres!$B$5*IF(E1228&gt;0,E1228,0)+01_Parametres!$B$6*IF(F1228&gt;0,F1228,0))/(01_Parametres!$B$4*(D1228&gt;0)+01_Parametres!$B$5*(E1228&gt;0)+01_Parametres!$B$6*(F1228&gt;0))),IF(01_Parametres!$B$8=0,"",(01_Parametres!$B$4*D1228+01_Parametres!$B$5*E1228+01_Parametres!$B$6*F1228)/01_Parametres!$B$8)))</x:f>
      </x:c>
      <x:c r="H1228">
        <x:f>IFERROR(VLOOKUP(C1228,02_Referentiels!$A$20:$D$99,3,FALSE),"")</x:f>
      </x:c>
      <x:c r="I1228">
        <x:f>IFERROR(VLOOKUP(B1228,02_Referentiels!$A$5:$C$16,2,FALSE),"")</x:f>
      </x:c>
      <x:c r="J1228">
        <x:f>IF(A1228="","",IF(OR(D1228="",E1228="",F1228=""),1,IF(OR(D1228&lt;0,D1228&gt;3,E1228&lt;0,E1228&gt;3,F1228&lt;0,F1228&gt;3),1,0)))</x:f>
      </x:c>
      <x:c r="K1228">
        <x:f>IF(A1228="","",IF(G1228="",1,0))</x:f>
      </x:c>
      <x:c r="L1228">
        <x:f>IF(A1228="","",IF(COUNTIFS($A$5:$A$2004,A1228,$C$5:$C$2004,C1228)&gt;1,1,0))</x:f>
      </x:c>
    </x:row>
    <x:row r="1229">
      <x:c r="A1229" s="8" t="n"/>
      <x:c r="B1229" s="8" t="n"/>
      <x:c r="C1229" s="8" t="n"/>
      <x:c r="D1229" s="8" t="n"/>
      <x:c r="E1229" s="8" t="n"/>
      <x:c r="F1229" s="8" t="n"/>
      <x:c r="G1229" s="7">
        <x:f>IF(A1229="","",IF(01_Parametres!$B$11="Oui",IF((01_Parametres!$B$4*(D1229&gt;0)+01_Parametres!$B$5*(E1229&gt;0)+01_Parametres!$B$6*(F1229&gt;0))=0,"",(01_Parametres!$B$4*IF(D1229&gt;0,D1229,0)+01_Parametres!$B$5*IF(E1229&gt;0,E1229,0)+01_Parametres!$B$6*IF(F1229&gt;0,F1229,0))/(01_Parametres!$B$4*(D1229&gt;0)+01_Parametres!$B$5*(E1229&gt;0)+01_Parametres!$B$6*(F1229&gt;0))),IF(01_Parametres!$B$8=0,"",(01_Parametres!$B$4*D1229+01_Parametres!$B$5*E1229+01_Parametres!$B$6*F1229)/01_Parametres!$B$8)))</x:f>
      </x:c>
      <x:c r="H1229">
        <x:f>IFERROR(VLOOKUP(C1229,02_Referentiels!$A$20:$D$99,3,FALSE),"")</x:f>
      </x:c>
      <x:c r="I1229">
        <x:f>IFERROR(VLOOKUP(B1229,02_Referentiels!$A$5:$C$16,2,FALSE),"")</x:f>
      </x:c>
      <x:c r="J1229">
        <x:f>IF(A1229="","",IF(OR(D1229="",E1229="",F1229=""),1,IF(OR(D1229&lt;0,D1229&gt;3,E1229&lt;0,E1229&gt;3,F1229&lt;0,F1229&gt;3),1,0)))</x:f>
      </x:c>
      <x:c r="K1229">
        <x:f>IF(A1229="","",IF(G1229="",1,0))</x:f>
      </x:c>
      <x:c r="L1229">
        <x:f>IF(A1229="","",IF(COUNTIFS($A$5:$A$2004,A1229,$C$5:$C$2004,C1229)&gt;1,1,0))</x:f>
      </x:c>
    </x:row>
    <x:row r="1230">
      <x:c r="A1230" s="8" t="n"/>
      <x:c r="B1230" s="8" t="n"/>
      <x:c r="C1230" s="8" t="n"/>
      <x:c r="D1230" s="8" t="n"/>
      <x:c r="E1230" s="8" t="n"/>
      <x:c r="F1230" s="8" t="n"/>
      <x:c r="G1230" s="7">
        <x:f>IF(A1230="","",IF(01_Parametres!$B$11="Oui",IF((01_Parametres!$B$4*(D1230&gt;0)+01_Parametres!$B$5*(E1230&gt;0)+01_Parametres!$B$6*(F1230&gt;0))=0,"",(01_Parametres!$B$4*IF(D1230&gt;0,D1230,0)+01_Parametres!$B$5*IF(E1230&gt;0,E1230,0)+01_Parametres!$B$6*IF(F1230&gt;0,F1230,0))/(01_Parametres!$B$4*(D1230&gt;0)+01_Parametres!$B$5*(E1230&gt;0)+01_Parametres!$B$6*(F1230&gt;0))),IF(01_Parametres!$B$8=0,"",(01_Parametres!$B$4*D1230+01_Parametres!$B$5*E1230+01_Parametres!$B$6*F1230)/01_Parametres!$B$8)))</x:f>
      </x:c>
      <x:c r="H1230">
        <x:f>IFERROR(VLOOKUP(C1230,02_Referentiels!$A$20:$D$99,3,FALSE),"")</x:f>
      </x:c>
      <x:c r="I1230">
        <x:f>IFERROR(VLOOKUP(B1230,02_Referentiels!$A$5:$C$16,2,FALSE),"")</x:f>
      </x:c>
      <x:c r="J1230">
        <x:f>IF(A1230="","",IF(OR(D1230="",E1230="",F1230=""),1,IF(OR(D1230&lt;0,D1230&gt;3,E1230&lt;0,E1230&gt;3,F1230&lt;0,F1230&gt;3),1,0)))</x:f>
      </x:c>
      <x:c r="K1230">
        <x:f>IF(A1230="","",IF(G1230="",1,0))</x:f>
      </x:c>
      <x:c r="L1230">
        <x:f>IF(A1230="","",IF(COUNTIFS($A$5:$A$2004,A1230,$C$5:$C$2004,C1230)&gt;1,1,0))</x:f>
      </x:c>
    </x:row>
    <x:row r="1231">
      <x:c r="A1231" s="8" t="n"/>
      <x:c r="B1231" s="8" t="n"/>
      <x:c r="C1231" s="8" t="n"/>
      <x:c r="D1231" s="8" t="n"/>
      <x:c r="E1231" s="8" t="n"/>
      <x:c r="F1231" s="8" t="n"/>
      <x:c r="G1231" s="7">
        <x:f>IF(A1231="","",IF(01_Parametres!$B$11="Oui",IF((01_Parametres!$B$4*(D1231&gt;0)+01_Parametres!$B$5*(E1231&gt;0)+01_Parametres!$B$6*(F1231&gt;0))=0,"",(01_Parametres!$B$4*IF(D1231&gt;0,D1231,0)+01_Parametres!$B$5*IF(E1231&gt;0,E1231,0)+01_Parametres!$B$6*IF(F1231&gt;0,F1231,0))/(01_Parametres!$B$4*(D1231&gt;0)+01_Parametres!$B$5*(E1231&gt;0)+01_Parametres!$B$6*(F1231&gt;0))),IF(01_Parametres!$B$8=0,"",(01_Parametres!$B$4*D1231+01_Parametres!$B$5*E1231+01_Parametres!$B$6*F1231)/01_Parametres!$B$8)))</x:f>
      </x:c>
      <x:c r="H1231">
        <x:f>IFERROR(VLOOKUP(C1231,02_Referentiels!$A$20:$D$99,3,FALSE),"")</x:f>
      </x:c>
      <x:c r="I1231">
        <x:f>IFERROR(VLOOKUP(B1231,02_Referentiels!$A$5:$C$16,2,FALSE),"")</x:f>
      </x:c>
      <x:c r="J1231">
        <x:f>IF(A1231="","",IF(OR(D1231="",E1231="",F1231=""),1,IF(OR(D1231&lt;0,D1231&gt;3,E1231&lt;0,E1231&gt;3,F1231&lt;0,F1231&gt;3),1,0)))</x:f>
      </x:c>
      <x:c r="K1231">
        <x:f>IF(A1231="","",IF(G1231="",1,0))</x:f>
      </x:c>
      <x:c r="L1231">
        <x:f>IF(A1231="","",IF(COUNTIFS($A$5:$A$2004,A1231,$C$5:$C$2004,C1231)&gt;1,1,0))</x:f>
      </x:c>
    </x:row>
    <x:row r="1232">
      <x:c r="A1232" s="8" t="n"/>
      <x:c r="B1232" s="8" t="n"/>
      <x:c r="C1232" s="8" t="n"/>
      <x:c r="D1232" s="8" t="n"/>
      <x:c r="E1232" s="8" t="n"/>
      <x:c r="F1232" s="8" t="n"/>
      <x:c r="G1232" s="7">
        <x:f>IF(A1232="","",IF(01_Parametres!$B$11="Oui",IF((01_Parametres!$B$4*(D1232&gt;0)+01_Parametres!$B$5*(E1232&gt;0)+01_Parametres!$B$6*(F1232&gt;0))=0,"",(01_Parametres!$B$4*IF(D1232&gt;0,D1232,0)+01_Parametres!$B$5*IF(E1232&gt;0,E1232,0)+01_Parametres!$B$6*IF(F1232&gt;0,F1232,0))/(01_Parametres!$B$4*(D1232&gt;0)+01_Parametres!$B$5*(E1232&gt;0)+01_Parametres!$B$6*(F1232&gt;0))),IF(01_Parametres!$B$8=0,"",(01_Parametres!$B$4*D1232+01_Parametres!$B$5*E1232+01_Parametres!$B$6*F1232)/01_Parametres!$B$8)))</x:f>
      </x:c>
      <x:c r="H1232">
        <x:f>IFERROR(VLOOKUP(C1232,02_Referentiels!$A$20:$D$99,3,FALSE),"")</x:f>
      </x:c>
      <x:c r="I1232">
        <x:f>IFERROR(VLOOKUP(B1232,02_Referentiels!$A$5:$C$16,2,FALSE),"")</x:f>
      </x:c>
      <x:c r="J1232">
        <x:f>IF(A1232="","",IF(OR(D1232="",E1232="",F1232=""),1,IF(OR(D1232&lt;0,D1232&gt;3,E1232&lt;0,E1232&gt;3,F1232&lt;0,F1232&gt;3),1,0)))</x:f>
      </x:c>
      <x:c r="K1232">
        <x:f>IF(A1232="","",IF(G1232="",1,0))</x:f>
      </x:c>
      <x:c r="L1232">
        <x:f>IF(A1232="","",IF(COUNTIFS($A$5:$A$2004,A1232,$C$5:$C$2004,C1232)&gt;1,1,0))</x:f>
      </x:c>
    </x:row>
    <x:row r="1233">
      <x:c r="A1233" s="8" t="n"/>
      <x:c r="B1233" s="8" t="n"/>
      <x:c r="C1233" s="8" t="n"/>
      <x:c r="D1233" s="8" t="n"/>
      <x:c r="E1233" s="8" t="n"/>
      <x:c r="F1233" s="8" t="n"/>
      <x:c r="G1233" s="7">
        <x:f>IF(A1233="","",IF(01_Parametres!$B$11="Oui",IF((01_Parametres!$B$4*(D1233&gt;0)+01_Parametres!$B$5*(E1233&gt;0)+01_Parametres!$B$6*(F1233&gt;0))=0,"",(01_Parametres!$B$4*IF(D1233&gt;0,D1233,0)+01_Parametres!$B$5*IF(E1233&gt;0,E1233,0)+01_Parametres!$B$6*IF(F1233&gt;0,F1233,0))/(01_Parametres!$B$4*(D1233&gt;0)+01_Parametres!$B$5*(E1233&gt;0)+01_Parametres!$B$6*(F1233&gt;0))),IF(01_Parametres!$B$8=0,"",(01_Parametres!$B$4*D1233+01_Parametres!$B$5*E1233+01_Parametres!$B$6*F1233)/01_Parametres!$B$8)))</x:f>
      </x:c>
      <x:c r="H1233">
        <x:f>IFERROR(VLOOKUP(C1233,02_Referentiels!$A$20:$D$99,3,FALSE),"")</x:f>
      </x:c>
      <x:c r="I1233">
        <x:f>IFERROR(VLOOKUP(B1233,02_Referentiels!$A$5:$C$16,2,FALSE),"")</x:f>
      </x:c>
      <x:c r="J1233">
        <x:f>IF(A1233="","",IF(OR(D1233="",E1233="",F1233=""),1,IF(OR(D1233&lt;0,D1233&gt;3,E1233&lt;0,E1233&gt;3,F1233&lt;0,F1233&gt;3),1,0)))</x:f>
      </x:c>
      <x:c r="K1233">
        <x:f>IF(A1233="","",IF(G1233="",1,0))</x:f>
      </x:c>
      <x:c r="L1233">
        <x:f>IF(A1233="","",IF(COUNTIFS($A$5:$A$2004,A1233,$C$5:$C$2004,C1233)&gt;1,1,0))</x:f>
      </x:c>
    </x:row>
    <x:row r="1234">
      <x:c r="A1234" s="8" t="n"/>
      <x:c r="B1234" s="8" t="n"/>
      <x:c r="C1234" s="8" t="n"/>
      <x:c r="D1234" s="8" t="n"/>
      <x:c r="E1234" s="8" t="n"/>
      <x:c r="F1234" s="8" t="n"/>
      <x:c r="G1234" s="7">
        <x:f>IF(A1234="","",IF(01_Parametres!$B$11="Oui",IF((01_Parametres!$B$4*(D1234&gt;0)+01_Parametres!$B$5*(E1234&gt;0)+01_Parametres!$B$6*(F1234&gt;0))=0,"",(01_Parametres!$B$4*IF(D1234&gt;0,D1234,0)+01_Parametres!$B$5*IF(E1234&gt;0,E1234,0)+01_Parametres!$B$6*IF(F1234&gt;0,F1234,0))/(01_Parametres!$B$4*(D1234&gt;0)+01_Parametres!$B$5*(E1234&gt;0)+01_Parametres!$B$6*(F1234&gt;0))),IF(01_Parametres!$B$8=0,"",(01_Parametres!$B$4*D1234+01_Parametres!$B$5*E1234+01_Parametres!$B$6*F1234)/01_Parametres!$B$8)))</x:f>
      </x:c>
      <x:c r="H1234">
        <x:f>IFERROR(VLOOKUP(C1234,02_Referentiels!$A$20:$D$99,3,FALSE),"")</x:f>
      </x:c>
      <x:c r="I1234">
        <x:f>IFERROR(VLOOKUP(B1234,02_Referentiels!$A$5:$C$16,2,FALSE),"")</x:f>
      </x:c>
      <x:c r="J1234">
        <x:f>IF(A1234="","",IF(OR(D1234="",E1234="",F1234=""),1,IF(OR(D1234&lt;0,D1234&gt;3,E1234&lt;0,E1234&gt;3,F1234&lt;0,F1234&gt;3),1,0)))</x:f>
      </x:c>
      <x:c r="K1234">
        <x:f>IF(A1234="","",IF(G1234="",1,0))</x:f>
      </x:c>
      <x:c r="L1234">
        <x:f>IF(A1234="","",IF(COUNTIFS($A$5:$A$2004,A1234,$C$5:$C$2004,C1234)&gt;1,1,0))</x:f>
      </x:c>
    </x:row>
    <x:row r="1235">
      <x:c r="A1235" s="8" t="n"/>
      <x:c r="B1235" s="8" t="n"/>
      <x:c r="C1235" s="8" t="n"/>
      <x:c r="D1235" s="8" t="n"/>
      <x:c r="E1235" s="8" t="n"/>
      <x:c r="F1235" s="8" t="n"/>
      <x:c r="G1235" s="7">
        <x:f>IF(A1235="","",IF(01_Parametres!$B$11="Oui",IF((01_Parametres!$B$4*(D1235&gt;0)+01_Parametres!$B$5*(E1235&gt;0)+01_Parametres!$B$6*(F1235&gt;0))=0,"",(01_Parametres!$B$4*IF(D1235&gt;0,D1235,0)+01_Parametres!$B$5*IF(E1235&gt;0,E1235,0)+01_Parametres!$B$6*IF(F1235&gt;0,F1235,0))/(01_Parametres!$B$4*(D1235&gt;0)+01_Parametres!$B$5*(E1235&gt;0)+01_Parametres!$B$6*(F1235&gt;0))),IF(01_Parametres!$B$8=0,"",(01_Parametres!$B$4*D1235+01_Parametres!$B$5*E1235+01_Parametres!$B$6*F1235)/01_Parametres!$B$8)))</x:f>
      </x:c>
      <x:c r="H1235">
        <x:f>IFERROR(VLOOKUP(C1235,02_Referentiels!$A$20:$D$99,3,FALSE),"")</x:f>
      </x:c>
      <x:c r="I1235">
        <x:f>IFERROR(VLOOKUP(B1235,02_Referentiels!$A$5:$C$16,2,FALSE),"")</x:f>
      </x:c>
      <x:c r="J1235">
        <x:f>IF(A1235="","",IF(OR(D1235="",E1235="",F1235=""),1,IF(OR(D1235&lt;0,D1235&gt;3,E1235&lt;0,E1235&gt;3,F1235&lt;0,F1235&gt;3),1,0)))</x:f>
      </x:c>
      <x:c r="K1235">
        <x:f>IF(A1235="","",IF(G1235="",1,0))</x:f>
      </x:c>
      <x:c r="L1235">
        <x:f>IF(A1235="","",IF(COUNTIFS($A$5:$A$2004,A1235,$C$5:$C$2004,C1235)&gt;1,1,0))</x:f>
      </x:c>
    </x:row>
    <x:row r="1236">
      <x:c r="A1236" s="8" t="n"/>
      <x:c r="B1236" s="8" t="n"/>
      <x:c r="C1236" s="8" t="n"/>
      <x:c r="D1236" s="8" t="n"/>
      <x:c r="E1236" s="8" t="n"/>
      <x:c r="F1236" s="8" t="n"/>
      <x:c r="G1236" s="7">
        <x:f>IF(A1236="","",IF(01_Parametres!$B$11="Oui",IF((01_Parametres!$B$4*(D1236&gt;0)+01_Parametres!$B$5*(E1236&gt;0)+01_Parametres!$B$6*(F1236&gt;0))=0,"",(01_Parametres!$B$4*IF(D1236&gt;0,D1236,0)+01_Parametres!$B$5*IF(E1236&gt;0,E1236,0)+01_Parametres!$B$6*IF(F1236&gt;0,F1236,0))/(01_Parametres!$B$4*(D1236&gt;0)+01_Parametres!$B$5*(E1236&gt;0)+01_Parametres!$B$6*(F1236&gt;0))),IF(01_Parametres!$B$8=0,"",(01_Parametres!$B$4*D1236+01_Parametres!$B$5*E1236+01_Parametres!$B$6*F1236)/01_Parametres!$B$8)))</x:f>
      </x:c>
      <x:c r="H1236">
        <x:f>IFERROR(VLOOKUP(C1236,02_Referentiels!$A$20:$D$99,3,FALSE),"")</x:f>
      </x:c>
      <x:c r="I1236">
        <x:f>IFERROR(VLOOKUP(B1236,02_Referentiels!$A$5:$C$16,2,FALSE),"")</x:f>
      </x:c>
      <x:c r="J1236">
        <x:f>IF(A1236="","",IF(OR(D1236="",E1236="",F1236=""),1,IF(OR(D1236&lt;0,D1236&gt;3,E1236&lt;0,E1236&gt;3,F1236&lt;0,F1236&gt;3),1,0)))</x:f>
      </x:c>
      <x:c r="K1236">
        <x:f>IF(A1236="","",IF(G1236="",1,0))</x:f>
      </x:c>
      <x:c r="L1236">
        <x:f>IF(A1236="","",IF(COUNTIFS($A$5:$A$2004,A1236,$C$5:$C$2004,C1236)&gt;1,1,0))</x:f>
      </x:c>
    </x:row>
    <x:row r="1237">
      <x:c r="A1237" s="8" t="n"/>
      <x:c r="B1237" s="8" t="n"/>
      <x:c r="C1237" s="8" t="n"/>
      <x:c r="D1237" s="8" t="n"/>
      <x:c r="E1237" s="8" t="n"/>
      <x:c r="F1237" s="8" t="n"/>
      <x:c r="G1237" s="7">
        <x:f>IF(A1237="","",IF(01_Parametres!$B$11="Oui",IF((01_Parametres!$B$4*(D1237&gt;0)+01_Parametres!$B$5*(E1237&gt;0)+01_Parametres!$B$6*(F1237&gt;0))=0,"",(01_Parametres!$B$4*IF(D1237&gt;0,D1237,0)+01_Parametres!$B$5*IF(E1237&gt;0,E1237,0)+01_Parametres!$B$6*IF(F1237&gt;0,F1237,0))/(01_Parametres!$B$4*(D1237&gt;0)+01_Parametres!$B$5*(E1237&gt;0)+01_Parametres!$B$6*(F1237&gt;0))),IF(01_Parametres!$B$8=0,"",(01_Parametres!$B$4*D1237+01_Parametres!$B$5*E1237+01_Parametres!$B$6*F1237)/01_Parametres!$B$8)))</x:f>
      </x:c>
      <x:c r="H1237">
        <x:f>IFERROR(VLOOKUP(C1237,02_Referentiels!$A$20:$D$99,3,FALSE),"")</x:f>
      </x:c>
      <x:c r="I1237">
        <x:f>IFERROR(VLOOKUP(B1237,02_Referentiels!$A$5:$C$16,2,FALSE),"")</x:f>
      </x:c>
      <x:c r="J1237">
        <x:f>IF(A1237="","",IF(OR(D1237="",E1237="",F1237=""),1,IF(OR(D1237&lt;0,D1237&gt;3,E1237&lt;0,E1237&gt;3,F1237&lt;0,F1237&gt;3),1,0)))</x:f>
      </x:c>
      <x:c r="K1237">
        <x:f>IF(A1237="","",IF(G1237="",1,0))</x:f>
      </x:c>
      <x:c r="L1237">
        <x:f>IF(A1237="","",IF(COUNTIFS($A$5:$A$2004,A1237,$C$5:$C$2004,C1237)&gt;1,1,0))</x:f>
      </x:c>
    </x:row>
    <x:row r="1238">
      <x:c r="A1238" s="8" t="n"/>
      <x:c r="B1238" s="8" t="n"/>
      <x:c r="C1238" s="8" t="n"/>
      <x:c r="D1238" s="8" t="n"/>
      <x:c r="E1238" s="8" t="n"/>
      <x:c r="F1238" s="8" t="n"/>
      <x:c r="G1238" s="7">
        <x:f>IF(A1238="","",IF(01_Parametres!$B$11="Oui",IF((01_Parametres!$B$4*(D1238&gt;0)+01_Parametres!$B$5*(E1238&gt;0)+01_Parametres!$B$6*(F1238&gt;0))=0,"",(01_Parametres!$B$4*IF(D1238&gt;0,D1238,0)+01_Parametres!$B$5*IF(E1238&gt;0,E1238,0)+01_Parametres!$B$6*IF(F1238&gt;0,F1238,0))/(01_Parametres!$B$4*(D1238&gt;0)+01_Parametres!$B$5*(E1238&gt;0)+01_Parametres!$B$6*(F1238&gt;0))),IF(01_Parametres!$B$8=0,"",(01_Parametres!$B$4*D1238+01_Parametres!$B$5*E1238+01_Parametres!$B$6*F1238)/01_Parametres!$B$8)))</x:f>
      </x:c>
      <x:c r="H1238">
        <x:f>IFERROR(VLOOKUP(C1238,02_Referentiels!$A$20:$D$99,3,FALSE),"")</x:f>
      </x:c>
      <x:c r="I1238">
        <x:f>IFERROR(VLOOKUP(B1238,02_Referentiels!$A$5:$C$16,2,FALSE),"")</x:f>
      </x:c>
      <x:c r="J1238">
        <x:f>IF(A1238="","",IF(OR(D1238="",E1238="",F1238=""),1,IF(OR(D1238&lt;0,D1238&gt;3,E1238&lt;0,E1238&gt;3,F1238&lt;0,F1238&gt;3),1,0)))</x:f>
      </x:c>
      <x:c r="K1238">
        <x:f>IF(A1238="","",IF(G1238="",1,0))</x:f>
      </x:c>
      <x:c r="L1238">
        <x:f>IF(A1238="","",IF(COUNTIFS($A$5:$A$2004,A1238,$C$5:$C$2004,C1238)&gt;1,1,0))</x:f>
      </x:c>
    </x:row>
    <x:row r="1239">
      <x:c r="A1239" s="8" t="n"/>
      <x:c r="B1239" s="8" t="n"/>
      <x:c r="C1239" s="8" t="n"/>
      <x:c r="D1239" s="8" t="n"/>
      <x:c r="E1239" s="8" t="n"/>
      <x:c r="F1239" s="8" t="n"/>
      <x:c r="G1239" s="7">
        <x:f>IF(A1239="","",IF(01_Parametres!$B$11="Oui",IF((01_Parametres!$B$4*(D1239&gt;0)+01_Parametres!$B$5*(E1239&gt;0)+01_Parametres!$B$6*(F1239&gt;0))=0,"",(01_Parametres!$B$4*IF(D1239&gt;0,D1239,0)+01_Parametres!$B$5*IF(E1239&gt;0,E1239,0)+01_Parametres!$B$6*IF(F1239&gt;0,F1239,0))/(01_Parametres!$B$4*(D1239&gt;0)+01_Parametres!$B$5*(E1239&gt;0)+01_Parametres!$B$6*(F1239&gt;0))),IF(01_Parametres!$B$8=0,"",(01_Parametres!$B$4*D1239+01_Parametres!$B$5*E1239+01_Parametres!$B$6*F1239)/01_Parametres!$B$8)))</x:f>
      </x:c>
      <x:c r="H1239">
        <x:f>IFERROR(VLOOKUP(C1239,02_Referentiels!$A$20:$D$99,3,FALSE),"")</x:f>
      </x:c>
      <x:c r="I1239">
        <x:f>IFERROR(VLOOKUP(B1239,02_Referentiels!$A$5:$C$16,2,FALSE),"")</x:f>
      </x:c>
      <x:c r="J1239">
        <x:f>IF(A1239="","",IF(OR(D1239="",E1239="",F1239=""),1,IF(OR(D1239&lt;0,D1239&gt;3,E1239&lt;0,E1239&gt;3,F1239&lt;0,F1239&gt;3),1,0)))</x:f>
      </x:c>
      <x:c r="K1239">
        <x:f>IF(A1239="","",IF(G1239="",1,0))</x:f>
      </x:c>
      <x:c r="L1239">
        <x:f>IF(A1239="","",IF(COUNTIFS($A$5:$A$2004,A1239,$C$5:$C$2004,C1239)&gt;1,1,0))</x:f>
      </x:c>
    </x:row>
    <x:row r="1240">
      <x:c r="A1240" s="8" t="n"/>
      <x:c r="B1240" s="8" t="n"/>
      <x:c r="C1240" s="8" t="n"/>
      <x:c r="D1240" s="8" t="n"/>
      <x:c r="E1240" s="8" t="n"/>
      <x:c r="F1240" s="8" t="n"/>
      <x:c r="G1240" s="7">
        <x:f>IF(A1240="","",IF(01_Parametres!$B$11="Oui",IF((01_Parametres!$B$4*(D1240&gt;0)+01_Parametres!$B$5*(E1240&gt;0)+01_Parametres!$B$6*(F1240&gt;0))=0,"",(01_Parametres!$B$4*IF(D1240&gt;0,D1240,0)+01_Parametres!$B$5*IF(E1240&gt;0,E1240,0)+01_Parametres!$B$6*IF(F1240&gt;0,F1240,0))/(01_Parametres!$B$4*(D1240&gt;0)+01_Parametres!$B$5*(E1240&gt;0)+01_Parametres!$B$6*(F1240&gt;0))),IF(01_Parametres!$B$8=0,"",(01_Parametres!$B$4*D1240+01_Parametres!$B$5*E1240+01_Parametres!$B$6*F1240)/01_Parametres!$B$8)))</x:f>
      </x:c>
      <x:c r="H1240">
        <x:f>IFERROR(VLOOKUP(C1240,02_Referentiels!$A$20:$D$99,3,FALSE),"")</x:f>
      </x:c>
      <x:c r="I1240">
        <x:f>IFERROR(VLOOKUP(B1240,02_Referentiels!$A$5:$C$16,2,FALSE),"")</x:f>
      </x:c>
      <x:c r="J1240">
        <x:f>IF(A1240="","",IF(OR(D1240="",E1240="",F1240=""),1,IF(OR(D1240&lt;0,D1240&gt;3,E1240&lt;0,E1240&gt;3,F1240&lt;0,F1240&gt;3),1,0)))</x:f>
      </x:c>
      <x:c r="K1240">
        <x:f>IF(A1240="","",IF(G1240="",1,0))</x:f>
      </x:c>
      <x:c r="L1240">
        <x:f>IF(A1240="","",IF(COUNTIFS($A$5:$A$2004,A1240,$C$5:$C$2004,C1240)&gt;1,1,0))</x:f>
      </x:c>
    </x:row>
    <x:row r="1241">
      <x:c r="A1241" s="8" t="n"/>
      <x:c r="B1241" s="8" t="n"/>
      <x:c r="C1241" s="8" t="n"/>
      <x:c r="D1241" s="8" t="n"/>
      <x:c r="E1241" s="8" t="n"/>
      <x:c r="F1241" s="8" t="n"/>
      <x:c r="G1241" s="7">
        <x:f>IF(A1241="","",IF(01_Parametres!$B$11="Oui",IF((01_Parametres!$B$4*(D1241&gt;0)+01_Parametres!$B$5*(E1241&gt;0)+01_Parametres!$B$6*(F1241&gt;0))=0,"",(01_Parametres!$B$4*IF(D1241&gt;0,D1241,0)+01_Parametres!$B$5*IF(E1241&gt;0,E1241,0)+01_Parametres!$B$6*IF(F1241&gt;0,F1241,0))/(01_Parametres!$B$4*(D1241&gt;0)+01_Parametres!$B$5*(E1241&gt;0)+01_Parametres!$B$6*(F1241&gt;0))),IF(01_Parametres!$B$8=0,"",(01_Parametres!$B$4*D1241+01_Parametres!$B$5*E1241+01_Parametres!$B$6*F1241)/01_Parametres!$B$8)))</x:f>
      </x:c>
      <x:c r="H1241">
        <x:f>IFERROR(VLOOKUP(C1241,02_Referentiels!$A$20:$D$99,3,FALSE),"")</x:f>
      </x:c>
      <x:c r="I1241">
        <x:f>IFERROR(VLOOKUP(B1241,02_Referentiels!$A$5:$C$16,2,FALSE),"")</x:f>
      </x:c>
      <x:c r="J1241">
        <x:f>IF(A1241="","",IF(OR(D1241="",E1241="",F1241=""),1,IF(OR(D1241&lt;0,D1241&gt;3,E1241&lt;0,E1241&gt;3,F1241&lt;0,F1241&gt;3),1,0)))</x:f>
      </x:c>
      <x:c r="K1241">
        <x:f>IF(A1241="","",IF(G1241="",1,0))</x:f>
      </x:c>
      <x:c r="L1241">
        <x:f>IF(A1241="","",IF(COUNTIFS($A$5:$A$2004,A1241,$C$5:$C$2004,C1241)&gt;1,1,0))</x:f>
      </x:c>
    </x:row>
    <x:row r="1242">
      <x:c r="A1242" s="8" t="n"/>
      <x:c r="B1242" s="8" t="n"/>
      <x:c r="C1242" s="8" t="n"/>
      <x:c r="D1242" s="8" t="n"/>
      <x:c r="E1242" s="8" t="n"/>
      <x:c r="F1242" s="8" t="n"/>
      <x:c r="G1242" s="7">
        <x:f>IF(A1242="","",IF(01_Parametres!$B$11="Oui",IF((01_Parametres!$B$4*(D1242&gt;0)+01_Parametres!$B$5*(E1242&gt;0)+01_Parametres!$B$6*(F1242&gt;0))=0,"",(01_Parametres!$B$4*IF(D1242&gt;0,D1242,0)+01_Parametres!$B$5*IF(E1242&gt;0,E1242,0)+01_Parametres!$B$6*IF(F1242&gt;0,F1242,0))/(01_Parametres!$B$4*(D1242&gt;0)+01_Parametres!$B$5*(E1242&gt;0)+01_Parametres!$B$6*(F1242&gt;0))),IF(01_Parametres!$B$8=0,"",(01_Parametres!$B$4*D1242+01_Parametres!$B$5*E1242+01_Parametres!$B$6*F1242)/01_Parametres!$B$8)))</x:f>
      </x:c>
      <x:c r="H1242">
        <x:f>IFERROR(VLOOKUP(C1242,02_Referentiels!$A$20:$D$99,3,FALSE),"")</x:f>
      </x:c>
      <x:c r="I1242">
        <x:f>IFERROR(VLOOKUP(B1242,02_Referentiels!$A$5:$C$16,2,FALSE),"")</x:f>
      </x:c>
      <x:c r="J1242">
        <x:f>IF(A1242="","",IF(OR(D1242="",E1242="",F1242=""),1,IF(OR(D1242&lt;0,D1242&gt;3,E1242&lt;0,E1242&gt;3,F1242&lt;0,F1242&gt;3),1,0)))</x:f>
      </x:c>
      <x:c r="K1242">
        <x:f>IF(A1242="","",IF(G1242="",1,0))</x:f>
      </x:c>
      <x:c r="L1242">
        <x:f>IF(A1242="","",IF(COUNTIFS($A$5:$A$2004,A1242,$C$5:$C$2004,C1242)&gt;1,1,0))</x:f>
      </x:c>
    </x:row>
    <x:row r="1243">
      <x:c r="A1243" s="8" t="n"/>
      <x:c r="B1243" s="8" t="n"/>
      <x:c r="C1243" s="8" t="n"/>
      <x:c r="D1243" s="8" t="n"/>
      <x:c r="E1243" s="8" t="n"/>
      <x:c r="F1243" s="8" t="n"/>
      <x:c r="G1243" s="7">
        <x:f>IF(A1243="","",IF(01_Parametres!$B$11="Oui",IF((01_Parametres!$B$4*(D1243&gt;0)+01_Parametres!$B$5*(E1243&gt;0)+01_Parametres!$B$6*(F1243&gt;0))=0,"",(01_Parametres!$B$4*IF(D1243&gt;0,D1243,0)+01_Parametres!$B$5*IF(E1243&gt;0,E1243,0)+01_Parametres!$B$6*IF(F1243&gt;0,F1243,0))/(01_Parametres!$B$4*(D1243&gt;0)+01_Parametres!$B$5*(E1243&gt;0)+01_Parametres!$B$6*(F1243&gt;0))),IF(01_Parametres!$B$8=0,"",(01_Parametres!$B$4*D1243+01_Parametres!$B$5*E1243+01_Parametres!$B$6*F1243)/01_Parametres!$B$8)))</x:f>
      </x:c>
      <x:c r="H1243">
        <x:f>IFERROR(VLOOKUP(C1243,02_Referentiels!$A$20:$D$99,3,FALSE),"")</x:f>
      </x:c>
      <x:c r="I1243">
        <x:f>IFERROR(VLOOKUP(B1243,02_Referentiels!$A$5:$C$16,2,FALSE),"")</x:f>
      </x:c>
      <x:c r="J1243">
        <x:f>IF(A1243="","",IF(OR(D1243="",E1243="",F1243=""),1,IF(OR(D1243&lt;0,D1243&gt;3,E1243&lt;0,E1243&gt;3,F1243&lt;0,F1243&gt;3),1,0)))</x:f>
      </x:c>
      <x:c r="K1243">
        <x:f>IF(A1243="","",IF(G1243="",1,0))</x:f>
      </x:c>
      <x:c r="L1243">
        <x:f>IF(A1243="","",IF(COUNTIFS($A$5:$A$2004,A1243,$C$5:$C$2004,C1243)&gt;1,1,0))</x:f>
      </x:c>
    </x:row>
    <x:row r="1244">
      <x:c r="A1244" s="8" t="n"/>
      <x:c r="B1244" s="8" t="n"/>
      <x:c r="C1244" s="8" t="n"/>
      <x:c r="D1244" s="8" t="n"/>
      <x:c r="E1244" s="8" t="n"/>
      <x:c r="F1244" s="8" t="n"/>
      <x:c r="G1244" s="7">
        <x:f>IF(A1244="","",IF(01_Parametres!$B$11="Oui",IF((01_Parametres!$B$4*(D1244&gt;0)+01_Parametres!$B$5*(E1244&gt;0)+01_Parametres!$B$6*(F1244&gt;0))=0,"",(01_Parametres!$B$4*IF(D1244&gt;0,D1244,0)+01_Parametres!$B$5*IF(E1244&gt;0,E1244,0)+01_Parametres!$B$6*IF(F1244&gt;0,F1244,0))/(01_Parametres!$B$4*(D1244&gt;0)+01_Parametres!$B$5*(E1244&gt;0)+01_Parametres!$B$6*(F1244&gt;0))),IF(01_Parametres!$B$8=0,"",(01_Parametres!$B$4*D1244+01_Parametres!$B$5*E1244+01_Parametres!$B$6*F1244)/01_Parametres!$B$8)))</x:f>
      </x:c>
      <x:c r="H1244">
        <x:f>IFERROR(VLOOKUP(C1244,02_Referentiels!$A$20:$D$99,3,FALSE),"")</x:f>
      </x:c>
      <x:c r="I1244">
        <x:f>IFERROR(VLOOKUP(B1244,02_Referentiels!$A$5:$C$16,2,FALSE),"")</x:f>
      </x:c>
      <x:c r="J1244">
        <x:f>IF(A1244="","",IF(OR(D1244="",E1244="",F1244=""),1,IF(OR(D1244&lt;0,D1244&gt;3,E1244&lt;0,E1244&gt;3,F1244&lt;0,F1244&gt;3),1,0)))</x:f>
      </x:c>
      <x:c r="K1244">
        <x:f>IF(A1244="","",IF(G1244="",1,0))</x:f>
      </x:c>
      <x:c r="L1244">
        <x:f>IF(A1244="","",IF(COUNTIFS($A$5:$A$2004,A1244,$C$5:$C$2004,C1244)&gt;1,1,0))</x:f>
      </x:c>
    </x:row>
    <x:row r="1245">
      <x:c r="A1245" s="8" t="n"/>
      <x:c r="B1245" s="8" t="n"/>
      <x:c r="C1245" s="8" t="n"/>
      <x:c r="D1245" s="8" t="n"/>
      <x:c r="E1245" s="8" t="n"/>
      <x:c r="F1245" s="8" t="n"/>
      <x:c r="G1245" s="7">
        <x:f>IF(A1245="","",IF(01_Parametres!$B$11="Oui",IF((01_Parametres!$B$4*(D1245&gt;0)+01_Parametres!$B$5*(E1245&gt;0)+01_Parametres!$B$6*(F1245&gt;0))=0,"",(01_Parametres!$B$4*IF(D1245&gt;0,D1245,0)+01_Parametres!$B$5*IF(E1245&gt;0,E1245,0)+01_Parametres!$B$6*IF(F1245&gt;0,F1245,0))/(01_Parametres!$B$4*(D1245&gt;0)+01_Parametres!$B$5*(E1245&gt;0)+01_Parametres!$B$6*(F1245&gt;0))),IF(01_Parametres!$B$8=0,"",(01_Parametres!$B$4*D1245+01_Parametres!$B$5*E1245+01_Parametres!$B$6*F1245)/01_Parametres!$B$8)))</x:f>
      </x:c>
      <x:c r="H1245">
        <x:f>IFERROR(VLOOKUP(C1245,02_Referentiels!$A$20:$D$99,3,FALSE),"")</x:f>
      </x:c>
      <x:c r="I1245">
        <x:f>IFERROR(VLOOKUP(B1245,02_Referentiels!$A$5:$C$16,2,FALSE),"")</x:f>
      </x:c>
      <x:c r="J1245">
        <x:f>IF(A1245="","",IF(OR(D1245="",E1245="",F1245=""),1,IF(OR(D1245&lt;0,D1245&gt;3,E1245&lt;0,E1245&gt;3,F1245&lt;0,F1245&gt;3),1,0)))</x:f>
      </x:c>
      <x:c r="K1245">
        <x:f>IF(A1245="","",IF(G1245="",1,0))</x:f>
      </x:c>
      <x:c r="L1245">
        <x:f>IF(A1245="","",IF(COUNTIFS($A$5:$A$2004,A1245,$C$5:$C$2004,C1245)&gt;1,1,0))</x:f>
      </x:c>
    </x:row>
    <x:row r="1246">
      <x:c r="A1246" s="8" t="n"/>
      <x:c r="B1246" s="8" t="n"/>
      <x:c r="C1246" s="8" t="n"/>
      <x:c r="D1246" s="8" t="n"/>
      <x:c r="E1246" s="8" t="n"/>
      <x:c r="F1246" s="8" t="n"/>
      <x:c r="G1246" s="7">
        <x:f>IF(A1246="","",IF(01_Parametres!$B$11="Oui",IF((01_Parametres!$B$4*(D1246&gt;0)+01_Parametres!$B$5*(E1246&gt;0)+01_Parametres!$B$6*(F1246&gt;0))=0,"",(01_Parametres!$B$4*IF(D1246&gt;0,D1246,0)+01_Parametres!$B$5*IF(E1246&gt;0,E1246,0)+01_Parametres!$B$6*IF(F1246&gt;0,F1246,0))/(01_Parametres!$B$4*(D1246&gt;0)+01_Parametres!$B$5*(E1246&gt;0)+01_Parametres!$B$6*(F1246&gt;0))),IF(01_Parametres!$B$8=0,"",(01_Parametres!$B$4*D1246+01_Parametres!$B$5*E1246+01_Parametres!$B$6*F1246)/01_Parametres!$B$8)))</x:f>
      </x:c>
      <x:c r="H1246">
        <x:f>IFERROR(VLOOKUP(C1246,02_Referentiels!$A$20:$D$99,3,FALSE),"")</x:f>
      </x:c>
      <x:c r="I1246">
        <x:f>IFERROR(VLOOKUP(B1246,02_Referentiels!$A$5:$C$16,2,FALSE),"")</x:f>
      </x:c>
      <x:c r="J1246">
        <x:f>IF(A1246="","",IF(OR(D1246="",E1246="",F1246=""),1,IF(OR(D1246&lt;0,D1246&gt;3,E1246&lt;0,E1246&gt;3,F1246&lt;0,F1246&gt;3),1,0)))</x:f>
      </x:c>
      <x:c r="K1246">
        <x:f>IF(A1246="","",IF(G1246="",1,0))</x:f>
      </x:c>
      <x:c r="L1246">
        <x:f>IF(A1246="","",IF(COUNTIFS($A$5:$A$2004,A1246,$C$5:$C$2004,C1246)&gt;1,1,0))</x:f>
      </x:c>
    </x:row>
    <x:row r="1247">
      <x:c r="A1247" s="8" t="n"/>
      <x:c r="B1247" s="8" t="n"/>
      <x:c r="C1247" s="8" t="n"/>
      <x:c r="D1247" s="8" t="n"/>
      <x:c r="E1247" s="8" t="n"/>
      <x:c r="F1247" s="8" t="n"/>
      <x:c r="G1247" s="7">
        <x:f>IF(A1247="","",IF(01_Parametres!$B$11="Oui",IF((01_Parametres!$B$4*(D1247&gt;0)+01_Parametres!$B$5*(E1247&gt;0)+01_Parametres!$B$6*(F1247&gt;0))=0,"",(01_Parametres!$B$4*IF(D1247&gt;0,D1247,0)+01_Parametres!$B$5*IF(E1247&gt;0,E1247,0)+01_Parametres!$B$6*IF(F1247&gt;0,F1247,0))/(01_Parametres!$B$4*(D1247&gt;0)+01_Parametres!$B$5*(E1247&gt;0)+01_Parametres!$B$6*(F1247&gt;0))),IF(01_Parametres!$B$8=0,"",(01_Parametres!$B$4*D1247+01_Parametres!$B$5*E1247+01_Parametres!$B$6*F1247)/01_Parametres!$B$8)))</x:f>
      </x:c>
      <x:c r="H1247">
        <x:f>IFERROR(VLOOKUP(C1247,02_Referentiels!$A$20:$D$99,3,FALSE),"")</x:f>
      </x:c>
      <x:c r="I1247">
        <x:f>IFERROR(VLOOKUP(B1247,02_Referentiels!$A$5:$C$16,2,FALSE),"")</x:f>
      </x:c>
      <x:c r="J1247">
        <x:f>IF(A1247="","",IF(OR(D1247="",E1247="",F1247=""),1,IF(OR(D1247&lt;0,D1247&gt;3,E1247&lt;0,E1247&gt;3,F1247&lt;0,F1247&gt;3),1,0)))</x:f>
      </x:c>
      <x:c r="K1247">
        <x:f>IF(A1247="","",IF(G1247="",1,0))</x:f>
      </x:c>
      <x:c r="L1247">
        <x:f>IF(A1247="","",IF(COUNTIFS($A$5:$A$2004,A1247,$C$5:$C$2004,C1247)&gt;1,1,0))</x:f>
      </x:c>
    </x:row>
    <x:row r="1248">
      <x:c r="A1248" s="8" t="n"/>
      <x:c r="B1248" s="8" t="n"/>
      <x:c r="C1248" s="8" t="n"/>
      <x:c r="D1248" s="8" t="n"/>
      <x:c r="E1248" s="8" t="n"/>
      <x:c r="F1248" s="8" t="n"/>
      <x:c r="G1248" s="7">
        <x:f>IF(A1248="","",IF(01_Parametres!$B$11="Oui",IF((01_Parametres!$B$4*(D1248&gt;0)+01_Parametres!$B$5*(E1248&gt;0)+01_Parametres!$B$6*(F1248&gt;0))=0,"",(01_Parametres!$B$4*IF(D1248&gt;0,D1248,0)+01_Parametres!$B$5*IF(E1248&gt;0,E1248,0)+01_Parametres!$B$6*IF(F1248&gt;0,F1248,0))/(01_Parametres!$B$4*(D1248&gt;0)+01_Parametres!$B$5*(E1248&gt;0)+01_Parametres!$B$6*(F1248&gt;0))),IF(01_Parametres!$B$8=0,"",(01_Parametres!$B$4*D1248+01_Parametres!$B$5*E1248+01_Parametres!$B$6*F1248)/01_Parametres!$B$8)))</x:f>
      </x:c>
      <x:c r="H1248">
        <x:f>IFERROR(VLOOKUP(C1248,02_Referentiels!$A$20:$D$99,3,FALSE),"")</x:f>
      </x:c>
      <x:c r="I1248">
        <x:f>IFERROR(VLOOKUP(B1248,02_Referentiels!$A$5:$C$16,2,FALSE),"")</x:f>
      </x:c>
      <x:c r="J1248">
        <x:f>IF(A1248="","",IF(OR(D1248="",E1248="",F1248=""),1,IF(OR(D1248&lt;0,D1248&gt;3,E1248&lt;0,E1248&gt;3,F1248&lt;0,F1248&gt;3),1,0)))</x:f>
      </x:c>
      <x:c r="K1248">
        <x:f>IF(A1248="","",IF(G1248="",1,0))</x:f>
      </x:c>
      <x:c r="L1248">
        <x:f>IF(A1248="","",IF(COUNTIFS($A$5:$A$2004,A1248,$C$5:$C$2004,C1248)&gt;1,1,0))</x:f>
      </x:c>
    </x:row>
    <x:row r="1249">
      <x:c r="A1249" s="8" t="n"/>
      <x:c r="B1249" s="8" t="n"/>
      <x:c r="C1249" s="8" t="n"/>
      <x:c r="D1249" s="8" t="n"/>
      <x:c r="E1249" s="8" t="n"/>
      <x:c r="F1249" s="8" t="n"/>
      <x:c r="G1249" s="7">
        <x:f>IF(A1249="","",IF(01_Parametres!$B$11="Oui",IF((01_Parametres!$B$4*(D1249&gt;0)+01_Parametres!$B$5*(E1249&gt;0)+01_Parametres!$B$6*(F1249&gt;0))=0,"",(01_Parametres!$B$4*IF(D1249&gt;0,D1249,0)+01_Parametres!$B$5*IF(E1249&gt;0,E1249,0)+01_Parametres!$B$6*IF(F1249&gt;0,F1249,0))/(01_Parametres!$B$4*(D1249&gt;0)+01_Parametres!$B$5*(E1249&gt;0)+01_Parametres!$B$6*(F1249&gt;0))),IF(01_Parametres!$B$8=0,"",(01_Parametres!$B$4*D1249+01_Parametres!$B$5*E1249+01_Parametres!$B$6*F1249)/01_Parametres!$B$8)))</x:f>
      </x:c>
      <x:c r="H1249">
        <x:f>IFERROR(VLOOKUP(C1249,02_Referentiels!$A$20:$D$99,3,FALSE),"")</x:f>
      </x:c>
      <x:c r="I1249">
        <x:f>IFERROR(VLOOKUP(B1249,02_Referentiels!$A$5:$C$16,2,FALSE),"")</x:f>
      </x:c>
      <x:c r="J1249">
        <x:f>IF(A1249="","",IF(OR(D1249="",E1249="",F1249=""),1,IF(OR(D1249&lt;0,D1249&gt;3,E1249&lt;0,E1249&gt;3,F1249&lt;0,F1249&gt;3),1,0)))</x:f>
      </x:c>
      <x:c r="K1249">
        <x:f>IF(A1249="","",IF(G1249="",1,0))</x:f>
      </x:c>
      <x:c r="L1249">
        <x:f>IF(A1249="","",IF(COUNTIFS($A$5:$A$2004,A1249,$C$5:$C$2004,C1249)&gt;1,1,0))</x:f>
      </x:c>
    </x:row>
    <x:row r="1250">
      <x:c r="A1250" s="8" t="n"/>
      <x:c r="B1250" s="8" t="n"/>
      <x:c r="C1250" s="8" t="n"/>
      <x:c r="D1250" s="8" t="n"/>
      <x:c r="E1250" s="8" t="n"/>
      <x:c r="F1250" s="8" t="n"/>
      <x:c r="G1250" s="7">
        <x:f>IF(A1250="","",IF(01_Parametres!$B$11="Oui",IF((01_Parametres!$B$4*(D1250&gt;0)+01_Parametres!$B$5*(E1250&gt;0)+01_Parametres!$B$6*(F1250&gt;0))=0,"",(01_Parametres!$B$4*IF(D1250&gt;0,D1250,0)+01_Parametres!$B$5*IF(E1250&gt;0,E1250,0)+01_Parametres!$B$6*IF(F1250&gt;0,F1250,0))/(01_Parametres!$B$4*(D1250&gt;0)+01_Parametres!$B$5*(E1250&gt;0)+01_Parametres!$B$6*(F1250&gt;0))),IF(01_Parametres!$B$8=0,"",(01_Parametres!$B$4*D1250+01_Parametres!$B$5*E1250+01_Parametres!$B$6*F1250)/01_Parametres!$B$8)))</x:f>
      </x:c>
      <x:c r="H1250">
        <x:f>IFERROR(VLOOKUP(C1250,02_Referentiels!$A$20:$D$99,3,FALSE),"")</x:f>
      </x:c>
      <x:c r="I1250">
        <x:f>IFERROR(VLOOKUP(B1250,02_Referentiels!$A$5:$C$16,2,FALSE),"")</x:f>
      </x:c>
      <x:c r="J1250">
        <x:f>IF(A1250="","",IF(OR(D1250="",E1250="",F1250=""),1,IF(OR(D1250&lt;0,D1250&gt;3,E1250&lt;0,E1250&gt;3,F1250&lt;0,F1250&gt;3),1,0)))</x:f>
      </x:c>
      <x:c r="K1250">
        <x:f>IF(A1250="","",IF(G1250="",1,0))</x:f>
      </x:c>
      <x:c r="L1250">
        <x:f>IF(A1250="","",IF(COUNTIFS($A$5:$A$2004,A1250,$C$5:$C$2004,C1250)&gt;1,1,0))</x:f>
      </x:c>
    </x:row>
    <x:row r="1251">
      <x:c r="A1251" s="8" t="n"/>
      <x:c r="B1251" s="8" t="n"/>
      <x:c r="C1251" s="8" t="n"/>
      <x:c r="D1251" s="8" t="n"/>
      <x:c r="E1251" s="8" t="n"/>
      <x:c r="F1251" s="8" t="n"/>
      <x:c r="G1251" s="7">
        <x:f>IF(A1251="","",IF(01_Parametres!$B$11="Oui",IF((01_Parametres!$B$4*(D1251&gt;0)+01_Parametres!$B$5*(E1251&gt;0)+01_Parametres!$B$6*(F1251&gt;0))=0,"",(01_Parametres!$B$4*IF(D1251&gt;0,D1251,0)+01_Parametres!$B$5*IF(E1251&gt;0,E1251,0)+01_Parametres!$B$6*IF(F1251&gt;0,F1251,0))/(01_Parametres!$B$4*(D1251&gt;0)+01_Parametres!$B$5*(E1251&gt;0)+01_Parametres!$B$6*(F1251&gt;0))),IF(01_Parametres!$B$8=0,"",(01_Parametres!$B$4*D1251+01_Parametres!$B$5*E1251+01_Parametres!$B$6*F1251)/01_Parametres!$B$8)))</x:f>
      </x:c>
      <x:c r="H1251">
        <x:f>IFERROR(VLOOKUP(C1251,02_Referentiels!$A$20:$D$99,3,FALSE),"")</x:f>
      </x:c>
      <x:c r="I1251">
        <x:f>IFERROR(VLOOKUP(B1251,02_Referentiels!$A$5:$C$16,2,FALSE),"")</x:f>
      </x:c>
      <x:c r="J1251">
        <x:f>IF(A1251="","",IF(OR(D1251="",E1251="",F1251=""),1,IF(OR(D1251&lt;0,D1251&gt;3,E1251&lt;0,E1251&gt;3,F1251&lt;0,F1251&gt;3),1,0)))</x:f>
      </x:c>
      <x:c r="K1251">
        <x:f>IF(A1251="","",IF(G1251="",1,0))</x:f>
      </x:c>
      <x:c r="L1251">
        <x:f>IF(A1251="","",IF(COUNTIFS($A$5:$A$2004,A1251,$C$5:$C$2004,C1251)&gt;1,1,0))</x:f>
      </x:c>
    </x:row>
    <x:row r="1252">
      <x:c r="A1252" s="8" t="n"/>
      <x:c r="B1252" s="8" t="n"/>
      <x:c r="C1252" s="8" t="n"/>
      <x:c r="D1252" s="8" t="n"/>
      <x:c r="E1252" s="8" t="n"/>
      <x:c r="F1252" s="8" t="n"/>
      <x:c r="G1252" s="7">
        <x:f>IF(A1252="","",IF(01_Parametres!$B$11="Oui",IF((01_Parametres!$B$4*(D1252&gt;0)+01_Parametres!$B$5*(E1252&gt;0)+01_Parametres!$B$6*(F1252&gt;0))=0,"",(01_Parametres!$B$4*IF(D1252&gt;0,D1252,0)+01_Parametres!$B$5*IF(E1252&gt;0,E1252,0)+01_Parametres!$B$6*IF(F1252&gt;0,F1252,0))/(01_Parametres!$B$4*(D1252&gt;0)+01_Parametres!$B$5*(E1252&gt;0)+01_Parametres!$B$6*(F1252&gt;0))),IF(01_Parametres!$B$8=0,"",(01_Parametres!$B$4*D1252+01_Parametres!$B$5*E1252+01_Parametres!$B$6*F1252)/01_Parametres!$B$8)))</x:f>
      </x:c>
      <x:c r="H1252">
        <x:f>IFERROR(VLOOKUP(C1252,02_Referentiels!$A$20:$D$99,3,FALSE),"")</x:f>
      </x:c>
      <x:c r="I1252">
        <x:f>IFERROR(VLOOKUP(B1252,02_Referentiels!$A$5:$C$16,2,FALSE),"")</x:f>
      </x:c>
      <x:c r="J1252">
        <x:f>IF(A1252="","",IF(OR(D1252="",E1252="",F1252=""),1,IF(OR(D1252&lt;0,D1252&gt;3,E1252&lt;0,E1252&gt;3,F1252&lt;0,F1252&gt;3),1,0)))</x:f>
      </x:c>
      <x:c r="K1252">
        <x:f>IF(A1252="","",IF(G1252="",1,0))</x:f>
      </x:c>
      <x:c r="L1252">
        <x:f>IF(A1252="","",IF(COUNTIFS($A$5:$A$2004,A1252,$C$5:$C$2004,C1252)&gt;1,1,0))</x:f>
      </x:c>
    </x:row>
    <x:row r="1253">
      <x:c r="A1253" s="8" t="n"/>
      <x:c r="B1253" s="8" t="n"/>
      <x:c r="C1253" s="8" t="n"/>
      <x:c r="D1253" s="8" t="n"/>
      <x:c r="E1253" s="8" t="n"/>
      <x:c r="F1253" s="8" t="n"/>
      <x:c r="G1253" s="7">
        <x:f>IF(A1253="","",IF(01_Parametres!$B$11="Oui",IF((01_Parametres!$B$4*(D1253&gt;0)+01_Parametres!$B$5*(E1253&gt;0)+01_Parametres!$B$6*(F1253&gt;0))=0,"",(01_Parametres!$B$4*IF(D1253&gt;0,D1253,0)+01_Parametres!$B$5*IF(E1253&gt;0,E1253,0)+01_Parametres!$B$6*IF(F1253&gt;0,F1253,0))/(01_Parametres!$B$4*(D1253&gt;0)+01_Parametres!$B$5*(E1253&gt;0)+01_Parametres!$B$6*(F1253&gt;0))),IF(01_Parametres!$B$8=0,"",(01_Parametres!$B$4*D1253+01_Parametres!$B$5*E1253+01_Parametres!$B$6*F1253)/01_Parametres!$B$8)))</x:f>
      </x:c>
      <x:c r="H1253">
        <x:f>IFERROR(VLOOKUP(C1253,02_Referentiels!$A$20:$D$99,3,FALSE),"")</x:f>
      </x:c>
      <x:c r="I1253">
        <x:f>IFERROR(VLOOKUP(B1253,02_Referentiels!$A$5:$C$16,2,FALSE),"")</x:f>
      </x:c>
      <x:c r="J1253">
        <x:f>IF(A1253="","",IF(OR(D1253="",E1253="",F1253=""),1,IF(OR(D1253&lt;0,D1253&gt;3,E1253&lt;0,E1253&gt;3,F1253&lt;0,F1253&gt;3),1,0)))</x:f>
      </x:c>
      <x:c r="K1253">
        <x:f>IF(A1253="","",IF(G1253="",1,0))</x:f>
      </x:c>
      <x:c r="L1253">
        <x:f>IF(A1253="","",IF(COUNTIFS($A$5:$A$2004,A1253,$C$5:$C$2004,C1253)&gt;1,1,0))</x:f>
      </x:c>
    </x:row>
    <x:row r="1254">
      <x:c r="A1254" s="8" t="n"/>
      <x:c r="B1254" s="8" t="n"/>
      <x:c r="C1254" s="8" t="n"/>
      <x:c r="D1254" s="8" t="n"/>
      <x:c r="E1254" s="8" t="n"/>
      <x:c r="F1254" s="8" t="n"/>
      <x:c r="G1254" s="7">
        <x:f>IF(A1254="","",IF(01_Parametres!$B$11="Oui",IF((01_Parametres!$B$4*(D1254&gt;0)+01_Parametres!$B$5*(E1254&gt;0)+01_Parametres!$B$6*(F1254&gt;0))=0,"",(01_Parametres!$B$4*IF(D1254&gt;0,D1254,0)+01_Parametres!$B$5*IF(E1254&gt;0,E1254,0)+01_Parametres!$B$6*IF(F1254&gt;0,F1254,0))/(01_Parametres!$B$4*(D1254&gt;0)+01_Parametres!$B$5*(E1254&gt;0)+01_Parametres!$B$6*(F1254&gt;0))),IF(01_Parametres!$B$8=0,"",(01_Parametres!$B$4*D1254+01_Parametres!$B$5*E1254+01_Parametres!$B$6*F1254)/01_Parametres!$B$8)))</x:f>
      </x:c>
      <x:c r="H1254">
        <x:f>IFERROR(VLOOKUP(C1254,02_Referentiels!$A$20:$D$99,3,FALSE),"")</x:f>
      </x:c>
      <x:c r="I1254">
        <x:f>IFERROR(VLOOKUP(B1254,02_Referentiels!$A$5:$C$16,2,FALSE),"")</x:f>
      </x:c>
      <x:c r="J1254">
        <x:f>IF(A1254="","",IF(OR(D1254="",E1254="",F1254=""),1,IF(OR(D1254&lt;0,D1254&gt;3,E1254&lt;0,E1254&gt;3,F1254&lt;0,F1254&gt;3),1,0)))</x:f>
      </x:c>
      <x:c r="K1254">
        <x:f>IF(A1254="","",IF(G1254="",1,0))</x:f>
      </x:c>
      <x:c r="L1254">
        <x:f>IF(A1254="","",IF(COUNTIFS($A$5:$A$2004,A1254,$C$5:$C$2004,C1254)&gt;1,1,0))</x:f>
      </x:c>
    </x:row>
    <x:row r="1255">
      <x:c r="A1255" s="8" t="n"/>
      <x:c r="B1255" s="8" t="n"/>
      <x:c r="C1255" s="8" t="n"/>
      <x:c r="D1255" s="8" t="n"/>
      <x:c r="E1255" s="8" t="n"/>
      <x:c r="F1255" s="8" t="n"/>
      <x:c r="G1255" s="7">
        <x:f>IF(A1255="","",IF(01_Parametres!$B$11="Oui",IF((01_Parametres!$B$4*(D1255&gt;0)+01_Parametres!$B$5*(E1255&gt;0)+01_Parametres!$B$6*(F1255&gt;0))=0,"",(01_Parametres!$B$4*IF(D1255&gt;0,D1255,0)+01_Parametres!$B$5*IF(E1255&gt;0,E1255,0)+01_Parametres!$B$6*IF(F1255&gt;0,F1255,0))/(01_Parametres!$B$4*(D1255&gt;0)+01_Parametres!$B$5*(E1255&gt;0)+01_Parametres!$B$6*(F1255&gt;0))),IF(01_Parametres!$B$8=0,"",(01_Parametres!$B$4*D1255+01_Parametres!$B$5*E1255+01_Parametres!$B$6*F1255)/01_Parametres!$B$8)))</x:f>
      </x:c>
      <x:c r="H1255">
        <x:f>IFERROR(VLOOKUP(C1255,02_Referentiels!$A$20:$D$99,3,FALSE),"")</x:f>
      </x:c>
      <x:c r="I1255">
        <x:f>IFERROR(VLOOKUP(B1255,02_Referentiels!$A$5:$C$16,2,FALSE),"")</x:f>
      </x:c>
      <x:c r="J1255">
        <x:f>IF(A1255="","",IF(OR(D1255="",E1255="",F1255=""),1,IF(OR(D1255&lt;0,D1255&gt;3,E1255&lt;0,E1255&gt;3,F1255&lt;0,F1255&gt;3),1,0)))</x:f>
      </x:c>
      <x:c r="K1255">
        <x:f>IF(A1255="","",IF(G1255="",1,0))</x:f>
      </x:c>
      <x:c r="L1255">
        <x:f>IF(A1255="","",IF(COUNTIFS($A$5:$A$2004,A1255,$C$5:$C$2004,C1255)&gt;1,1,0))</x:f>
      </x:c>
    </x:row>
    <x:row r="1256">
      <x:c r="A1256" s="8" t="n"/>
      <x:c r="B1256" s="8" t="n"/>
      <x:c r="C1256" s="8" t="n"/>
      <x:c r="D1256" s="8" t="n"/>
      <x:c r="E1256" s="8" t="n"/>
      <x:c r="F1256" s="8" t="n"/>
      <x:c r="G1256" s="7">
        <x:f>IF(A1256="","",IF(01_Parametres!$B$11="Oui",IF((01_Parametres!$B$4*(D1256&gt;0)+01_Parametres!$B$5*(E1256&gt;0)+01_Parametres!$B$6*(F1256&gt;0))=0,"",(01_Parametres!$B$4*IF(D1256&gt;0,D1256,0)+01_Parametres!$B$5*IF(E1256&gt;0,E1256,0)+01_Parametres!$B$6*IF(F1256&gt;0,F1256,0))/(01_Parametres!$B$4*(D1256&gt;0)+01_Parametres!$B$5*(E1256&gt;0)+01_Parametres!$B$6*(F1256&gt;0))),IF(01_Parametres!$B$8=0,"",(01_Parametres!$B$4*D1256+01_Parametres!$B$5*E1256+01_Parametres!$B$6*F1256)/01_Parametres!$B$8)))</x:f>
      </x:c>
      <x:c r="H1256">
        <x:f>IFERROR(VLOOKUP(C1256,02_Referentiels!$A$20:$D$99,3,FALSE),"")</x:f>
      </x:c>
      <x:c r="I1256">
        <x:f>IFERROR(VLOOKUP(B1256,02_Referentiels!$A$5:$C$16,2,FALSE),"")</x:f>
      </x:c>
      <x:c r="J1256">
        <x:f>IF(A1256="","",IF(OR(D1256="",E1256="",F1256=""),1,IF(OR(D1256&lt;0,D1256&gt;3,E1256&lt;0,E1256&gt;3,F1256&lt;0,F1256&gt;3),1,0)))</x:f>
      </x:c>
      <x:c r="K1256">
        <x:f>IF(A1256="","",IF(G1256="",1,0))</x:f>
      </x:c>
      <x:c r="L1256">
        <x:f>IF(A1256="","",IF(COUNTIFS($A$5:$A$2004,A1256,$C$5:$C$2004,C1256)&gt;1,1,0))</x:f>
      </x:c>
    </x:row>
    <x:row r="1257">
      <x:c r="A1257" s="8" t="n"/>
      <x:c r="B1257" s="8" t="n"/>
      <x:c r="C1257" s="8" t="n"/>
      <x:c r="D1257" s="8" t="n"/>
      <x:c r="E1257" s="8" t="n"/>
      <x:c r="F1257" s="8" t="n"/>
      <x:c r="G1257" s="7">
        <x:f>IF(A1257="","",IF(01_Parametres!$B$11="Oui",IF((01_Parametres!$B$4*(D1257&gt;0)+01_Parametres!$B$5*(E1257&gt;0)+01_Parametres!$B$6*(F1257&gt;0))=0,"",(01_Parametres!$B$4*IF(D1257&gt;0,D1257,0)+01_Parametres!$B$5*IF(E1257&gt;0,E1257,0)+01_Parametres!$B$6*IF(F1257&gt;0,F1257,0))/(01_Parametres!$B$4*(D1257&gt;0)+01_Parametres!$B$5*(E1257&gt;0)+01_Parametres!$B$6*(F1257&gt;0))),IF(01_Parametres!$B$8=0,"",(01_Parametres!$B$4*D1257+01_Parametres!$B$5*E1257+01_Parametres!$B$6*F1257)/01_Parametres!$B$8)))</x:f>
      </x:c>
      <x:c r="H1257">
        <x:f>IFERROR(VLOOKUP(C1257,02_Referentiels!$A$20:$D$99,3,FALSE),"")</x:f>
      </x:c>
      <x:c r="I1257">
        <x:f>IFERROR(VLOOKUP(B1257,02_Referentiels!$A$5:$C$16,2,FALSE),"")</x:f>
      </x:c>
      <x:c r="J1257">
        <x:f>IF(A1257="","",IF(OR(D1257="",E1257="",F1257=""),1,IF(OR(D1257&lt;0,D1257&gt;3,E1257&lt;0,E1257&gt;3,F1257&lt;0,F1257&gt;3),1,0)))</x:f>
      </x:c>
      <x:c r="K1257">
        <x:f>IF(A1257="","",IF(G1257="",1,0))</x:f>
      </x:c>
      <x:c r="L1257">
        <x:f>IF(A1257="","",IF(COUNTIFS($A$5:$A$2004,A1257,$C$5:$C$2004,C1257)&gt;1,1,0))</x:f>
      </x:c>
    </x:row>
    <x:row r="1258">
      <x:c r="A1258" s="8" t="n"/>
      <x:c r="B1258" s="8" t="n"/>
      <x:c r="C1258" s="8" t="n"/>
      <x:c r="D1258" s="8" t="n"/>
      <x:c r="E1258" s="8" t="n"/>
      <x:c r="F1258" s="8" t="n"/>
      <x:c r="G1258" s="7">
        <x:f>IF(A1258="","",IF(01_Parametres!$B$11="Oui",IF((01_Parametres!$B$4*(D1258&gt;0)+01_Parametres!$B$5*(E1258&gt;0)+01_Parametres!$B$6*(F1258&gt;0))=0,"",(01_Parametres!$B$4*IF(D1258&gt;0,D1258,0)+01_Parametres!$B$5*IF(E1258&gt;0,E1258,0)+01_Parametres!$B$6*IF(F1258&gt;0,F1258,0))/(01_Parametres!$B$4*(D1258&gt;0)+01_Parametres!$B$5*(E1258&gt;0)+01_Parametres!$B$6*(F1258&gt;0))),IF(01_Parametres!$B$8=0,"",(01_Parametres!$B$4*D1258+01_Parametres!$B$5*E1258+01_Parametres!$B$6*F1258)/01_Parametres!$B$8)))</x:f>
      </x:c>
      <x:c r="H1258">
        <x:f>IFERROR(VLOOKUP(C1258,02_Referentiels!$A$20:$D$99,3,FALSE),"")</x:f>
      </x:c>
      <x:c r="I1258">
        <x:f>IFERROR(VLOOKUP(B1258,02_Referentiels!$A$5:$C$16,2,FALSE),"")</x:f>
      </x:c>
      <x:c r="J1258">
        <x:f>IF(A1258="","",IF(OR(D1258="",E1258="",F1258=""),1,IF(OR(D1258&lt;0,D1258&gt;3,E1258&lt;0,E1258&gt;3,F1258&lt;0,F1258&gt;3),1,0)))</x:f>
      </x:c>
      <x:c r="K1258">
        <x:f>IF(A1258="","",IF(G1258="",1,0))</x:f>
      </x:c>
      <x:c r="L1258">
        <x:f>IF(A1258="","",IF(COUNTIFS($A$5:$A$2004,A1258,$C$5:$C$2004,C1258)&gt;1,1,0))</x:f>
      </x:c>
    </x:row>
    <x:row r="1259">
      <x:c r="A1259" s="8" t="n"/>
      <x:c r="B1259" s="8" t="n"/>
      <x:c r="C1259" s="8" t="n"/>
      <x:c r="D1259" s="8" t="n"/>
      <x:c r="E1259" s="8" t="n"/>
      <x:c r="F1259" s="8" t="n"/>
      <x:c r="G1259" s="7">
        <x:f>IF(A1259="","",IF(01_Parametres!$B$11="Oui",IF((01_Parametres!$B$4*(D1259&gt;0)+01_Parametres!$B$5*(E1259&gt;0)+01_Parametres!$B$6*(F1259&gt;0))=0,"",(01_Parametres!$B$4*IF(D1259&gt;0,D1259,0)+01_Parametres!$B$5*IF(E1259&gt;0,E1259,0)+01_Parametres!$B$6*IF(F1259&gt;0,F1259,0))/(01_Parametres!$B$4*(D1259&gt;0)+01_Parametres!$B$5*(E1259&gt;0)+01_Parametres!$B$6*(F1259&gt;0))),IF(01_Parametres!$B$8=0,"",(01_Parametres!$B$4*D1259+01_Parametres!$B$5*E1259+01_Parametres!$B$6*F1259)/01_Parametres!$B$8)))</x:f>
      </x:c>
      <x:c r="H1259">
        <x:f>IFERROR(VLOOKUP(C1259,02_Referentiels!$A$20:$D$99,3,FALSE),"")</x:f>
      </x:c>
      <x:c r="I1259">
        <x:f>IFERROR(VLOOKUP(B1259,02_Referentiels!$A$5:$C$16,2,FALSE),"")</x:f>
      </x:c>
      <x:c r="J1259">
        <x:f>IF(A1259="","",IF(OR(D1259="",E1259="",F1259=""),1,IF(OR(D1259&lt;0,D1259&gt;3,E1259&lt;0,E1259&gt;3,F1259&lt;0,F1259&gt;3),1,0)))</x:f>
      </x:c>
      <x:c r="K1259">
        <x:f>IF(A1259="","",IF(G1259="",1,0))</x:f>
      </x:c>
      <x:c r="L1259">
        <x:f>IF(A1259="","",IF(COUNTIFS($A$5:$A$2004,A1259,$C$5:$C$2004,C1259)&gt;1,1,0))</x:f>
      </x:c>
    </x:row>
    <x:row r="1260">
      <x:c r="A1260" s="8" t="n"/>
      <x:c r="B1260" s="8" t="n"/>
      <x:c r="C1260" s="8" t="n"/>
      <x:c r="D1260" s="8" t="n"/>
      <x:c r="E1260" s="8" t="n"/>
      <x:c r="F1260" s="8" t="n"/>
      <x:c r="G1260" s="7">
        <x:f>IF(A1260="","",IF(01_Parametres!$B$11="Oui",IF((01_Parametres!$B$4*(D1260&gt;0)+01_Parametres!$B$5*(E1260&gt;0)+01_Parametres!$B$6*(F1260&gt;0))=0,"",(01_Parametres!$B$4*IF(D1260&gt;0,D1260,0)+01_Parametres!$B$5*IF(E1260&gt;0,E1260,0)+01_Parametres!$B$6*IF(F1260&gt;0,F1260,0))/(01_Parametres!$B$4*(D1260&gt;0)+01_Parametres!$B$5*(E1260&gt;0)+01_Parametres!$B$6*(F1260&gt;0))),IF(01_Parametres!$B$8=0,"",(01_Parametres!$B$4*D1260+01_Parametres!$B$5*E1260+01_Parametres!$B$6*F1260)/01_Parametres!$B$8)))</x:f>
      </x:c>
      <x:c r="H1260">
        <x:f>IFERROR(VLOOKUP(C1260,02_Referentiels!$A$20:$D$99,3,FALSE),"")</x:f>
      </x:c>
      <x:c r="I1260">
        <x:f>IFERROR(VLOOKUP(B1260,02_Referentiels!$A$5:$C$16,2,FALSE),"")</x:f>
      </x:c>
      <x:c r="J1260">
        <x:f>IF(A1260="","",IF(OR(D1260="",E1260="",F1260=""),1,IF(OR(D1260&lt;0,D1260&gt;3,E1260&lt;0,E1260&gt;3,F1260&lt;0,F1260&gt;3),1,0)))</x:f>
      </x:c>
      <x:c r="K1260">
        <x:f>IF(A1260="","",IF(G1260="",1,0))</x:f>
      </x:c>
      <x:c r="L1260">
        <x:f>IF(A1260="","",IF(COUNTIFS($A$5:$A$2004,A1260,$C$5:$C$2004,C1260)&gt;1,1,0))</x:f>
      </x:c>
    </x:row>
    <x:row r="1261">
      <x:c r="A1261" s="8" t="n"/>
      <x:c r="B1261" s="8" t="n"/>
      <x:c r="C1261" s="8" t="n"/>
      <x:c r="D1261" s="8" t="n"/>
      <x:c r="E1261" s="8" t="n"/>
      <x:c r="F1261" s="8" t="n"/>
      <x:c r="G1261" s="7">
        <x:f>IF(A1261="","",IF(01_Parametres!$B$11="Oui",IF((01_Parametres!$B$4*(D1261&gt;0)+01_Parametres!$B$5*(E1261&gt;0)+01_Parametres!$B$6*(F1261&gt;0))=0,"",(01_Parametres!$B$4*IF(D1261&gt;0,D1261,0)+01_Parametres!$B$5*IF(E1261&gt;0,E1261,0)+01_Parametres!$B$6*IF(F1261&gt;0,F1261,0))/(01_Parametres!$B$4*(D1261&gt;0)+01_Parametres!$B$5*(E1261&gt;0)+01_Parametres!$B$6*(F1261&gt;0))),IF(01_Parametres!$B$8=0,"",(01_Parametres!$B$4*D1261+01_Parametres!$B$5*E1261+01_Parametres!$B$6*F1261)/01_Parametres!$B$8)))</x:f>
      </x:c>
      <x:c r="H1261">
        <x:f>IFERROR(VLOOKUP(C1261,02_Referentiels!$A$20:$D$99,3,FALSE),"")</x:f>
      </x:c>
      <x:c r="I1261">
        <x:f>IFERROR(VLOOKUP(B1261,02_Referentiels!$A$5:$C$16,2,FALSE),"")</x:f>
      </x:c>
      <x:c r="J1261">
        <x:f>IF(A1261="","",IF(OR(D1261="",E1261="",F1261=""),1,IF(OR(D1261&lt;0,D1261&gt;3,E1261&lt;0,E1261&gt;3,F1261&lt;0,F1261&gt;3),1,0)))</x:f>
      </x:c>
      <x:c r="K1261">
        <x:f>IF(A1261="","",IF(G1261="",1,0))</x:f>
      </x:c>
      <x:c r="L1261">
        <x:f>IF(A1261="","",IF(COUNTIFS($A$5:$A$2004,A1261,$C$5:$C$2004,C1261)&gt;1,1,0))</x:f>
      </x:c>
    </x:row>
    <x:row r="1262">
      <x:c r="A1262" s="8" t="n"/>
      <x:c r="B1262" s="8" t="n"/>
      <x:c r="C1262" s="8" t="n"/>
      <x:c r="D1262" s="8" t="n"/>
      <x:c r="E1262" s="8" t="n"/>
      <x:c r="F1262" s="8" t="n"/>
      <x:c r="G1262" s="7">
        <x:f>IF(A1262="","",IF(01_Parametres!$B$11="Oui",IF((01_Parametres!$B$4*(D1262&gt;0)+01_Parametres!$B$5*(E1262&gt;0)+01_Parametres!$B$6*(F1262&gt;0))=0,"",(01_Parametres!$B$4*IF(D1262&gt;0,D1262,0)+01_Parametres!$B$5*IF(E1262&gt;0,E1262,0)+01_Parametres!$B$6*IF(F1262&gt;0,F1262,0))/(01_Parametres!$B$4*(D1262&gt;0)+01_Parametres!$B$5*(E1262&gt;0)+01_Parametres!$B$6*(F1262&gt;0))),IF(01_Parametres!$B$8=0,"",(01_Parametres!$B$4*D1262+01_Parametres!$B$5*E1262+01_Parametres!$B$6*F1262)/01_Parametres!$B$8)))</x:f>
      </x:c>
      <x:c r="H1262">
        <x:f>IFERROR(VLOOKUP(C1262,02_Referentiels!$A$20:$D$99,3,FALSE),"")</x:f>
      </x:c>
      <x:c r="I1262">
        <x:f>IFERROR(VLOOKUP(B1262,02_Referentiels!$A$5:$C$16,2,FALSE),"")</x:f>
      </x:c>
      <x:c r="J1262">
        <x:f>IF(A1262="","",IF(OR(D1262="",E1262="",F1262=""),1,IF(OR(D1262&lt;0,D1262&gt;3,E1262&lt;0,E1262&gt;3,F1262&lt;0,F1262&gt;3),1,0)))</x:f>
      </x:c>
      <x:c r="K1262">
        <x:f>IF(A1262="","",IF(G1262="",1,0))</x:f>
      </x:c>
      <x:c r="L1262">
        <x:f>IF(A1262="","",IF(COUNTIFS($A$5:$A$2004,A1262,$C$5:$C$2004,C1262)&gt;1,1,0))</x:f>
      </x:c>
    </x:row>
    <x:row r="1263">
      <x:c r="A1263" s="8" t="n"/>
      <x:c r="B1263" s="8" t="n"/>
      <x:c r="C1263" s="8" t="n"/>
      <x:c r="D1263" s="8" t="n"/>
      <x:c r="E1263" s="8" t="n"/>
      <x:c r="F1263" s="8" t="n"/>
      <x:c r="G1263" s="7">
        <x:f>IF(A1263="","",IF(01_Parametres!$B$11="Oui",IF((01_Parametres!$B$4*(D1263&gt;0)+01_Parametres!$B$5*(E1263&gt;0)+01_Parametres!$B$6*(F1263&gt;0))=0,"",(01_Parametres!$B$4*IF(D1263&gt;0,D1263,0)+01_Parametres!$B$5*IF(E1263&gt;0,E1263,0)+01_Parametres!$B$6*IF(F1263&gt;0,F1263,0))/(01_Parametres!$B$4*(D1263&gt;0)+01_Parametres!$B$5*(E1263&gt;0)+01_Parametres!$B$6*(F1263&gt;0))),IF(01_Parametres!$B$8=0,"",(01_Parametres!$B$4*D1263+01_Parametres!$B$5*E1263+01_Parametres!$B$6*F1263)/01_Parametres!$B$8)))</x:f>
      </x:c>
      <x:c r="H1263">
        <x:f>IFERROR(VLOOKUP(C1263,02_Referentiels!$A$20:$D$99,3,FALSE),"")</x:f>
      </x:c>
      <x:c r="I1263">
        <x:f>IFERROR(VLOOKUP(B1263,02_Referentiels!$A$5:$C$16,2,FALSE),"")</x:f>
      </x:c>
      <x:c r="J1263">
        <x:f>IF(A1263="","",IF(OR(D1263="",E1263="",F1263=""),1,IF(OR(D1263&lt;0,D1263&gt;3,E1263&lt;0,E1263&gt;3,F1263&lt;0,F1263&gt;3),1,0)))</x:f>
      </x:c>
      <x:c r="K1263">
        <x:f>IF(A1263="","",IF(G1263="",1,0))</x:f>
      </x:c>
      <x:c r="L1263">
        <x:f>IF(A1263="","",IF(COUNTIFS($A$5:$A$2004,A1263,$C$5:$C$2004,C1263)&gt;1,1,0))</x:f>
      </x:c>
    </x:row>
    <x:row r="1264">
      <x:c r="A1264" s="8" t="n"/>
      <x:c r="B1264" s="8" t="n"/>
      <x:c r="C1264" s="8" t="n"/>
      <x:c r="D1264" s="8" t="n"/>
      <x:c r="E1264" s="8" t="n"/>
      <x:c r="F1264" s="8" t="n"/>
      <x:c r="G1264" s="7">
        <x:f>IF(A1264="","",IF(01_Parametres!$B$11="Oui",IF((01_Parametres!$B$4*(D1264&gt;0)+01_Parametres!$B$5*(E1264&gt;0)+01_Parametres!$B$6*(F1264&gt;0))=0,"",(01_Parametres!$B$4*IF(D1264&gt;0,D1264,0)+01_Parametres!$B$5*IF(E1264&gt;0,E1264,0)+01_Parametres!$B$6*IF(F1264&gt;0,F1264,0))/(01_Parametres!$B$4*(D1264&gt;0)+01_Parametres!$B$5*(E1264&gt;0)+01_Parametres!$B$6*(F1264&gt;0))),IF(01_Parametres!$B$8=0,"",(01_Parametres!$B$4*D1264+01_Parametres!$B$5*E1264+01_Parametres!$B$6*F1264)/01_Parametres!$B$8)))</x:f>
      </x:c>
      <x:c r="H1264">
        <x:f>IFERROR(VLOOKUP(C1264,02_Referentiels!$A$20:$D$99,3,FALSE),"")</x:f>
      </x:c>
      <x:c r="I1264">
        <x:f>IFERROR(VLOOKUP(B1264,02_Referentiels!$A$5:$C$16,2,FALSE),"")</x:f>
      </x:c>
      <x:c r="J1264">
        <x:f>IF(A1264="","",IF(OR(D1264="",E1264="",F1264=""),1,IF(OR(D1264&lt;0,D1264&gt;3,E1264&lt;0,E1264&gt;3,F1264&lt;0,F1264&gt;3),1,0)))</x:f>
      </x:c>
      <x:c r="K1264">
        <x:f>IF(A1264="","",IF(G1264="",1,0))</x:f>
      </x:c>
      <x:c r="L1264">
        <x:f>IF(A1264="","",IF(COUNTIFS($A$5:$A$2004,A1264,$C$5:$C$2004,C1264)&gt;1,1,0))</x:f>
      </x:c>
    </x:row>
    <x:row r="1265">
      <x:c r="A1265" s="8" t="n"/>
      <x:c r="B1265" s="8" t="n"/>
      <x:c r="C1265" s="8" t="n"/>
      <x:c r="D1265" s="8" t="n"/>
      <x:c r="E1265" s="8" t="n"/>
      <x:c r="F1265" s="8" t="n"/>
      <x:c r="G1265" s="7">
        <x:f>IF(A1265="","",IF(01_Parametres!$B$11="Oui",IF((01_Parametres!$B$4*(D1265&gt;0)+01_Parametres!$B$5*(E1265&gt;0)+01_Parametres!$B$6*(F1265&gt;0))=0,"",(01_Parametres!$B$4*IF(D1265&gt;0,D1265,0)+01_Parametres!$B$5*IF(E1265&gt;0,E1265,0)+01_Parametres!$B$6*IF(F1265&gt;0,F1265,0))/(01_Parametres!$B$4*(D1265&gt;0)+01_Parametres!$B$5*(E1265&gt;0)+01_Parametres!$B$6*(F1265&gt;0))),IF(01_Parametres!$B$8=0,"",(01_Parametres!$B$4*D1265+01_Parametres!$B$5*E1265+01_Parametres!$B$6*F1265)/01_Parametres!$B$8)))</x:f>
      </x:c>
      <x:c r="H1265">
        <x:f>IFERROR(VLOOKUP(C1265,02_Referentiels!$A$20:$D$99,3,FALSE),"")</x:f>
      </x:c>
      <x:c r="I1265">
        <x:f>IFERROR(VLOOKUP(B1265,02_Referentiels!$A$5:$C$16,2,FALSE),"")</x:f>
      </x:c>
      <x:c r="J1265">
        <x:f>IF(A1265="","",IF(OR(D1265="",E1265="",F1265=""),1,IF(OR(D1265&lt;0,D1265&gt;3,E1265&lt;0,E1265&gt;3,F1265&lt;0,F1265&gt;3),1,0)))</x:f>
      </x:c>
      <x:c r="K1265">
        <x:f>IF(A1265="","",IF(G1265="",1,0))</x:f>
      </x:c>
      <x:c r="L1265">
        <x:f>IF(A1265="","",IF(COUNTIFS($A$5:$A$2004,A1265,$C$5:$C$2004,C1265)&gt;1,1,0))</x:f>
      </x:c>
    </x:row>
    <x:row r="1266">
      <x:c r="A1266" s="8" t="n"/>
      <x:c r="B1266" s="8" t="n"/>
      <x:c r="C1266" s="8" t="n"/>
      <x:c r="D1266" s="8" t="n"/>
      <x:c r="E1266" s="8" t="n"/>
      <x:c r="F1266" s="8" t="n"/>
      <x:c r="G1266" s="7">
        <x:f>IF(A1266="","",IF(01_Parametres!$B$11="Oui",IF((01_Parametres!$B$4*(D1266&gt;0)+01_Parametres!$B$5*(E1266&gt;0)+01_Parametres!$B$6*(F1266&gt;0))=0,"",(01_Parametres!$B$4*IF(D1266&gt;0,D1266,0)+01_Parametres!$B$5*IF(E1266&gt;0,E1266,0)+01_Parametres!$B$6*IF(F1266&gt;0,F1266,0))/(01_Parametres!$B$4*(D1266&gt;0)+01_Parametres!$B$5*(E1266&gt;0)+01_Parametres!$B$6*(F1266&gt;0))),IF(01_Parametres!$B$8=0,"",(01_Parametres!$B$4*D1266+01_Parametres!$B$5*E1266+01_Parametres!$B$6*F1266)/01_Parametres!$B$8)))</x:f>
      </x:c>
      <x:c r="H1266">
        <x:f>IFERROR(VLOOKUP(C1266,02_Referentiels!$A$20:$D$99,3,FALSE),"")</x:f>
      </x:c>
      <x:c r="I1266">
        <x:f>IFERROR(VLOOKUP(B1266,02_Referentiels!$A$5:$C$16,2,FALSE),"")</x:f>
      </x:c>
      <x:c r="J1266">
        <x:f>IF(A1266="","",IF(OR(D1266="",E1266="",F1266=""),1,IF(OR(D1266&lt;0,D1266&gt;3,E1266&lt;0,E1266&gt;3,F1266&lt;0,F1266&gt;3),1,0)))</x:f>
      </x:c>
      <x:c r="K1266">
        <x:f>IF(A1266="","",IF(G1266="",1,0))</x:f>
      </x:c>
      <x:c r="L1266">
        <x:f>IF(A1266="","",IF(COUNTIFS($A$5:$A$2004,A1266,$C$5:$C$2004,C1266)&gt;1,1,0))</x:f>
      </x:c>
    </x:row>
    <x:row r="1267">
      <x:c r="A1267" s="8" t="n"/>
      <x:c r="B1267" s="8" t="n"/>
      <x:c r="C1267" s="8" t="n"/>
      <x:c r="D1267" s="8" t="n"/>
      <x:c r="E1267" s="8" t="n"/>
      <x:c r="F1267" s="8" t="n"/>
      <x:c r="G1267" s="7">
        <x:f>IF(A1267="","",IF(01_Parametres!$B$11="Oui",IF((01_Parametres!$B$4*(D1267&gt;0)+01_Parametres!$B$5*(E1267&gt;0)+01_Parametres!$B$6*(F1267&gt;0))=0,"",(01_Parametres!$B$4*IF(D1267&gt;0,D1267,0)+01_Parametres!$B$5*IF(E1267&gt;0,E1267,0)+01_Parametres!$B$6*IF(F1267&gt;0,F1267,0))/(01_Parametres!$B$4*(D1267&gt;0)+01_Parametres!$B$5*(E1267&gt;0)+01_Parametres!$B$6*(F1267&gt;0))),IF(01_Parametres!$B$8=0,"",(01_Parametres!$B$4*D1267+01_Parametres!$B$5*E1267+01_Parametres!$B$6*F1267)/01_Parametres!$B$8)))</x:f>
      </x:c>
      <x:c r="H1267">
        <x:f>IFERROR(VLOOKUP(C1267,02_Referentiels!$A$20:$D$99,3,FALSE),"")</x:f>
      </x:c>
      <x:c r="I1267">
        <x:f>IFERROR(VLOOKUP(B1267,02_Referentiels!$A$5:$C$16,2,FALSE),"")</x:f>
      </x:c>
      <x:c r="J1267">
        <x:f>IF(A1267="","",IF(OR(D1267="",E1267="",F1267=""),1,IF(OR(D1267&lt;0,D1267&gt;3,E1267&lt;0,E1267&gt;3,F1267&lt;0,F1267&gt;3),1,0)))</x:f>
      </x:c>
      <x:c r="K1267">
        <x:f>IF(A1267="","",IF(G1267="",1,0))</x:f>
      </x:c>
      <x:c r="L1267">
        <x:f>IF(A1267="","",IF(COUNTIFS($A$5:$A$2004,A1267,$C$5:$C$2004,C1267)&gt;1,1,0))</x:f>
      </x:c>
    </x:row>
    <x:row r="1268">
      <x:c r="A1268" s="8" t="n"/>
      <x:c r="B1268" s="8" t="n"/>
      <x:c r="C1268" s="8" t="n"/>
      <x:c r="D1268" s="8" t="n"/>
      <x:c r="E1268" s="8" t="n"/>
      <x:c r="F1268" s="8" t="n"/>
      <x:c r="G1268" s="7">
        <x:f>IF(A1268="","",IF(01_Parametres!$B$11="Oui",IF((01_Parametres!$B$4*(D1268&gt;0)+01_Parametres!$B$5*(E1268&gt;0)+01_Parametres!$B$6*(F1268&gt;0))=0,"",(01_Parametres!$B$4*IF(D1268&gt;0,D1268,0)+01_Parametres!$B$5*IF(E1268&gt;0,E1268,0)+01_Parametres!$B$6*IF(F1268&gt;0,F1268,0))/(01_Parametres!$B$4*(D1268&gt;0)+01_Parametres!$B$5*(E1268&gt;0)+01_Parametres!$B$6*(F1268&gt;0))),IF(01_Parametres!$B$8=0,"",(01_Parametres!$B$4*D1268+01_Parametres!$B$5*E1268+01_Parametres!$B$6*F1268)/01_Parametres!$B$8)))</x:f>
      </x:c>
      <x:c r="H1268">
        <x:f>IFERROR(VLOOKUP(C1268,02_Referentiels!$A$20:$D$99,3,FALSE),"")</x:f>
      </x:c>
      <x:c r="I1268">
        <x:f>IFERROR(VLOOKUP(B1268,02_Referentiels!$A$5:$C$16,2,FALSE),"")</x:f>
      </x:c>
      <x:c r="J1268">
        <x:f>IF(A1268="","",IF(OR(D1268="",E1268="",F1268=""),1,IF(OR(D1268&lt;0,D1268&gt;3,E1268&lt;0,E1268&gt;3,F1268&lt;0,F1268&gt;3),1,0)))</x:f>
      </x:c>
      <x:c r="K1268">
        <x:f>IF(A1268="","",IF(G1268="",1,0))</x:f>
      </x:c>
      <x:c r="L1268">
        <x:f>IF(A1268="","",IF(COUNTIFS($A$5:$A$2004,A1268,$C$5:$C$2004,C1268)&gt;1,1,0))</x:f>
      </x:c>
    </x:row>
    <x:row r="1269">
      <x:c r="A1269" s="8" t="n"/>
      <x:c r="B1269" s="8" t="n"/>
      <x:c r="C1269" s="8" t="n"/>
      <x:c r="D1269" s="8" t="n"/>
      <x:c r="E1269" s="8" t="n"/>
      <x:c r="F1269" s="8" t="n"/>
      <x:c r="G1269" s="7">
        <x:f>IF(A1269="","",IF(01_Parametres!$B$11="Oui",IF((01_Parametres!$B$4*(D1269&gt;0)+01_Parametres!$B$5*(E1269&gt;0)+01_Parametres!$B$6*(F1269&gt;0))=0,"",(01_Parametres!$B$4*IF(D1269&gt;0,D1269,0)+01_Parametres!$B$5*IF(E1269&gt;0,E1269,0)+01_Parametres!$B$6*IF(F1269&gt;0,F1269,0))/(01_Parametres!$B$4*(D1269&gt;0)+01_Parametres!$B$5*(E1269&gt;0)+01_Parametres!$B$6*(F1269&gt;0))),IF(01_Parametres!$B$8=0,"",(01_Parametres!$B$4*D1269+01_Parametres!$B$5*E1269+01_Parametres!$B$6*F1269)/01_Parametres!$B$8)))</x:f>
      </x:c>
      <x:c r="H1269">
        <x:f>IFERROR(VLOOKUP(C1269,02_Referentiels!$A$20:$D$99,3,FALSE),"")</x:f>
      </x:c>
      <x:c r="I1269">
        <x:f>IFERROR(VLOOKUP(B1269,02_Referentiels!$A$5:$C$16,2,FALSE),"")</x:f>
      </x:c>
      <x:c r="J1269">
        <x:f>IF(A1269="","",IF(OR(D1269="",E1269="",F1269=""),1,IF(OR(D1269&lt;0,D1269&gt;3,E1269&lt;0,E1269&gt;3,F1269&lt;0,F1269&gt;3),1,0)))</x:f>
      </x:c>
      <x:c r="K1269">
        <x:f>IF(A1269="","",IF(G1269="",1,0))</x:f>
      </x:c>
      <x:c r="L1269">
        <x:f>IF(A1269="","",IF(COUNTIFS($A$5:$A$2004,A1269,$C$5:$C$2004,C1269)&gt;1,1,0))</x:f>
      </x:c>
    </x:row>
    <x:row r="1270">
      <x:c r="A1270" s="8" t="n"/>
      <x:c r="B1270" s="8" t="n"/>
      <x:c r="C1270" s="8" t="n"/>
      <x:c r="D1270" s="8" t="n"/>
      <x:c r="E1270" s="8" t="n"/>
      <x:c r="F1270" s="8" t="n"/>
      <x:c r="G1270" s="7">
        <x:f>IF(A1270="","",IF(01_Parametres!$B$11="Oui",IF((01_Parametres!$B$4*(D1270&gt;0)+01_Parametres!$B$5*(E1270&gt;0)+01_Parametres!$B$6*(F1270&gt;0))=0,"",(01_Parametres!$B$4*IF(D1270&gt;0,D1270,0)+01_Parametres!$B$5*IF(E1270&gt;0,E1270,0)+01_Parametres!$B$6*IF(F1270&gt;0,F1270,0))/(01_Parametres!$B$4*(D1270&gt;0)+01_Parametres!$B$5*(E1270&gt;0)+01_Parametres!$B$6*(F1270&gt;0))),IF(01_Parametres!$B$8=0,"",(01_Parametres!$B$4*D1270+01_Parametres!$B$5*E1270+01_Parametres!$B$6*F1270)/01_Parametres!$B$8)))</x:f>
      </x:c>
      <x:c r="H1270">
        <x:f>IFERROR(VLOOKUP(C1270,02_Referentiels!$A$20:$D$99,3,FALSE),"")</x:f>
      </x:c>
      <x:c r="I1270">
        <x:f>IFERROR(VLOOKUP(B1270,02_Referentiels!$A$5:$C$16,2,FALSE),"")</x:f>
      </x:c>
      <x:c r="J1270">
        <x:f>IF(A1270="","",IF(OR(D1270="",E1270="",F1270=""),1,IF(OR(D1270&lt;0,D1270&gt;3,E1270&lt;0,E1270&gt;3,F1270&lt;0,F1270&gt;3),1,0)))</x:f>
      </x:c>
      <x:c r="K1270">
        <x:f>IF(A1270="","",IF(G1270="",1,0))</x:f>
      </x:c>
      <x:c r="L1270">
        <x:f>IF(A1270="","",IF(COUNTIFS($A$5:$A$2004,A1270,$C$5:$C$2004,C1270)&gt;1,1,0))</x:f>
      </x:c>
    </x:row>
    <x:row r="1271">
      <x:c r="A1271" s="8" t="n"/>
      <x:c r="B1271" s="8" t="n"/>
      <x:c r="C1271" s="8" t="n"/>
      <x:c r="D1271" s="8" t="n"/>
      <x:c r="E1271" s="8" t="n"/>
      <x:c r="F1271" s="8" t="n"/>
      <x:c r="G1271" s="7">
        <x:f>IF(A1271="","",IF(01_Parametres!$B$11="Oui",IF((01_Parametres!$B$4*(D1271&gt;0)+01_Parametres!$B$5*(E1271&gt;0)+01_Parametres!$B$6*(F1271&gt;0))=0,"",(01_Parametres!$B$4*IF(D1271&gt;0,D1271,0)+01_Parametres!$B$5*IF(E1271&gt;0,E1271,0)+01_Parametres!$B$6*IF(F1271&gt;0,F1271,0))/(01_Parametres!$B$4*(D1271&gt;0)+01_Parametres!$B$5*(E1271&gt;0)+01_Parametres!$B$6*(F1271&gt;0))),IF(01_Parametres!$B$8=0,"",(01_Parametres!$B$4*D1271+01_Parametres!$B$5*E1271+01_Parametres!$B$6*F1271)/01_Parametres!$B$8)))</x:f>
      </x:c>
      <x:c r="H1271">
        <x:f>IFERROR(VLOOKUP(C1271,02_Referentiels!$A$20:$D$99,3,FALSE),"")</x:f>
      </x:c>
      <x:c r="I1271">
        <x:f>IFERROR(VLOOKUP(B1271,02_Referentiels!$A$5:$C$16,2,FALSE),"")</x:f>
      </x:c>
      <x:c r="J1271">
        <x:f>IF(A1271="","",IF(OR(D1271="",E1271="",F1271=""),1,IF(OR(D1271&lt;0,D1271&gt;3,E1271&lt;0,E1271&gt;3,F1271&lt;0,F1271&gt;3),1,0)))</x:f>
      </x:c>
      <x:c r="K1271">
        <x:f>IF(A1271="","",IF(G1271="",1,0))</x:f>
      </x:c>
      <x:c r="L1271">
        <x:f>IF(A1271="","",IF(COUNTIFS($A$5:$A$2004,A1271,$C$5:$C$2004,C1271)&gt;1,1,0))</x:f>
      </x:c>
    </x:row>
    <x:row r="1272">
      <x:c r="A1272" s="8" t="n"/>
      <x:c r="B1272" s="8" t="n"/>
      <x:c r="C1272" s="8" t="n"/>
      <x:c r="D1272" s="8" t="n"/>
      <x:c r="E1272" s="8" t="n"/>
      <x:c r="F1272" s="8" t="n"/>
      <x:c r="G1272" s="7">
        <x:f>IF(A1272="","",IF(01_Parametres!$B$11="Oui",IF((01_Parametres!$B$4*(D1272&gt;0)+01_Parametres!$B$5*(E1272&gt;0)+01_Parametres!$B$6*(F1272&gt;0))=0,"",(01_Parametres!$B$4*IF(D1272&gt;0,D1272,0)+01_Parametres!$B$5*IF(E1272&gt;0,E1272,0)+01_Parametres!$B$6*IF(F1272&gt;0,F1272,0))/(01_Parametres!$B$4*(D1272&gt;0)+01_Parametres!$B$5*(E1272&gt;0)+01_Parametres!$B$6*(F1272&gt;0))),IF(01_Parametres!$B$8=0,"",(01_Parametres!$B$4*D1272+01_Parametres!$B$5*E1272+01_Parametres!$B$6*F1272)/01_Parametres!$B$8)))</x:f>
      </x:c>
      <x:c r="H1272">
        <x:f>IFERROR(VLOOKUP(C1272,02_Referentiels!$A$20:$D$99,3,FALSE),"")</x:f>
      </x:c>
      <x:c r="I1272">
        <x:f>IFERROR(VLOOKUP(B1272,02_Referentiels!$A$5:$C$16,2,FALSE),"")</x:f>
      </x:c>
      <x:c r="J1272">
        <x:f>IF(A1272="","",IF(OR(D1272="",E1272="",F1272=""),1,IF(OR(D1272&lt;0,D1272&gt;3,E1272&lt;0,E1272&gt;3,F1272&lt;0,F1272&gt;3),1,0)))</x:f>
      </x:c>
      <x:c r="K1272">
        <x:f>IF(A1272="","",IF(G1272="",1,0))</x:f>
      </x:c>
      <x:c r="L1272">
        <x:f>IF(A1272="","",IF(COUNTIFS($A$5:$A$2004,A1272,$C$5:$C$2004,C1272)&gt;1,1,0))</x:f>
      </x:c>
    </x:row>
    <x:row r="1273">
      <x:c r="A1273" s="8" t="n"/>
      <x:c r="B1273" s="8" t="n"/>
      <x:c r="C1273" s="8" t="n"/>
      <x:c r="D1273" s="8" t="n"/>
      <x:c r="E1273" s="8" t="n"/>
      <x:c r="F1273" s="8" t="n"/>
      <x:c r="G1273" s="7">
        <x:f>IF(A1273="","",IF(01_Parametres!$B$11="Oui",IF((01_Parametres!$B$4*(D1273&gt;0)+01_Parametres!$B$5*(E1273&gt;0)+01_Parametres!$B$6*(F1273&gt;0))=0,"",(01_Parametres!$B$4*IF(D1273&gt;0,D1273,0)+01_Parametres!$B$5*IF(E1273&gt;0,E1273,0)+01_Parametres!$B$6*IF(F1273&gt;0,F1273,0))/(01_Parametres!$B$4*(D1273&gt;0)+01_Parametres!$B$5*(E1273&gt;0)+01_Parametres!$B$6*(F1273&gt;0))),IF(01_Parametres!$B$8=0,"",(01_Parametres!$B$4*D1273+01_Parametres!$B$5*E1273+01_Parametres!$B$6*F1273)/01_Parametres!$B$8)))</x:f>
      </x:c>
      <x:c r="H1273">
        <x:f>IFERROR(VLOOKUP(C1273,02_Referentiels!$A$20:$D$99,3,FALSE),"")</x:f>
      </x:c>
      <x:c r="I1273">
        <x:f>IFERROR(VLOOKUP(B1273,02_Referentiels!$A$5:$C$16,2,FALSE),"")</x:f>
      </x:c>
      <x:c r="J1273">
        <x:f>IF(A1273="","",IF(OR(D1273="",E1273="",F1273=""),1,IF(OR(D1273&lt;0,D1273&gt;3,E1273&lt;0,E1273&gt;3,F1273&lt;0,F1273&gt;3),1,0)))</x:f>
      </x:c>
      <x:c r="K1273">
        <x:f>IF(A1273="","",IF(G1273="",1,0))</x:f>
      </x:c>
      <x:c r="L1273">
        <x:f>IF(A1273="","",IF(COUNTIFS($A$5:$A$2004,A1273,$C$5:$C$2004,C1273)&gt;1,1,0))</x:f>
      </x:c>
    </x:row>
    <x:row r="1274">
      <x:c r="A1274" s="8" t="n"/>
      <x:c r="B1274" s="8" t="n"/>
      <x:c r="C1274" s="8" t="n"/>
      <x:c r="D1274" s="8" t="n"/>
      <x:c r="E1274" s="8" t="n"/>
      <x:c r="F1274" s="8" t="n"/>
      <x:c r="G1274" s="7">
        <x:f>IF(A1274="","",IF(01_Parametres!$B$11="Oui",IF((01_Parametres!$B$4*(D1274&gt;0)+01_Parametres!$B$5*(E1274&gt;0)+01_Parametres!$B$6*(F1274&gt;0))=0,"",(01_Parametres!$B$4*IF(D1274&gt;0,D1274,0)+01_Parametres!$B$5*IF(E1274&gt;0,E1274,0)+01_Parametres!$B$6*IF(F1274&gt;0,F1274,0))/(01_Parametres!$B$4*(D1274&gt;0)+01_Parametres!$B$5*(E1274&gt;0)+01_Parametres!$B$6*(F1274&gt;0))),IF(01_Parametres!$B$8=0,"",(01_Parametres!$B$4*D1274+01_Parametres!$B$5*E1274+01_Parametres!$B$6*F1274)/01_Parametres!$B$8)))</x:f>
      </x:c>
      <x:c r="H1274">
        <x:f>IFERROR(VLOOKUP(C1274,02_Referentiels!$A$20:$D$99,3,FALSE),"")</x:f>
      </x:c>
      <x:c r="I1274">
        <x:f>IFERROR(VLOOKUP(B1274,02_Referentiels!$A$5:$C$16,2,FALSE),"")</x:f>
      </x:c>
      <x:c r="J1274">
        <x:f>IF(A1274="","",IF(OR(D1274="",E1274="",F1274=""),1,IF(OR(D1274&lt;0,D1274&gt;3,E1274&lt;0,E1274&gt;3,F1274&lt;0,F1274&gt;3),1,0)))</x:f>
      </x:c>
      <x:c r="K1274">
        <x:f>IF(A1274="","",IF(G1274="",1,0))</x:f>
      </x:c>
      <x:c r="L1274">
        <x:f>IF(A1274="","",IF(COUNTIFS($A$5:$A$2004,A1274,$C$5:$C$2004,C1274)&gt;1,1,0))</x:f>
      </x:c>
    </x:row>
    <x:row r="1275">
      <x:c r="A1275" s="8" t="n"/>
      <x:c r="B1275" s="8" t="n"/>
      <x:c r="C1275" s="8" t="n"/>
      <x:c r="D1275" s="8" t="n"/>
      <x:c r="E1275" s="8" t="n"/>
      <x:c r="F1275" s="8" t="n"/>
      <x:c r="G1275" s="7">
        <x:f>IF(A1275="","",IF(01_Parametres!$B$11="Oui",IF((01_Parametres!$B$4*(D1275&gt;0)+01_Parametres!$B$5*(E1275&gt;0)+01_Parametres!$B$6*(F1275&gt;0))=0,"",(01_Parametres!$B$4*IF(D1275&gt;0,D1275,0)+01_Parametres!$B$5*IF(E1275&gt;0,E1275,0)+01_Parametres!$B$6*IF(F1275&gt;0,F1275,0))/(01_Parametres!$B$4*(D1275&gt;0)+01_Parametres!$B$5*(E1275&gt;0)+01_Parametres!$B$6*(F1275&gt;0))),IF(01_Parametres!$B$8=0,"",(01_Parametres!$B$4*D1275+01_Parametres!$B$5*E1275+01_Parametres!$B$6*F1275)/01_Parametres!$B$8)))</x:f>
      </x:c>
      <x:c r="H1275">
        <x:f>IFERROR(VLOOKUP(C1275,02_Referentiels!$A$20:$D$99,3,FALSE),"")</x:f>
      </x:c>
      <x:c r="I1275">
        <x:f>IFERROR(VLOOKUP(B1275,02_Referentiels!$A$5:$C$16,2,FALSE),"")</x:f>
      </x:c>
      <x:c r="J1275">
        <x:f>IF(A1275="","",IF(OR(D1275="",E1275="",F1275=""),1,IF(OR(D1275&lt;0,D1275&gt;3,E1275&lt;0,E1275&gt;3,F1275&lt;0,F1275&gt;3),1,0)))</x:f>
      </x:c>
      <x:c r="K1275">
        <x:f>IF(A1275="","",IF(G1275="",1,0))</x:f>
      </x:c>
      <x:c r="L1275">
        <x:f>IF(A1275="","",IF(COUNTIFS($A$5:$A$2004,A1275,$C$5:$C$2004,C1275)&gt;1,1,0))</x:f>
      </x:c>
    </x:row>
    <x:row r="1276">
      <x:c r="A1276" s="8" t="n"/>
      <x:c r="B1276" s="8" t="n"/>
      <x:c r="C1276" s="8" t="n"/>
      <x:c r="D1276" s="8" t="n"/>
      <x:c r="E1276" s="8" t="n"/>
      <x:c r="F1276" s="8" t="n"/>
      <x:c r="G1276" s="7">
        <x:f>IF(A1276="","",IF(01_Parametres!$B$11="Oui",IF((01_Parametres!$B$4*(D1276&gt;0)+01_Parametres!$B$5*(E1276&gt;0)+01_Parametres!$B$6*(F1276&gt;0))=0,"",(01_Parametres!$B$4*IF(D1276&gt;0,D1276,0)+01_Parametres!$B$5*IF(E1276&gt;0,E1276,0)+01_Parametres!$B$6*IF(F1276&gt;0,F1276,0))/(01_Parametres!$B$4*(D1276&gt;0)+01_Parametres!$B$5*(E1276&gt;0)+01_Parametres!$B$6*(F1276&gt;0))),IF(01_Parametres!$B$8=0,"",(01_Parametres!$B$4*D1276+01_Parametres!$B$5*E1276+01_Parametres!$B$6*F1276)/01_Parametres!$B$8)))</x:f>
      </x:c>
      <x:c r="H1276">
        <x:f>IFERROR(VLOOKUP(C1276,02_Referentiels!$A$20:$D$99,3,FALSE),"")</x:f>
      </x:c>
      <x:c r="I1276">
        <x:f>IFERROR(VLOOKUP(B1276,02_Referentiels!$A$5:$C$16,2,FALSE),"")</x:f>
      </x:c>
      <x:c r="J1276">
        <x:f>IF(A1276="","",IF(OR(D1276="",E1276="",F1276=""),1,IF(OR(D1276&lt;0,D1276&gt;3,E1276&lt;0,E1276&gt;3,F1276&lt;0,F1276&gt;3),1,0)))</x:f>
      </x:c>
      <x:c r="K1276">
        <x:f>IF(A1276="","",IF(G1276="",1,0))</x:f>
      </x:c>
      <x:c r="L1276">
        <x:f>IF(A1276="","",IF(COUNTIFS($A$5:$A$2004,A1276,$C$5:$C$2004,C1276)&gt;1,1,0))</x:f>
      </x:c>
    </x:row>
    <x:row r="1277">
      <x:c r="A1277" s="8" t="n"/>
      <x:c r="B1277" s="8" t="n"/>
      <x:c r="C1277" s="8" t="n"/>
      <x:c r="D1277" s="8" t="n"/>
      <x:c r="E1277" s="8" t="n"/>
      <x:c r="F1277" s="8" t="n"/>
      <x:c r="G1277" s="7">
        <x:f>IF(A1277="","",IF(01_Parametres!$B$11="Oui",IF((01_Parametres!$B$4*(D1277&gt;0)+01_Parametres!$B$5*(E1277&gt;0)+01_Parametres!$B$6*(F1277&gt;0))=0,"",(01_Parametres!$B$4*IF(D1277&gt;0,D1277,0)+01_Parametres!$B$5*IF(E1277&gt;0,E1277,0)+01_Parametres!$B$6*IF(F1277&gt;0,F1277,0))/(01_Parametres!$B$4*(D1277&gt;0)+01_Parametres!$B$5*(E1277&gt;0)+01_Parametres!$B$6*(F1277&gt;0))),IF(01_Parametres!$B$8=0,"",(01_Parametres!$B$4*D1277+01_Parametres!$B$5*E1277+01_Parametres!$B$6*F1277)/01_Parametres!$B$8)))</x:f>
      </x:c>
      <x:c r="H1277">
        <x:f>IFERROR(VLOOKUP(C1277,02_Referentiels!$A$20:$D$99,3,FALSE),"")</x:f>
      </x:c>
      <x:c r="I1277">
        <x:f>IFERROR(VLOOKUP(B1277,02_Referentiels!$A$5:$C$16,2,FALSE),"")</x:f>
      </x:c>
      <x:c r="J1277">
        <x:f>IF(A1277="","",IF(OR(D1277="",E1277="",F1277=""),1,IF(OR(D1277&lt;0,D1277&gt;3,E1277&lt;0,E1277&gt;3,F1277&lt;0,F1277&gt;3),1,0)))</x:f>
      </x:c>
      <x:c r="K1277">
        <x:f>IF(A1277="","",IF(G1277="",1,0))</x:f>
      </x:c>
      <x:c r="L1277">
        <x:f>IF(A1277="","",IF(COUNTIFS($A$5:$A$2004,A1277,$C$5:$C$2004,C1277)&gt;1,1,0))</x:f>
      </x:c>
    </x:row>
    <x:row r="1278">
      <x:c r="A1278" s="8" t="n"/>
      <x:c r="B1278" s="8" t="n"/>
      <x:c r="C1278" s="8" t="n"/>
      <x:c r="D1278" s="8" t="n"/>
      <x:c r="E1278" s="8" t="n"/>
      <x:c r="F1278" s="8" t="n"/>
      <x:c r="G1278" s="7">
        <x:f>IF(A1278="","",IF(01_Parametres!$B$11="Oui",IF((01_Parametres!$B$4*(D1278&gt;0)+01_Parametres!$B$5*(E1278&gt;0)+01_Parametres!$B$6*(F1278&gt;0))=0,"",(01_Parametres!$B$4*IF(D1278&gt;0,D1278,0)+01_Parametres!$B$5*IF(E1278&gt;0,E1278,0)+01_Parametres!$B$6*IF(F1278&gt;0,F1278,0))/(01_Parametres!$B$4*(D1278&gt;0)+01_Parametres!$B$5*(E1278&gt;0)+01_Parametres!$B$6*(F1278&gt;0))),IF(01_Parametres!$B$8=0,"",(01_Parametres!$B$4*D1278+01_Parametres!$B$5*E1278+01_Parametres!$B$6*F1278)/01_Parametres!$B$8)))</x:f>
      </x:c>
      <x:c r="H1278">
        <x:f>IFERROR(VLOOKUP(C1278,02_Referentiels!$A$20:$D$99,3,FALSE),"")</x:f>
      </x:c>
      <x:c r="I1278">
        <x:f>IFERROR(VLOOKUP(B1278,02_Referentiels!$A$5:$C$16,2,FALSE),"")</x:f>
      </x:c>
      <x:c r="J1278">
        <x:f>IF(A1278="","",IF(OR(D1278="",E1278="",F1278=""),1,IF(OR(D1278&lt;0,D1278&gt;3,E1278&lt;0,E1278&gt;3,F1278&lt;0,F1278&gt;3),1,0)))</x:f>
      </x:c>
      <x:c r="K1278">
        <x:f>IF(A1278="","",IF(G1278="",1,0))</x:f>
      </x:c>
      <x:c r="L1278">
        <x:f>IF(A1278="","",IF(COUNTIFS($A$5:$A$2004,A1278,$C$5:$C$2004,C1278)&gt;1,1,0))</x:f>
      </x:c>
    </x:row>
    <x:row r="1279">
      <x:c r="A1279" s="8" t="n"/>
      <x:c r="B1279" s="8" t="n"/>
      <x:c r="C1279" s="8" t="n"/>
      <x:c r="D1279" s="8" t="n"/>
      <x:c r="E1279" s="8" t="n"/>
      <x:c r="F1279" s="8" t="n"/>
      <x:c r="G1279" s="7">
        <x:f>IF(A1279="","",IF(01_Parametres!$B$11="Oui",IF((01_Parametres!$B$4*(D1279&gt;0)+01_Parametres!$B$5*(E1279&gt;0)+01_Parametres!$B$6*(F1279&gt;0))=0,"",(01_Parametres!$B$4*IF(D1279&gt;0,D1279,0)+01_Parametres!$B$5*IF(E1279&gt;0,E1279,0)+01_Parametres!$B$6*IF(F1279&gt;0,F1279,0))/(01_Parametres!$B$4*(D1279&gt;0)+01_Parametres!$B$5*(E1279&gt;0)+01_Parametres!$B$6*(F1279&gt;0))),IF(01_Parametres!$B$8=0,"",(01_Parametres!$B$4*D1279+01_Parametres!$B$5*E1279+01_Parametres!$B$6*F1279)/01_Parametres!$B$8)))</x:f>
      </x:c>
      <x:c r="H1279">
        <x:f>IFERROR(VLOOKUP(C1279,02_Referentiels!$A$20:$D$99,3,FALSE),"")</x:f>
      </x:c>
      <x:c r="I1279">
        <x:f>IFERROR(VLOOKUP(B1279,02_Referentiels!$A$5:$C$16,2,FALSE),"")</x:f>
      </x:c>
      <x:c r="J1279">
        <x:f>IF(A1279="","",IF(OR(D1279="",E1279="",F1279=""),1,IF(OR(D1279&lt;0,D1279&gt;3,E1279&lt;0,E1279&gt;3,F1279&lt;0,F1279&gt;3),1,0)))</x:f>
      </x:c>
      <x:c r="K1279">
        <x:f>IF(A1279="","",IF(G1279="",1,0))</x:f>
      </x:c>
      <x:c r="L1279">
        <x:f>IF(A1279="","",IF(COUNTIFS($A$5:$A$2004,A1279,$C$5:$C$2004,C1279)&gt;1,1,0))</x:f>
      </x:c>
    </x:row>
    <x:row r="1280">
      <x:c r="A1280" s="8" t="n"/>
      <x:c r="B1280" s="8" t="n"/>
      <x:c r="C1280" s="8" t="n"/>
      <x:c r="D1280" s="8" t="n"/>
      <x:c r="E1280" s="8" t="n"/>
      <x:c r="F1280" s="8" t="n"/>
      <x:c r="G1280" s="7">
        <x:f>IF(A1280="","",IF(01_Parametres!$B$11="Oui",IF((01_Parametres!$B$4*(D1280&gt;0)+01_Parametres!$B$5*(E1280&gt;0)+01_Parametres!$B$6*(F1280&gt;0))=0,"",(01_Parametres!$B$4*IF(D1280&gt;0,D1280,0)+01_Parametres!$B$5*IF(E1280&gt;0,E1280,0)+01_Parametres!$B$6*IF(F1280&gt;0,F1280,0))/(01_Parametres!$B$4*(D1280&gt;0)+01_Parametres!$B$5*(E1280&gt;0)+01_Parametres!$B$6*(F1280&gt;0))),IF(01_Parametres!$B$8=0,"",(01_Parametres!$B$4*D1280+01_Parametres!$B$5*E1280+01_Parametres!$B$6*F1280)/01_Parametres!$B$8)))</x:f>
      </x:c>
      <x:c r="H1280">
        <x:f>IFERROR(VLOOKUP(C1280,02_Referentiels!$A$20:$D$99,3,FALSE),"")</x:f>
      </x:c>
      <x:c r="I1280">
        <x:f>IFERROR(VLOOKUP(B1280,02_Referentiels!$A$5:$C$16,2,FALSE),"")</x:f>
      </x:c>
      <x:c r="J1280">
        <x:f>IF(A1280="","",IF(OR(D1280="",E1280="",F1280=""),1,IF(OR(D1280&lt;0,D1280&gt;3,E1280&lt;0,E1280&gt;3,F1280&lt;0,F1280&gt;3),1,0)))</x:f>
      </x:c>
      <x:c r="K1280">
        <x:f>IF(A1280="","",IF(G1280="",1,0))</x:f>
      </x:c>
      <x:c r="L1280">
        <x:f>IF(A1280="","",IF(COUNTIFS($A$5:$A$2004,A1280,$C$5:$C$2004,C1280)&gt;1,1,0))</x:f>
      </x:c>
    </x:row>
    <x:row r="1281">
      <x:c r="A1281" s="8" t="n"/>
      <x:c r="B1281" s="8" t="n"/>
      <x:c r="C1281" s="8" t="n"/>
      <x:c r="D1281" s="8" t="n"/>
      <x:c r="E1281" s="8" t="n"/>
      <x:c r="F1281" s="8" t="n"/>
      <x:c r="G1281" s="7">
        <x:f>IF(A1281="","",IF(01_Parametres!$B$11="Oui",IF((01_Parametres!$B$4*(D1281&gt;0)+01_Parametres!$B$5*(E1281&gt;0)+01_Parametres!$B$6*(F1281&gt;0))=0,"",(01_Parametres!$B$4*IF(D1281&gt;0,D1281,0)+01_Parametres!$B$5*IF(E1281&gt;0,E1281,0)+01_Parametres!$B$6*IF(F1281&gt;0,F1281,0))/(01_Parametres!$B$4*(D1281&gt;0)+01_Parametres!$B$5*(E1281&gt;0)+01_Parametres!$B$6*(F1281&gt;0))),IF(01_Parametres!$B$8=0,"",(01_Parametres!$B$4*D1281+01_Parametres!$B$5*E1281+01_Parametres!$B$6*F1281)/01_Parametres!$B$8)))</x:f>
      </x:c>
      <x:c r="H1281">
        <x:f>IFERROR(VLOOKUP(C1281,02_Referentiels!$A$20:$D$99,3,FALSE),"")</x:f>
      </x:c>
      <x:c r="I1281">
        <x:f>IFERROR(VLOOKUP(B1281,02_Referentiels!$A$5:$C$16,2,FALSE),"")</x:f>
      </x:c>
      <x:c r="J1281">
        <x:f>IF(A1281="","",IF(OR(D1281="",E1281="",F1281=""),1,IF(OR(D1281&lt;0,D1281&gt;3,E1281&lt;0,E1281&gt;3,F1281&lt;0,F1281&gt;3),1,0)))</x:f>
      </x:c>
      <x:c r="K1281">
        <x:f>IF(A1281="","",IF(G1281="",1,0))</x:f>
      </x:c>
      <x:c r="L1281">
        <x:f>IF(A1281="","",IF(COUNTIFS($A$5:$A$2004,A1281,$C$5:$C$2004,C1281)&gt;1,1,0))</x:f>
      </x:c>
    </x:row>
    <x:row r="1282">
      <x:c r="A1282" s="8" t="n"/>
      <x:c r="B1282" s="8" t="n"/>
      <x:c r="C1282" s="8" t="n"/>
      <x:c r="D1282" s="8" t="n"/>
      <x:c r="E1282" s="8" t="n"/>
      <x:c r="F1282" s="8" t="n"/>
      <x:c r="G1282" s="7">
        <x:f>IF(A1282="","",IF(01_Parametres!$B$11="Oui",IF((01_Parametres!$B$4*(D1282&gt;0)+01_Parametres!$B$5*(E1282&gt;0)+01_Parametres!$B$6*(F1282&gt;0))=0,"",(01_Parametres!$B$4*IF(D1282&gt;0,D1282,0)+01_Parametres!$B$5*IF(E1282&gt;0,E1282,0)+01_Parametres!$B$6*IF(F1282&gt;0,F1282,0))/(01_Parametres!$B$4*(D1282&gt;0)+01_Parametres!$B$5*(E1282&gt;0)+01_Parametres!$B$6*(F1282&gt;0))),IF(01_Parametres!$B$8=0,"",(01_Parametres!$B$4*D1282+01_Parametres!$B$5*E1282+01_Parametres!$B$6*F1282)/01_Parametres!$B$8)))</x:f>
      </x:c>
      <x:c r="H1282">
        <x:f>IFERROR(VLOOKUP(C1282,02_Referentiels!$A$20:$D$99,3,FALSE),"")</x:f>
      </x:c>
      <x:c r="I1282">
        <x:f>IFERROR(VLOOKUP(B1282,02_Referentiels!$A$5:$C$16,2,FALSE),"")</x:f>
      </x:c>
      <x:c r="J1282">
        <x:f>IF(A1282="","",IF(OR(D1282="",E1282="",F1282=""),1,IF(OR(D1282&lt;0,D1282&gt;3,E1282&lt;0,E1282&gt;3,F1282&lt;0,F1282&gt;3),1,0)))</x:f>
      </x:c>
      <x:c r="K1282">
        <x:f>IF(A1282="","",IF(G1282="",1,0))</x:f>
      </x:c>
      <x:c r="L1282">
        <x:f>IF(A1282="","",IF(COUNTIFS($A$5:$A$2004,A1282,$C$5:$C$2004,C1282)&gt;1,1,0))</x:f>
      </x:c>
    </x:row>
    <x:row r="1283">
      <x:c r="A1283" s="8" t="n"/>
      <x:c r="B1283" s="8" t="n"/>
      <x:c r="C1283" s="8" t="n"/>
      <x:c r="D1283" s="8" t="n"/>
      <x:c r="E1283" s="8" t="n"/>
      <x:c r="F1283" s="8" t="n"/>
      <x:c r="G1283" s="7">
        <x:f>IF(A1283="","",IF(01_Parametres!$B$11="Oui",IF((01_Parametres!$B$4*(D1283&gt;0)+01_Parametres!$B$5*(E1283&gt;0)+01_Parametres!$B$6*(F1283&gt;0))=0,"",(01_Parametres!$B$4*IF(D1283&gt;0,D1283,0)+01_Parametres!$B$5*IF(E1283&gt;0,E1283,0)+01_Parametres!$B$6*IF(F1283&gt;0,F1283,0))/(01_Parametres!$B$4*(D1283&gt;0)+01_Parametres!$B$5*(E1283&gt;0)+01_Parametres!$B$6*(F1283&gt;0))),IF(01_Parametres!$B$8=0,"",(01_Parametres!$B$4*D1283+01_Parametres!$B$5*E1283+01_Parametres!$B$6*F1283)/01_Parametres!$B$8)))</x:f>
      </x:c>
      <x:c r="H1283">
        <x:f>IFERROR(VLOOKUP(C1283,02_Referentiels!$A$20:$D$99,3,FALSE),"")</x:f>
      </x:c>
      <x:c r="I1283">
        <x:f>IFERROR(VLOOKUP(B1283,02_Referentiels!$A$5:$C$16,2,FALSE),"")</x:f>
      </x:c>
      <x:c r="J1283">
        <x:f>IF(A1283="","",IF(OR(D1283="",E1283="",F1283=""),1,IF(OR(D1283&lt;0,D1283&gt;3,E1283&lt;0,E1283&gt;3,F1283&lt;0,F1283&gt;3),1,0)))</x:f>
      </x:c>
      <x:c r="K1283">
        <x:f>IF(A1283="","",IF(G1283="",1,0))</x:f>
      </x:c>
      <x:c r="L1283">
        <x:f>IF(A1283="","",IF(COUNTIFS($A$5:$A$2004,A1283,$C$5:$C$2004,C1283)&gt;1,1,0))</x:f>
      </x:c>
    </x:row>
    <x:row r="1284">
      <x:c r="A1284" s="8" t="n"/>
      <x:c r="B1284" s="8" t="n"/>
      <x:c r="C1284" s="8" t="n"/>
      <x:c r="D1284" s="8" t="n"/>
      <x:c r="E1284" s="8" t="n"/>
      <x:c r="F1284" s="8" t="n"/>
      <x:c r="G1284" s="7">
        <x:f>IF(A1284="","",IF(01_Parametres!$B$11="Oui",IF((01_Parametres!$B$4*(D1284&gt;0)+01_Parametres!$B$5*(E1284&gt;0)+01_Parametres!$B$6*(F1284&gt;0))=0,"",(01_Parametres!$B$4*IF(D1284&gt;0,D1284,0)+01_Parametres!$B$5*IF(E1284&gt;0,E1284,0)+01_Parametres!$B$6*IF(F1284&gt;0,F1284,0))/(01_Parametres!$B$4*(D1284&gt;0)+01_Parametres!$B$5*(E1284&gt;0)+01_Parametres!$B$6*(F1284&gt;0))),IF(01_Parametres!$B$8=0,"",(01_Parametres!$B$4*D1284+01_Parametres!$B$5*E1284+01_Parametres!$B$6*F1284)/01_Parametres!$B$8)))</x:f>
      </x:c>
      <x:c r="H1284">
        <x:f>IFERROR(VLOOKUP(C1284,02_Referentiels!$A$20:$D$99,3,FALSE),"")</x:f>
      </x:c>
      <x:c r="I1284">
        <x:f>IFERROR(VLOOKUP(B1284,02_Referentiels!$A$5:$C$16,2,FALSE),"")</x:f>
      </x:c>
      <x:c r="J1284">
        <x:f>IF(A1284="","",IF(OR(D1284="",E1284="",F1284=""),1,IF(OR(D1284&lt;0,D1284&gt;3,E1284&lt;0,E1284&gt;3,F1284&lt;0,F1284&gt;3),1,0)))</x:f>
      </x:c>
      <x:c r="K1284">
        <x:f>IF(A1284="","",IF(G1284="",1,0))</x:f>
      </x:c>
      <x:c r="L1284">
        <x:f>IF(A1284="","",IF(COUNTIFS($A$5:$A$2004,A1284,$C$5:$C$2004,C1284)&gt;1,1,0))</x:f>
      </x:c>
    </x:row>
    <x:row r="1285">
      <x:c r="A1285" s="8" t="n"/>
      <x:c r="B1285" s="8" t="n"/>
      <x:c r="C1285" s="8" t="n"/>
      <x:c r="D1285" s="8" t="n"/>
      <x:c r="E1285" s="8" t="n"/>
      <x:c r="F1285" s="8" t="n"/>
      <x:c r="G1285" s="7">
        <x:f>IF(A1285="","",IF(01_Parametres!$B$11="Oui",IF((01_Parametres!$B$4*(D1285&gt;0)+01_Parametres!$B$5*(E1285&gt;0)+01_Parametres!$B$6*(F1285&gt;0))=0,"",(01_Parametres!$B$4*IF(D1285&gt;0,D1285,0)+01_Parametres!$B$5*IF(E1285&gt;0,E1285,0)+01_Parametres!$B$6*IF(F1285&gt;0,F1285,0))/(01_Parametres!$B$4*(D1285&gt;0)+01_Parametres!$B$5*(E1285&gt;0)+01_Parametres!$B$6*(F1285&gt;0))),IF(01_Parametres!$B$8=0,"",(01_Parametres!$B$4*D1285+01_Parametres!$B$5*E1285+01_Parametres!$B$6*F1285)/01_Parametres!$B$8)))</x:f>
      </x:c>
      <x:c r="H1285">
        <x:f>IFERROR(VLOOKUP(C1285,02_Referentiels!$A$20:$D$99,3,FALSE),"")</x:f>
      </x:c>
      <x:c r="I1285">
        <x:f>IFERROR(VLOOKUP(B1285,02_Referentiels!$A$5:$C$16,2,FALSE),"")</x:f>
      </x:c>
      <x:c r="J1285">
        <x:f>IF(A1285="","",IF(OR(D1285="",E1285="",F1285=""),1,IF(OR(D1285&lt;0,D1285&gt;3,E1285&lt;0,E1285&gt;3,F1285&lt;0,F1285&gt;3),1,0)))</x:f>
      </x:c>
      <x:c r="K1285">
        <x:f>IF(A1285="","",IF(G1285="",1,0))</x:f>
      </x:c>
      <x:c r="L1285">
        <x:f>IF(A1285="","",IF(COUNTIFS($A$5:$A$2004,A1285,$C$5:$C$2004,C1285)&gt;1,1,0))</x:f>
      </x:c>
    </x:row>
    <x:row r="1286">
      <x:c r="A1286" s="8" t="n"/>
      <x:c r="B1286" s="8" t="n"/>
      <x:c r="C1286" s="8" t="n"/>
      <x:c r="D1286" s="8" t="n"/>
      <x:c r="E1286" s="8" t="n"/>
      <x:c r="F1286" s="8" t="n"/>
      <x:c r="G1286" s="7">
        <x:f>IF(A1286="","",IF(01_Parametres!$B$11="Oui",IF((01_Parametres!$B$4*(D1286&gt;0)+01_Parametres!$B$5*(E1286&gt;0)+01_Parametres!$B$6*(F1286&gt;0))=0,"",(01_Parametres!$B$4*IF(D1286&gt;0,D1286,0)+01_Parametres!$B$5*IF(E1286&gt;0,E1286,0)+01_Parametres!$B$6*IF(F1286&gt;0,F1286,0))/(01_Parametres!$B$4*(D1286&gt;0)+01_Parametres!$B$5*(E1286&gt;0)+01_Parametres!$B$6*(F1286&gt;0))),IF(01_Parametres!$B$8=0,"",(01_Parametres!$B$4*D1286+01_Parametres!$B$5*E1286+01_Parametres!$B$6*F1286)/01_Parametres!$B$8)))</x:f>
      </x:c>
      <x:c r="H1286">
        <x:f>IFERROR(VLOOKUP(C1286,02_Referentiels!$A$20:$D$99,3,FALSE),"")</x:f>
      </x:c>
      <x:c r="I1286">
        <x:f>IFERROR(VLOOKUP(B1286,02_Referentiels!$A$5:$C$16,2,FALSE),"")</x:f>
      </x:c>
      <x:c r="J1286">
        <x:f>IF(A1286="","",IF(OR(D1286="",E1286="",F1286=""),1,IF(OR(D1286&lt;0,D1286&gt;3,E1286&lt;0,E1286&gt;3,F1286&lt;0,F1286&gt;3),1,0)))</x:f>
      </x:c>
      <x:c r="K1286">
        <x:f>IF(A1286="","",IF(G1286="",1,0))</x:f>
      </x:c>
      <x:c r="L1286">
        <x:f>IF(A1286="","",IF(COUNTIFS($A$5:$A$2004,A1286,$C$5:$C$2004,C1286)&gt;1,1,0))</x:f>
      </x:c>
    </x:row>
    <x:row r="1287">
      <x:c r="A1287" s="8" t="n"/>
      <x:c r="B1287" s="8" t="n"/>
      <x:c r="C1287" s="8" t="n"/>
      <x:c r="D1287" s="8" t="n"/>
      <x:c r="E1287" s="8" t="n"/>
      <x:c r="F1287" s="8" t="n"/>
      <x:c r="G1287" s="7">
        <x:f>IF(A1287="","",IF(01_Parametres!$B$11="Oui",IF((01_Parametres!$B$4*(D1287&gt;0)+01_Parametres!$B$5*(E1287&gt;0)+01_Parametres!$B$6*(F1287&gt;0))=0,"",(01_Parametres!$B$4*IF(D1287&gt;0,D1287,0)+01_Parametres!$B$5*IF(E1287&gt;0,E1287,0)+01_Parametres!$B$6*IF(F1287&gt;0,F1287,0))/(01_Parametres!$B$4*(D1287&gt;0)+01_Parametres!$B$5*(E1287&gt;0)+01_Parametres!$B$6*(F1287&gt;0))),IF(01_Parametres!$B$8=0,"",(01_Parametres!$B$4*D1287+01_Parametres!$B$5*E1287+01_Parametres!$B$6*F1287)/01_Parametres!$B$8)))</x:f>
      </x:c>
      <x:c r="H1287">
        <x:f>IFERROR(VLOOKUP(C1287,02_Referentiels!$A$20:$D$99,3,FALSE),"")</x:f>
      </x:c>
      <x:c r="I1287">
        <x:f>IFERROR(VLOOKUP(B1287,02_Referentiels!$A$5:$C$16,2,FALSE),"")</x:f>
      </x:c>
      <x:c r="J1287">
        <x:f>IF(A1287="","",IF(OR(D1287="",E1287="",F1287=""),1,IF(OR(D1287&lt;0,D1287&gt;3,E1287&lt;0,E1287&gt;3,F1287&lt;0,F1287&gt;3),1,0)))</x:f>
      </x:c>
      <x:c r="K1287">
        <x:f>IF(A1287="","",IF(G1287="",1,0))</x:f>
      </x:c>
      <x:c r="L1287">
        <x:f>IF(A1287="","",IF(COUNTIFS($A$5:$A$2004,A1287,$C$5:$C$2004,C1287)&gt;1,1,0))</x:f>
      </x:c>
    </x:row>
    <x:row r="1288">
      <x:c r="A1288" s="8" t="n"/>
      <x:c r="B1288" s="8" t="n"/>
      <x:c r="C1288" s="8" t="n"/>
      <x:c r="D1288" s="8" t="n"/>
      <x:c r="E1288" s="8" t="n"/>
      <x:c r="F1288" s="8" t="n"/>
      <x:c r="G1288" s="7">
        <x:f>IF(A1288="","",IF(01_Parametres!$B$11="Oui",IF((01_Parametres!$B$4*(D1288&gt;0)+01_Parametres!$B$5*(E1288&gt;0)+01_Parametres!$B$6*(F1288&gt;0))=0,"",(01_Parametres!$B$4*IF(D1288&gt;0,D1288,0)+01_Parametres!$B$5*IF(E1288&gt;0,E1288,0)+01_Parametres!$B$6*IF(F1288&gt;0,F1288,0))/(01_Parametres!$B$4*(D1288&gt;0)+01_Parametres!$B$5*(E1288&gt;0)+01_Parametres!$B$6*(F1288&gt;0))),IF(01_Parametres!$B$8=0,"",(01_Parametres!$B$4*D1288+01_Parametres!$B$5*E1288+01_Parametres!$B$6*F1288)/01_Parametres!$B$8)))</x:f>
      </x:c>
      <x:c r="H1288">
        <x:f>IFERROR(VLOOKUP(C1288,02_Referentiels!$A$20:$D$99,3,FALSE),"")</x:f>
      </x:c>
      <x:c r="I1288">
        <x:f>IFERROR(VLOOKUP(B1288,02_Referentiels!$A$5:$C$16,2,FALSE),"")</x:f>
      </x:c>
      <x:c r="J1288">
        <x:f>IF(A1288="","",IF(OR(D1288="",E1288="",F1288=""),1,IF(OR(D1288&lt;0,D1288&gt;3,E1288&lt;0,E1288&gt;3,F1288&lt;0,F1288&gt;3),1,0)))</x:f>
      </x:c>
      <x:c r="K1288">
        <x:f>IF(A1288="","",IF(G1288="",1,0))</x:f>
      </x:c>
      <x:c r="L1288">
        <x:f>IF(A1288="","",IF(COUNTIFS($A$5:$A$2004,A1288,$C$5:$C$2004,C1288)&gt;1,1,0))</x:f>
      </x:c>
    </x:row>
    <x:row r="1289">
      <x:c r="A1289" s="8" t="n"/>
      <x:c r="B1289" s="8" t="n"/>
      <x:c r="C1289" s="8" t="n"/>
      <x:c r="D1289" s="8" t="n"/>
      <x:c r="E1289" s="8" t="n"/>
      <x:c r="F1289" s="8" t="n"/>
      <x:c r="G1289" s="7">
        <x:f>IF(A1289="","",IF(01_Parametres!$B$11="Oui",IF((01_Parametres!$B$4*(D1289&gt;0)+01_Parametres!$B$5*(E1289&gt;0)+01_Parametres!$B$6*(F1289&gt;0))=0,"",(01_Parametres!$B$4*IF(D1289&gt;0,D1289,0)+01_Parametres!$B$5*IF(E1289&gt;0,E1289,0)+01_Parametres!$B$6*IF(F1289&gt;0,F1289,0))/(01_Parametres!$B$4*(D1289&gt;0)+01_Parametres!$B$5*(E1289&gt;0)+01_Parametres!$B$6*(F1289&gt;0))),IF(01_Parametres!$B$8=0,"",(01_Parametres!$B$4*D1289+01_Parametres!$B$5*E1289+01_Parametres!$B$6*F1289)/01_Parametres!$B$8)))</x:f>
      </x:c>
      <x:c r="H1289">
        <x:f>IFERROR(VLOOKUP(C1289,02_Referentiels!$A$20:$D$99,3,FALSE),"")</x:f>
      </x:c>
      <x:c r="I1289">
        <x:f>IFERROR(VLOOKUP(B1289,02_Referentiels!$A$5:$C$16,2,FALSE),"")</x:f>
      </x:c>
      <x:c r="J1289">
        <x:f>IF(A1289="","",IF(OR(D1289="",E1289="",F1289=""),1,IF(OR(D1289&lt;0,D1289&gt;3,E1289&lt;0,E1289&gt;3,F1289&lt;0,F1289&gt;3),1,0)))</x:f>
      </x:c>
      <x:c r="K1289">
        <x:f>IF(A1289="","",IF(G1289="",1,0))</x:f>
      </x:c>
      <x:c r="L1289">
        <x:f>IF(A1289="","",IF(COUNTIFS($A$5:$A$2004,A1289,$C$5:$C$2004,C1289)&gt;1,1,0))</x:f>
      </x:c>
    </x:row>
    <x:row r="1290">
      <x:c r="A1290" s="8" t="n"/>
      <x:c r="B1290" s="8" t="n"/>
      <x:c r="C1290" s="8" t="n"/>
      <x:c r="D1290" s="8" t="n"/>
      <x:c r="E1290" s="8" t="n"/>
      <x:c r="F1290" s="8" t="n"/>
      <x:c r="G1290" s="7">
        <x:f>IF(A1290="","",IF(01_Parametres!$B$11="Oui",IF((01_Parametres!$B$4*(D1290&gt;0)+01_Parametres!$B$5*(E1290&gt;0)+01_Parametres!$B$6*(F1290&gt;0))=0,"",(01_Parametres!$B$4*IF(D1290&gt;0,D1290,0)+01_Parametres!$B$5*IF(E1290&gt;0,E1290,0)+01_Parametres!$B$6*IF(F1290&gt;0,F1290,0))/(01_Parametres!$B$4*(D1290&gt;0)+01_Parametres!$B$5*(E1290&gt;0)+01_Parametres!$B$6*(F1290&gt;0))),IF(01_Parametres!$B$8=0,"",(01_Parametres!$B$4*D1290+01_Parametres!$B$5*E1290+01_Parametres!$B$6*F1290)/01_Parametres!$B$8)))</x:f>
      </x:c>
      <x:c r="H1290">
        <x:f>IFERROR(VLOOKUP(C1290,02_Referentiels!$A$20:$D$99,3,FALSE),"")</x:f>
      </x:c>
      <x:c r="I1290">
        <x:f>IFERROR(VLOOKUP(B1290,02_Referentiels!$A$5:$C$16,2,FALSE),"")</x:f>
      </x:c>
      <x:c r="J1290">
        <x:f>IF(A1290="","",IF(OR(D1290="",E1290="",F1290=""),1,IF(OR(D1290&lt;0,D1290&gt;3,E1290&lt;0,E1290&gt;3,F1290&lt;0,F1290&gt;3),1,0)))</x:f>
      </x:c>
      <x:c r="K1290">
        <x:f>IF(A1290="","",IF(G1290="",1,0))</x:f>
      </x:c>
      <x:c r="L1290">
        <x:f>IF(A1290="","",IF(COUNTIFS($A$5:$A$2004,A1290,$C$5:$C$2004,C1290)&gt;1,1,0))</x:f>
      </x:c>
    </x:row>
    <x:row r="1291">
      <x:c r="A1291" s="8" t="n"/>
      <x:c r="B1291" s="8" t="n"/>
      <x:c r="C1291" s="8" t="n"/>
      <x:c r="D1291" s="8" t="n"/>
      <x:c r="E1291" s="8" t="n"/>
      <x:c r="F1291" s="8" t="n"/>
      <x:c r="G1291" s="7">
        <x:f>IF(A1291="","",IF(01_Parametres!$B$11="Oui",IF((01_Parametres!$B$4*(D1291&gt;0)+01_Parametres!$B$5*(E1291&gt;0)+01_Parametres!$B$6*(F1291&gt;0))=0,"",(01_Parametres!$B$4*IF(D1291&gt;0,D1291,0)+01_Parametres!$B$5*IF(E1291&gt;0,E1291,0)+01_Parametres!$B$6*IF(F1291&gt;0,F1291,0))/(01_Parametres!$B$4*(D1291&gt;0)+01_Parametres!$B$5*(E1291&gt;0)+01_Parametres!$B$6*(F1291&gt;0))),IF(01_Parametres!$B$8=0,"",(01_Parametres!$B$4*D1291+01_Parametres!$B$5*E1291+01_Parametres!$B$6*F1291)/01_Parametres!$B$8)))</x:f>
      </x:c>
      <x:c r="H1291">
        <x:f>IFERROR(VLOOKUP(C1291,02_Referentiels!$A$20:$D$99,3,FALSE),"")</x:f>
      </x:c>
      <x:c r="I1291">
        <x:f>IFERROR(VLOOKUP(B1291,02_Referentiels!$A$5:$C$16,2,FALSE),"")</x:f>
      </x:c>
      <x:c r="J1291">
        <x:f>IF(A1291="","",IF(OR(D1291="",E1291="",F1291=""),1,IF(OR(D1291&lt;0,D1291&gt;3,E1291&lt;0,E1291&gt;3,F1291&lt;0,F1291&gt;3),1,0)))</x:f>
      </x:c>
      <x:c r="K1291">
        <x:f>IF(A1291="","",IF(G1291="",1,0))</x:f>
      </x:c>
      <x:c r="L1291">
        <x:f>IF(A1291="","",IF(COUNTIFS($A$5:$A$2004,A1291,$C$5:$C$2004,C1291)&gt;1,1,0))</x:f>
      </x:c>
    </x:row>
    <x:row r="1292">
      <x:c r="A1292" s="8" t="n"/>
      <x:c r="B1292" s="8" t="n"/>
      <x:c r="C1292" s="8" t="n"/>
      <x:c r="D1292" s="8" t="n"/>
      <x:c r="E1292" s="8" t="n"/>
      <x:c r="F1292" s="8" t="n"/>
      <x:c r="G1292" s="7">
        <x:f>IF(A1292="","",IF(01_Parametres!$B$11="Oui",IF((01_Parametres!$B$4*(D1292&gt;0)+01_Parametres!$B$5*(E1292&gt;0)+01_Parametres!$B$6*(F1292&gt;0))=0,"",(01_Parametres!$B$4*IF(D1292&gt;0,D1292,0)+01_Parametres!$B$5*IF(E1292&gt;0,E1292,0)+01_Parametres!$B$6*IF(F1292&gt;0,F1292,0))/(01_Parametres!$B$4*(D1292&gt;0)+01_Parametres!$B$5*(E1292&gt;0)+01_Parametres!$B$6*(F1292&gt;0))),IF(01_Parametres!$B$8=0,"",(01_Parametres!$B$4*D1292+01_Parametres!$B$5*E1292+01_Parametres!$B$6*F1292)/01_Parametres!$B$8)))</x:f>
      </x:c>
      <x:c r="H1292">
        <x:f>IFERROR(VLOOKUP(C1292,02_Referentiels!$A$20:$D$99,3,FALSE),"")</x:f>
      </x:c>
      <x:c r="I1292">
        <x:f>IFERROR(VLOOKUP(B1292,02_Referentiels!$A$5:$C$16,2,FALSE),"")</x:f>
      </x:c>
      <x:c r="J1292">
        <x:f>IF(A1292="","",IF(OR(D1292="",E1292="",F1292=""),1,IF(OR(D1292&lt;0,D1292&gt;3,E1292&lt;0,E1292&gt;3,F1292&lt;0,F1292&gt;3),1,0)))</x:f>
      </x:c>
      <x:c r="K1292">
        <x:f>IF(A1292="","",IF(G1292="",1,0))</x:f>
      </x:c>
      <x:c r="L1292">
        <x:f>IF(A1292="","",IF(COUNTIFS($A$5:$A$2004,A1292,$C$5:$C$2004,C1292)&gt;1,1,0))</x:f>
      </x:c>
    </x:row>
    <x:row r="1293">
      <x:c r="A1293" s="8" t="n"/>
      <x:c r="B1293" s="8" t="n"/>
      <x:c r="C1293" s="8" t="n"/>
      <x:c r="D1293" s="8" t="n"/>
      <x:c r="E1293" s="8" t="n"/>
      <x:c r="F1293" s="8" t="n"/>
      <x:c r="G1293" s="7">
        <x:f>IF(A1293="","",IF(01_Parametres!$B$11="Oui",IF((01_Parametres!$B$4*(D1293&gt;0)+01_Parametres!$B$5*(E1293&gt;0)+01_Parametres!$B$6*(F1293&gt;0))=0,"",(01_Parametres!$B$4*IF(D1293&gt;0,D1293,0)+01_Parametres!$B$5*IF(E1293&gt;0,E1293,0)+01_Parametres!$B$6*IF(F1293&gt;0,F1293,0))/(01_Parametres!$B$4*(D1293&gt;0)+01_Parametres!$B$5*(E1293&gt;0)+01_Parametres!$B$6*(F1293&gt;0))),IF(01_Parametres!$B$8=0,"",(01_Parametres!$B$4*D1293+01_Parametres!$B$5*E1293+01_Parametres!$B$6*F1293)/01_Parametres!$B$8)))</x:f>
      </x:c>
      <x:c r="H1293">
        <x:f>IFERROR(VLOOKUP(C1293,02_Referentiels!$A$20:$D$99,3,FALSE),"")</x:f>
      </x:c>
      <x:c r="I1293">
        <x:f>IFERROR(VLOOKUP(B1293,02_Referentiels!$A$5:$C$16,2,FALSE),"")</x:f>
      </x:c>
      <x:c r="J1293">
        <x:f>IF(A1293="","",IF(OR(D1293="",E1293="",F1293=""),1,IF(OR(D1293&lt;0,D1293&gt;3,E1293&lt;0,E1293&gt;3,F1293&lt;0,F1293&gt;3),1,0)))</x:f>
      </x:c>
      <x:c r="K1293">
        <x:f>IF(A1293="","",IF(G1293="",1,0))</x:f>
      </x:c>
      <x:c r="L1293">
        <x:f>IF(A1293="","",IF(COUNTIFS($A$5:$A$2004,A1293,$C$5:$C$2004,C1293)&gt;1,1,0))</x:f>
      </x:c>
    </x:row>
    <x:row r="1294">
      <x:c r="A1294" s="8" t="n"/>
      <x:c r="B1294" s="8" t="n"/>
      <x:c r="C1294" s="8" t="n"/>
      <x:c r="D1294" s="8" t="n"/>
      <x:c r="E1294" s="8" t="n"/>
      <x:c r="F1294" s="8" t="n"/>
      <x:c r="G1294" s="7">
        <x:f>IF(A1294="","",IF(01_Parametres!$B$11="Oui",IF((01_Parametres!$B$4*(D1294&gt;0)+01_Parametres!$B$5*(E1294&gt;0)+01_Parametres!$B$6*(F1294&gt;0))=0,"",(01_Parametres!$B$4*IF(D1294&gt;0,D1294,0)+01_Parametres!$B$5*IF(E1294&gt;0,E1294,0)+01_Parametres!$B$6*IF(F1294&gt;0,F1294,0))/(01_Parametres!$B$4*(D1294&gt;0)+01_Parametres!$B$5*(E1294&gt;0)+01_Parametres!$B$6*(F1294&gt;0))),IF(01_Parametres!$B$8=0,"",(01_Parametres!$B$4*D1294+01_Parametres!$B$5*E1294+01_Parametres!$B$6*F1294)/01_Parametres!$B$8)))</x:f>
      </x:c>
      <x:c r="H1294">
        <x:f>IFERROR(VLOOKUP(C1294,02_Referentiels!$A$20:$D$99,3,FALSE),"")</x:f>
      </x:c>
      <x:c r="I1294">
        <x:f>IFERROR(VLOOKUP(B1294,02_Referentiels!$A$5:$C$16,2,FALSE),"")</x:f>
      </x:c>
      <x:c r="J1294">
        <x:f>IF(A1294="","",IF(OR(D1294="",E1294="",F1294=""),1,IF(OR(D1294&lt;0,D1294&gt;3,E1294&lt;0,E1294&gt;3,F1294&lt;0,F1294&gt;3),1,0)))</x:f>
      </x:c>
      <x:c r="K1294">
        <x:f>IF(A1294="","",IF(G1294="",1,0))</x:f>
      </x:c>
      <x:c r="L1294">
        <x:f>IF(A1294="","",IF(COUNTIFS($A$5:$A$2004,A1294,$C$5:$C$2004,C1294)&gt;1,1,0))</x:f>
      </x:c>
    </x:row>
    <x:row r="1295">
      <x:c r="A1295" s="8" t="n"/>
      <x:c r="B1295" s="8" t="n"/>
      <x:c r="C1295" s="8" t="n"/>
      <x:c r="D1295" s="8" t="n"/>
      <x:c r="E1295" s="8" t="n"/>
      <x:c r="F1295" s="8" t="n"/>
      <x:c r="G1295" s="7">
        <x:f>IF(A1295="","",IF(01_Parametres!$B$11="Oui",IF((01_Parametres!$B$4*(D1295&gt;0)+01_Parametres!$B$5*(E1295&gt;0)+01_Parametres!$B$6*(F1295&gt;0))=0,"",(01_Parametres!$B$4*IF(D1295&gt;0,D1295,0)+01_Parametres!$B$5*IF(E1295&gt;0,E1295,0)+01_Parametres!$B$6*IF(F1295&gt;0,F1295,0))/(01_Parametres!$B$4*(D1295&gt;0)+01_Parametres!$B$5*(E1295&gt;0)+01_Parametres!$B$6*(F1295&gt;0))),IF(01_Parametres!$B$8=0,"",(01_Parametres!$B$4*D1295+01_Parametres!$B$5*E1295+01_Parametres!$B$6*F1295)/01_Parametres!$B$8)))</x:f>
      </x:c>
      <x:c r="H1295">
        <x:f>IFERROR(VLOOKUP(C1295,02_Referentiels!$A$20:$D$99,3,FALSE),"")</x:f>
      </x:c>
      <x:c r="I1295">
        <x:f>IFERROR(VLOOKUP(B1295,02_Referentiels!$A$5:$C$16,2,FALSE),"")</x:f>
      </x:c>
      <x:c r="J1295">
        <x:f>IF(A1295="","",IF(OR(D1295="",E1295="",F1295=""),1,IF(OR(D1295&lt;0,D1295&gt;3,E1295&lt;0,E1295&gt;3,F1295&lt;0,F1295&gt;3),1,0)))</x:f>
      </x:c>
      <x:c r="K1295">
        <x:f>IF(A1295="","",IF(G1295="",1,0))</x:f>
      </x:c>
      <x:c r="L1295">
        <x:f>IF(A1295="","",IF(COUNTIFS($A$5:$A$2004,A1295,$C$5:$C$2004,C1295)&gt;1,1,0))</x:f>
      </x:c>
    </x:row>
    <x:row r="1296">
      <x:c r="A1296" s="8" t="n"/>
      <x:c r="B1296" s="8" t="n"/>
      <x:c r="C1296" s="8" t="n"/>
      <x:c r="D1296" s="8" t="n"/>
      <x:c r="E1296" s="8" t="n"/>
      <x:c r="F1296" s="8" t="n"/>
      <x:c r="G1296" s="7">
        <x:f>IF(A1296="","",IF(01_Parametres!$B$11="Oui",IF((01_Parametres!$B$4*(D1296&gt;0)+01_Parametres!$B$5*(E1296&gt;0)+01_Parametres!$B$6*(F1296&gt;0))=0,"",(01_Parametres!$B$4*IF(D1296&gt;0,D1296,0)+01_Parametres!$B$5*IF(E1296&gt;0,E1296,0)+01_Parametres!$B$6*IF(F1296&gt;0,F1296,0))/(01_Parametres!$B$4*(D1296&gt;0)+01_Parametres!$B$5*(E1296&gt;0)+01_Parametres!$B$6*(F1296&gt;0))),IF(01_Parametres!$B$8=0,"",(01_Parametres!$B$4*D1296+01_Parametres!$B$5*E1296+01_Parametres!$B$6*F1296)/01_Parametres!$B$8)))</x:f>
      </x:c>
      <x:c r="H1296">
        <x:f>IFERROR(VLOOKUP(C1296,02_Referentiels!$A$20:$D$99,3,FALSE),"")</x:f>
      </x:c>
      <x:c r="I1296">
        <x:f>IFERROR(VLOOKUP(B1296,02_Referentiels!$A$5:$C$16,2,FALSE),"")</x:f>
      </x:c>
      <x:c r="J1296">
        <x:f>IF(A1296="","",IF(OR(D1296="",E1296="",F1296=""),1,IF(OR(D1296&lt;0,D1296&gt;3,E1296&lt;0,E1296&gt;3,F1296&lt;0,F1296&gt;3),1,0)))</x:f>
      </x:c>
      <x:c r="K1296">
        <x:f>IF(A1296="","",IF(G1296="",1,0))</x:f>
      </x:c>
      <x:c r="L1296">
        <x:f>IF(A1296="","",IF(COUNTIFS($A$5:$A$2004,A1296,$C$5:$C$2004,C1296)&gt;1,1,0))</x:f>
      </x:c>
    </x:row>
    <x:row r="1297">
      <x:c r="A1297" s="8" t="n"/>
      <x:c r="B1297" s="8" t="n"/>
      <x:c r="C1297" s="8" t="n"/>
      <x:c r="D1297" s="8" t="n"/>
      <x:c r="E1297" s="8" t="n"/>
      <x:c r="F1297" s="8" t="n"/>
      <x:c r="G1297" s="7">
        <x:f>IF(A1297="","",IF(01_Parametres!$B$11="Oui",IF((01_Parametres!$B$4*(D1297&gt;0)+01_Parametres!$B$5*(E1297&gt;0)+01_Parametres!$B$6*(F1297&gt;0))=0,"",(01_Parametres!$B$4*IF(D1297&gt;0,D1297,0)+01_Parametres!$B$5*IF(E1297&gt;0,E1297,0)+01_Parametres!$B$6*IF(F1297&gt;0,F1297,0))/(01_Parametres!$B$4*(D1297&gt;0)+01_Parametres!$B$5*(E1297&gt;0)+01_Parametres!$B$6*(F1297&gt;0))),IF(01_Parametres!$B$8=0,"",(01_Parametres!$B$4*D1297+01_Parametres!$B$5*E1297+01_Parametres!$B$6*F1297)/01_Parametres!$B$8)))</x:f>
      </x:c>
      <x:c r="H1297">
        <x:f>IFERROR(VLOOKUP(C1297,02_Referentiels!$A$20:$D$99,3,FALSE),"")</x:f>
      </x:c>
      <x:c r="I1297">
        <x:f>IFERROR(VLOOKUP(B1297,02_Referentiels!$A$5:$C$16,2,FALSE),"")</x:f>
      </x:c>
      <x:c r="J1297">
        <x:f>IF(A1297="","",IF(OR(D1297="",E1297="",F1297=""),1,IF(OR(D1297&lt;0,D1297&gt;3,E1297&lt;0,E1297&gt;3,F1297&lt;0,F1297&gt;3),1,0)))</x:f>
      </x:c>
      <x:c r="K1297">
        <x:f>IF(A1297="","",IF(G1297="",1,0))</x:f>
      </x:c>
      <x:c r="L1297">
        <x:f>IF(A1297="","",IF(COUNTIFS($A$5:$A$2004,A1297,$C$5:$C$2004,C1297)&gt;1,1,0))</x:f>
      </x:c>
    </x:row>
    <x:row r="1298">
      <x:c r="A1298" s="8" t="n"/>
      <x:c r="B1298" s="8" t="n"/>
      <x:c r="C1298" s="8" t="n"/>
      <x:c r="D1298" s="8" t="n"/>
      <x:c r="E1298" s="8" t="n"/>
      <x:c r="F1298" s="8" t="n"/>
      <x:c r="G1298" s="7">
        <x:f>IF(A1298="","",IF(01_Parametres!$B$11="Oui",IF((01_Parametres!$B$4*(D1298&gt;0)+01_Parametres!$B$5*(E1298&gt;0)+01_Parametres!$B$6*(F1298&gt;0))=0,"",(01_Parametres!$B$4*IF(D1298&gt;0,D1298,0)+01_Parametres!$B$5*IF(E1298&gt;0,E1298,0)+01_Parametres!$B$6*IF(F1298&gt;0,F1298,0))/(01_Parametres!$B$4*(D1298&gt;0)+01_Parametres!$B$5*(E1298&gt;0)+01_Parametres!$B$6*(F1298&gt;0))),IF(01_Parametres!$B$8=0,"",(01_Parametres!$B$4*D1298+01_Parametres!$B$5*E1298+01_Parametres!$B$6*F1298)/01_Parametres!$B$8)))</x:f>
      </x:c>
      <x:c r="H1298">
        <x:f>IFERROR(VLOOKUP(C1298,02_Referentiels!$A$20:$D$99,3,FALSE),"")</x:f>
      </x:c>
      <x:c r="I1298">
        <x:f>IFERROR(VLOOKUP(B1298,02_Referentiels!$A$5:$C$16,2,FALSE),"")</x:f>
      </x:c>
      <x:c r="J1298">
        <x:f>IF(A1298="","",IF(OR(D1298="",E1298="",F1298=""),1,IF(OR(D1298&lt;0,D1298&gt;3,E1298&lt;0,E1298&gt;3,F1298&lt;0,F1298&gt;3),1,0)))</x:f>
      </x:c>
      <x:c r="K1298">
        <x:f>IF(A1298="","",IF(G1298="",1,0))</x:f>
      </x:c>
      <x:c r="L1298">
        <x:f>IF(A1298="","",IF(COUNTIFS($A$5:$A$2004,A1298,$C$5:$C$2004,C1298)&gt;1,1,0))</x:f>
      </x:c>
    </x:row>
    <x:row r="1299">
      <x:c r="A1299" s="8" t="n"/>
      <x:c r="B1299" s="8" t="n"/>
      <x:c r="C1299" s="8" t="n"/>
      <x:c r="D1299" s="8" t="n"/>
      <x:c r="E1299" s="8" t="n"/>
      <x:c r="F1299" s="8" t="n"/>
      <x:c r="G1299" s="7">
        <x:f>IF(A1299="","",IF(01_Parametres!$B$11="Oui",IF((01_Parametres!$B$4*(D1299&gt;0)+01_Parametres!$B$5*(E1299&gt;0)+01_Parametres!$B$6*(F1299&gt;0))=0,"",(01_Parametres!$B$4*IF(D1299&gt;0,D1299,0)+01_Parametres!$B$5*IF(E1299&gt;0,E1299,0)+01_Parametres!$B$6*IF(F1299&gt;0,F1299,0))/(01_Parametres!$B$4*(D1299&gt;0)+01_Parametres!$B$5*(E1299&gt;0)+01_Parametres!$B$6*(F1299&gt;0))),IF(01_Parametres!$B$8=0,"",(01_Parametres!$B$4*D1299+01_Parametres!$B$5*E1299+01_Parametres!$B$6*F1299)/01_Parametres!$B$8)))</x:f>
      </x:c>
      <x:c r="H1299">
        <x:f>IFERROR(VLOOKUP(C1299,02_Referentiels!$A$20:$D$99,3,FALSE),"")</x:f>
      </x:c>
      <x:c r="I1299">
        <x:f>IFERROR(VLOOKUP(B1299,02_Referentiels!$A$5:$C$16,2,FALSE),"")</x:f>
      </x:c>
      <x:c r="J1299">
        <x:f>IF(A1299="","",IF(OR(D1299="",E1299="",F1299=""),1,IF(OR(D1299&lt;0,D1299&gt;3,E1299&lt;0,E1299&gt;3,F1299&lt;0,F1299&gt;3),1,0)))</x:f>
      </x:c>
      <x:c r="K1299">
        <x:f>IF(A1299="","",IF(G1299="",1,0))</x:f>
      </x:c>
      <x:c r="L1299">
        <x:f>IF(A1299="","",IF(COUNTIFS($A$5:$A$2004,A1299,$C$5:$C$2004,C1299)&gt;1,1,0))</x:f>
      </x:c>
    </x:row>
    <x:row r="1300">
      <x:c r="A1300" s="8" t="n"/>
      <x:c r="B1300" s="8" t="n"/>
      <x:c r="C1300" s="8" t="n"/>
      <x:c r="D1300" s="8" t="n"/>
      <x:c r="E1300" s="8" t="n"/>
      <x:c r="F1300" s="8" t="n"/>
      <x:c r="G1300" s="7">
        <x:f>IF(A1300="","",IF(01_Parametres!$B$11="Oui",IF((01_Parametres!$B$4*(D1300&gt;0)+01_Parametres!$B$5*(E1300&gt;0)+01_Parametres!$B$6*(F1300&gt;0))=0,"",(01_Parametres!$B$4*IF(D1300&gt;0,D1300,0)+01_Parametres!$B$5*IF(E1300&gt;0,E1300,0)+01_Parametres!$B$6*IF(F1300&gt;0,F1300,0))/(01_Parametres!$B$4*(D1300&gt;0)+01_Parametres!$B$5*(E1300&gt;0)+01_Parametres!$B$6*(F1300&gt;0))),IF(01_Parametres!$B$8=0,"",(01_Parametres!$B$4*D1300+01_Parametres!$B$5*E1300+01_Parametres!$B$6*F1300)/01_Parametres!$B$8)))</x:f>
      </x:c>
      <x:c r="H1300">
        <x:f>IFERROR(VLOOKUP(C1300,02_Referentiels!$A$20:$D$99,3,FALSE),"")</x:f>
      </x:c>
      <x:c r="I1300">
        <x:f>IFERROR(VLOOKUP(B1300,02_Referentiels!$A$5:$C$16,2,FALSE),"")</x:f>
      </x:c>
      <x:c r="J1300">
        <x:f>IF(A1300="","",IF(OR(D1300="",E1300="",F1300=""),1,IF(OR(D1300&lt;0,D1300&gt;3,E1300&lt;0,E1300&gt;3,F1300&lt;0,F1300&gt;3),1,0)))</x:f>
      </x:c>
      <x:c r="K1300">
        <x:f>IF(A1300="","",IF(G1300="",1,0))</x:f>
      </x:c>
      <x:c r="L1300">
        <x:f>IF(A1300="","",IF(COUNTIFS($A$5:$A$2004,A1300,$C$5:$C$2004,C1300)&gt;1,1,0))</x:f>
      </x:c>
    </x:row>
    <x:row r="1301">
      <x:c r="A1301" s="8" t="n"/>
      <x:c r="B1301" s="8" t="n"/>
      <x:c r="C1301" s="8" t="n"/>
      <x:c r="D1301" s="8" t="n"/>
      <x:c r="E1301" s="8" t="n"/>
      <x:c r="F1301" s="8" t="n"/>
      <x:c r="G1301" s="7">
        <x:f>IF(A1301="","",IF(01_Parametres!$B$11="Oui",IF((01_Parametres!$B$4*(D1301&gt;0)+01_Parametres!$B$5*(E1301&gt;0)+01_Parametres!$B$6*(F1301&gt;0))=0,"",(01_Parametres!$B$4*IF(D1301&gt;0,D1301,0)+01_Parametres!$B$5*IF(E1301&gt;0,E1301,0)+01_Parametres!$B$6*IF(F1301&gt;0,F1301,0))/(01_Parametres!$B$4*(D1301&gt;0)+01_Parametres!$B$5*(E1301&gt;0)+01_Parametres!$B$6*(F1301&gt;0))),IF(01_Parametres!$B$8=0,"",(01_Parametres!$B$4*D1301+01_Parametres!$B$5*E1301+01_Parametres!$B$6*F1301)/01_Parametres!$B$8)))</x:f>
      </x:c>
      <x:c r="H1301">
        <x:f>IFERROR(VLOOKUP(C1301,02_Referentiels!$A$20:$D$99,3,FALSE),"")</x:f>
      </x:c>
      <x:c r="I1301">
        <x:f>IFERROR(VLOOKUP(B1301,02_Referentiels!$A$5:$C$16,2,FALSE),"")</x:f>
      </x:c>
      <x:c r="J1301">
        <x:f>IF(A1301="","",IF(OR(D1301="",E1301="",F1301=""),1,IF(OR(D1301&lt;0,D1301&gt;3,E1301&lt;0,E1301&gt;3,F1301&lt;0,F1301&gt;3),1,0)))</x:f>
      </x:c>
      <x:c r="K1301">
        <x:f>IF(A1301="","",IF(G1301="",1,0))</x:f>
      </x:c>
      <x:c r="L1301">
        <x:f>IF(A1301="","",IF(COUNTIFS($A$5:$A$2004,A1301,$C$5:$C$2004,C1301)&gt;1,1,0))</x:f>
      </x:c>
    </x:row>
    <x:row r="1302">
      <x:c r="A1302" s="8" t="n"/>
      <x:c r="B1302" s="8" t="n"/>
      <x:c r="C1302" s="8" t="n"/>
      <x:c r="D1302" s="8" t="n"/>
      <x:c r="E1302" s="8" t="n"/>
      <x:c r="F1302" s="8" t="n"/>
      <x:c r="G1302" s="7">
        <x:f>IF(A1302="","",IF(01_Parametres!$B$11="Oui",IF((01_Parametres!$B$4*(D1302&gt;0)+01_Parametres!$B$5*(E1302&gt;0)+01_Parametres!$B$6*(F1302&gt;0))=0,"",(01_Parametres!$B$4*IF(D1302&gt;0,D1302,0)+01_Parametres!$B$5*IF(E1302&gt;0,E1302,0)+01_Parametres!$B$6*IF(F1302&gt;0,F1302,0))/(01_Parametres!$B$4*(D1302&gt;0)+01_Parametres!$B$5*(E1302&gt;0)+01_Parametres!$B$6*(F1302&gt;0))),IF(01_Parametres!$B$8=0,"",(01_Parametres!$B$4*D1302+01_Parametres!$B$5*E1302+01_Parametres!$B$6*F1302)/01_Parametres!$B$8)))</x:f>
      </x:c>
      <x:c r="H1302">
        <x:f>IFERROR(VLOOKUP(C1302,02_Referentiels!$A$20:$D$99,3,FALSE),"")</x:f>
      </x:c>
      <x:c r="I1302">
        <x:f>IFERROR(VLOOKUP(B1302,02_Referentiels!$A$5:$C$16,2,FALSE),"")</x:f>
      </x:c>
      <x:c r="J1302">
        <x:f>IF(A1302="","",IF(OR(D1302="",E1302="",F1302=""),1,IF(OR(D1302&lt;0,D1302&gt;3,E1302&lt;0,E1302&gt;3,F1302&lt;0,F1302&gt;3),1,0)))</x:f>
      </x:c>
      <x:c r="K1302">
        <x:f>IF(A1302="","",IF(G1302="",1,0))</x:f>
      </x:c>
      <x:c r="L1302">
        <x:f>IF(A1302="","",IF(COUNTIFS($A$5:$A$2004,A1302,$C$5:$C$2004,C1302)&gt;1,1,0))</x:f>
      </x:c>
    </x:row>
    <x:row r="1303">
      <x:c r="A1303" s="8" t="n"/>
      <x:c r="B1303" s="8" t="n"/>
      <x:c r="C1303" s="8" t="n"/>
      <x:c r="D1303" s="8" t="n"/>
      <x:c r="E1303" s="8" t="n"/>
      <x:c r="F1303" s="8" t="n"/>
      <x:c r="G1303" s="7">
        <x:f>IF(A1303="","",IF(01_Parametres!$B$11="Oui",IF((01_Parametres!$B$4*(D1303&gt;0)+01_Parametres!$B$5*(E1303&gt;0)+01_Parametres!$B$6*(F1303&gt;0))=0,"",(01_Parametres!$B$4*IF(D1303&gt;0,D1303,0)+01_Parametres!$B$5*IF(E1303&gt;0,E1303,0)+01_Parametres!$B$6*IF(F1303&gt;0,F1303,0))/(01_Parametres!$B$4*(D1303&gt;0)+01_Parametres!$B$5*(E1303&gt;0)+01_Parametres!$B$6*(F1303&gt;0))),IF(01_Parametres!$B$8=0,"",(01_Parametres!$B$4*D1303+01_Parametres!$B$5*E1303+01_Parametres!$B$6*F1303)/01_Parametres!$B$8)))</x:f>
      </x:c>
      <x:c r="H1303">
        <x:f>IFERROR(VLOOKUP(C1303,02_Referentiels!$A$20:$D$99,3,FALSE),"")</x:f>
      </x:c>
      <x:c r="I1303">
        <x:f>IFERROR(VLOOKUP(B1303,02_Referentiels!$A$5:$C$16,2,FALSE),"")</x:f>
      </x:c>
      <x:c r="J1303">
        <x:f>IF(A1303="","",IF(OR(D1303="",E1303="",F1303=""),1,IF(OR(D1303&lt;0,D1303&gt;3,E1303&lt;0,E1303&gt;3,F1303&lt;0,F1303&gt;3),1,0)))</x:f>
      </x:c>
      <x:c r="K1303">
        <x:f>IF(A1303="","",IF(G1303="",1,0))</x:f>
      </x:c>
      <x:c r="L1303">
        <x:f>IF(A1303="","",IF(COUNTIFS($A$5:$A$2004,A1303,$C$5:$C$2004,C1303)&gt;1,1,0))</x:f>
      </x:c>
    </x:row>
    <x:row r="1304">
      <x:c r="A1304" s="8" t="n"/>
      <x:c r="B1304" s="8" t="n"/>
      <x:c r="C1304" s="8" t="n"/>
      <x:c r="D1304" s="8" t="n"/>
      <x:c r="E1304" s="8" t="n"/>
      <x:c r="F1304" s="8" t="n"/>
      <x:c r="G1304" s="7">
        <x:f>IF(A1304="","",IF(01_Parametres!$B$11="Oui",IF((01_Parametres!$B$4*(D1304&gt;0)+01_Parametres!$B$5*(E1304&gt;0)+01_Parametres!$B$6*(F1304&gt;0))=0,"",(01_Parametres!$B$4*IF(D1304&gt;0,D1304,0)+01_Parametres!$B$5*IF(E1304&gt;0,E1304,0)+01_Parametres!$B$6*IF(F1304&gt;0,F1304,0))/(01_Parametres!$B$4*(D1304&gt;0)+01_Parametres!$B$5*(E1304&gt;0)+01_Parametres!$B$6*(F1304&gt;0))),IF(01_Parametres!$B$8=0,"",(01_Parametres!$B$4*D1304+01_Parametres!$B$5*E1304+01_Parametres!$B$6*F1304)/01_Parametres!$B$8)))</x:f>
      </x:c>
      <x:c r="H1304">
        <x:f>IFERROR(VLOOKUP(C1304,02_Referentiels!$A$20:$D$99,3,FALSE),"")</x:f>
      </x:c>
      <x:c r="I1304">
        <x:f>IFERROR(VLOOKUP(B1304,02_Referentiels!$A$5:$C$16,2,FALSE),"")</x:f>
      </x:c>
      <x:c r="J1304">
        <x:f>IF(A1304="","",IF(OR(D1304="",E1304="",F1304=""),1,IF(OR(D1304&lt;0,D1304&gt;3,E1304&lt;0,E1304&gt;3,F1304&lt;0,F1304&gt;3),1,0)))</x:f>
      </x:c>
      <x:c r="K1304">
        <x:f>IF(A1304="","",IF(G1304="",1,0))</x:f>
      </x:c>
      <x:c r="L1304">
        <x:f>IF(A1304="","",IF(COUNTIFS($A$5:$A$2004,A1304,$C$5:$C$2004,C1304)&gt;1,1,0))</x:f>
      </x:c>
    </x:row>
    <x:row r="1305">
      <x:c r="A1305" s="8" t="n"/>
      <x:c r="B1305" s="8" t="n"/>
      <x:c r="C1305" s="8" t="n"/>
      <x:c r="D1305" s="8" t="n"/>
      <x:c r="E1305" s="8" t="n"/>
      <x:c r="F1305" s="8" t="n"/>
      <x:c r="G1305" s="7">
        <x:f>IF(A1305="","",IF(01_Parametres!$B$11="Oui",IF((01_Parametres!$B$4*(D1305&gt;0)+01_Parametres!$B$5*(E1305&gt;0)+01_Parametres!$B$6*(F1305&gt;0))=0,"",(01_Parametres!$B$4*IF(D1305&gt;0,D1305,0)+01_Parametres!$B$5*IF(E1305&gt;0,E1305,0)+01_Parametres!$B$6*IF(F1305&gt;0,F1305,0))/(01_Parametres!$B$4*(D1305&gt;0)+01_Parametres!$B$5*(E1305&gt;0)+01_Parametres!$B$6*(F1305&gt;0))),IF(01_Parametres!$B$8=0,"",(01_Parametres!$B$4*D1305+01_Parametres!$B$5*E1305+01_Parametres!$B$6*F1305)/01_Parametres!$B$8)))</x:f>
      </x:c>
      <x:c r="H1305">
        <x:f>IFERROR(VLOOKUP(C1305,02_Referentiels!$A$20:$D$99,3,FALSE),"")</x:f>
      </x:c>
      <x:c r="I1305">
        <x:f>IFERROR(VLOOKUP(B1305,02_Referentiels!$A$5:$C$16,2,FALSE),"")</x:f>
      </x:c>
      <x:c r="J1305">
        <x:f>IF(A1305="","",IF(OR(D1305="",E1305="",F1305=""),1,IF(OR(D1305&lt;0,D1305&gt;3,E1305&lt;0,E1305&gt;3,F1305&lt;0,F1305&gt;3),1,0)))</x:f>
      </x:c>
      <x:c r="K1305">
        <x:f>IF(A1305="","",IF(G1305="",1,0))</x:f>
      </x:c>
      <x:c r="L1305">
        <x:f>IF(A1305="","",IF(COUNTIFS($A$5:$A$2004,A1305,$C$5:$C$2004,C1305)&gt;1,1,0))</x:f>
      </x:c>
    </x:row>
    <x:row r="1306">
      <x:c r="A1306" s="8" t="n"/>
      <x:c r="B1306" s="8" t="n"/>
      <x:c r="C1306" s="8" t="n"/>
      <x:c r="D1306" s="8" t="n"/>
      <x:c r="E1306" s="8" t="n"/>
      <x:c r="F1306" s="8" t="n"/>
      <x:c r="G1306" s="7">
        <x:f>IF(A1306="","",IF(01_Parametres!$B$11="Oui",IF((01_Parametres!$B$4*(D1306&gt;0)+01_Parametres!$B$5*(E1306&gt;0)+01_Parametres!$B$6*(F1306&gt;0))=0,"",(01_Parametres!$B$4*IF(D1306&gt;0,D1306,0)+01_Parametres!$B$5*IF(E1306&gt;0,E1306,0)+01_Parametres!$B$6*IF(F1306&gt;0,F1306,0))/(01_Parametres!$B$4*(D1306&gt;0)+01_Parametres!$B$5*(E1306&gt;0)+01_Parametres!$B$6*(F1306&gt;0))),IF(01_Parametres!$B$8=0,"",(01_Parametres!$B$4*D1306+01_Parametres!$B$5*E1306+01_Parametres!$B$6*F1306)/01_Parametres!$B$8)))</x:f>
      </x:c>
      <x:c r="H1306">
        <x:f>IFERROR(VLOOKUP(C1306,02_Referentiels!$A$20:$D$99,3,FALSE),"")</x:f>
      </x:c>
      <x:c r="I1306">
        <x:f>IFERROR(VLOOKUP(B1306,02_Referentiels!$A$5:$C$16,2,FALSE),"")</x:f>
      </x:c>
      <x:c r="J1306">
        <x:f>IF(A1306="","",IF(OR(D1306="",E1306="",F1306=""),1,IF(OR(D1306&lt;0,D1306&gt;3,E1306&lt;0,E1306&gt;3,F1306&lt;0,F1306&gt;3),1,0)))</x:f>
      </x:c>
      <x:c r="K1306">
        <x:f>IF(A1306="","",IF(G1306="",1,0))</x:f>
      </x:c>
      <x:c r="L1306">
        <x:f>IF(A1306="","",IF(COUNTIFS($A$5:$A$2004,A1306,$C$5:$C$2004,C1306)&gt;1,1,0))</x:f>
      </x:c>
    </x:row>
    <x:row r="1307">
      <x:c r="A1307" s="8" t="n"/>
      <x:c r="B1307" s="8" t="n"/>
      <x:c r="C1307" s="8" t="n"/>
      <x:c r="D1307" s="8" t="n"/>
      <x:c r="E1307" s="8" t="n"/>
      <x:c r="F1307" s="8" t="n"/>
      <x:c r="G1307" s="7">
        <x:f>IF(A1307="","",IF(01_Parametres!$B$11="Oui",IF((01_Parametres!$B$4*(D1307&gt;0)+01_Parametres!$B$5*(E1307&gt;0)+01_Parametres!$B$6*(F1307&gt;0))=0,"",(01_Parametres!$B$4*IF(D1307&gt;0,D1307,0)+01_Parametres!$B$5*IF(E1307&gt;0,E1307,0)+01_Parametres!$B$6*IF(F1307&gt;0,F1307,0))/(01_Parametres!$B$4*(D1307&gt;0)+01_Parametres!$B$5*(E1307&gt;0)+01_Parametres!$B$6*(F1307&gt;0))),IF(01_Parametres!$B$8=0,"",(01_Parametres!$B$4*D1307+01_Parametres!$B$5*E1307+01_Parametres!$B$6*F1307)/01_Parametres!$B$8)))</x:f>
      </x:c>
      <x:c r="H1307">
        <x:f>IFERROR(VLOOKUP(C1307,02_Referentiels!$A$20:$D$99,3,FALSE),"")</x:f>
      </x:c>
      <x:c r="I1307">
        <x:f>IFERROR(VLOOKUP(B1307,02_Referentiels!$A$5:$C$16,2,FALSE),"")</x:f>
      </x:c>
      <x:c r="J1307">
        <x:f>IF(A1307="","",IF(OR(D1307="",E1307="",F1307=""),1,IF(OR(D1307&lt;0,D1307&gt;3,E1307&lt;0,E1307&gt;3,F1307&lt;0,F1307&gt;3),1,0)))</x:f>
      </x:c>
      <x:c r="K1307">
        <x:f>IF(A1307="","",IF(G1307="",1,0))</x:f>
      </x:c>
      <x:c r="L1307">
        <x:f>IF(A1307="","",IF(COUNTIFS($A$5:$A$2004,A1307,$C$5:$C$2004,C1307)&gt;1,1,0))</x:f>
      </x:c>
    </x:row>
    <x:row r="1308">
      <x:c r="A1308" s="8" t="n"/>
      <x:c r="B1308" s="8" t="n"/>
      <x:c r="C1308" s="8" t="n"/>
      <x:c r="D1308" s="8" t="n"/>
      <x:c r="E1308" s="8" t="n"/>
      <x:c r="F1308" s="8" t="n"/>
      <x:c r="G1308" s="7">
        <x:f>IF(A1308="","",IF(01_Parametres!$B$11="Oui",IF((01_Parametres!$B$4*(D1308&gt;0)+01_Parametres!$B$5*(E1308&gt;0)+01_Parametres!$B$6*(F1308&gt;0))=0,"",(01_Parametres!$B$4*IF(D1308&gt;0,D1308,0)+01_Parametres!$B$5*IF(E1308&gt;0,E1308,0)+01_Parametres!$B$6*IF(F1308&gt;0,F1308,0))/(01_Parametres!$B$4*(D1308&gt;0)+01_Parametres!$B$5*(E1308&gt;0)+01_Parametres!$B$6*(F1308&gt;0))),IF(01_Parametres!$B$8=0,"",(01_Parametres!$B$4*D1308+01_Parametres!$B$5*E1308+01_Parametres!$B$6*F1308)/01_Parametres!$B$8)))</x:f>
      </x:c>
      <x:c r="H1308">
        <x:f>IFERROR(VLOOKUP(C1308,02_Referentiels!$A$20:$D$99,3,FALSE),"")</x:f>
      </x:c>
      <x:c r="I1308">
        <x:f>IFERROR(VLOOKUP(B1308,02_Referentiels!$A$5:$C$16,2,FALSE),"")</x:f>
      </x:c>
      <x:c r="J1308">
        <x:f>IF(A1308="","",IF(OR(D1308="",E1308="",F1308=""),1,IF(OR(D1308&lt;0,D1308&gt;3,E1308&lt;0,E1308&gt;3,F1308&lt;0,F1308&gt;3),1,0)))</x:f>
      </x:c>
      <x:c r="K1308">
        <x:f>IF(A1308="","",IF(G1308="",1,0))</x:f>
      </x:c>
      <x:c r="L1308">
        <x:f>IF(A1308="","",IF(COUNTIFS($A$5:$A$2004,A1308,$C$5:$C$2004,C1308)&gt;1,1,0))</x:f>
      </x:c>
    </x:row>
    <x:row r="1309">
      <x:c r="A1309" s="8" t="n"/>
      <x:c r="B1309" s="8" t="n"/>
      <x:c r="C1309" s="8" t="n"/>
      <x:c r="D1309" s="8" t="n"/>
      <x:c r="E1309" s="8" t="n"/>
      <x:c r="F1309" s="8" t="n"/>
      <x:c r="G1309" s="7">
        <x:f>IF(A1309="","",IF(01_Parametres!$B$11="Oui",IF((01_Parametres!$B$4*(D1309&gt;0)+01_Parametres!$B$5*(E1309&gt;0)+01_Parametres!$B$6*(F1309&gt;0))=0,"",(01_Parametres!$B$4*IF(D1309&gt;0,D1309,0)+01_Parametres!$B$5*IF(E1309&gt;0,E1309,0)+01_Parametres!$B$6*IF(F1309&gt;0,F1309,0))/(01_Parametres!$B$4*(D1309&gt;0)+01_Parametres!$B$5*(E1309&gt;0)+01_Parametres!$B$6*(F1309&gt;0))),IF(01_Parametres!$B$8=0,"",(01_Parametres!$B$4*D1309+01_Parametres!$B$5*E1309+01_Parametres!$B$6*F1309)/01_Parametres!$B$8)))</x:f>
      </x:c>
      <x:c r="H1309">
        <x:f>IFERROR(VLOOKUP(C1309,02_Referentiels!$A$20:$D$99,3,FALSE),"")</x:f>
      </x:c>
      <x:c r="I1309">
        <x:f>IFERROR(VLOOKUP(B1309,02_Referentiels!$A$5:$C$16,2,FALSE),"")</x:f>
      </x:c>
      <x:c r="J1309">
        <x:f>IF(A1309="","",IF(OR(D1309="",E1309="",F1309=""),1,IF(OR(D1309&lt;0,D1309&gt;3,E1309&lt;0,E1309&gt;3,F1309&lt;0,F1309&gt;3),1,0)))</x:f>
      </x:c>
      <x:c r="K1309">
        <x:f>IF(A1309="","",IF(G1309="",1,0))</x:f>
      </x:c>
      <x:c r="L1309">
        <x:f>IF(A1309="","",IF(COUNTIFS($A$5:$A$2004,A1309,$C$5:$C$2004,C1309)&gt;1,1,0))</x:f>
      </x:c>
    </x:row>
    <x:row r="1310">
      <x:c r="A1310" s="8" t="n"/>
      <x:c r="B1310" s="8" t="n"/>
      <x:c r="C1310" s="8" t="n"/>
      <x:c r="D1310" s="8" t="n"/>
      <x:c r="E1310" s="8" t="n"/>
      <x:c r="F1310" s="8" t="n"/>
      <x:c r="G1310" s="7">
        <x:f>IF(A1310="","",IF(01_Parametres!$B$11="Oui",IF((01_Parametres!$B$4*(D1310&gt;0)+01_Parametres!$B$5*(E1310&gt;0)+01_Parametres!$B$6*(F1310&gt;0))=0,"",(01_Parametres!$B$4*IF(D1310&gt;0,D1310,0)+01_Parametres!$B$5*IF(E1310&gt;0,E1310,0)+01_Parametres!$B$6*IF(F1310&gt;0,F1310,0))/(01_Parametres!$B$4*(D1310&gt;0)+01_Parametres!$B$5*(E1310&gt;0)+01_Parametres!$B$6*(F1310&gt;0))),IF(01_Parametres!$B$8=0,"",(01_Parametres!$B$4*D1310+01_Parametres!$B$5*E1310+01_Parametres!$B$6*F1310)/01_Parametres!$B$8)))</x:f>
      </x:c>
      <x:c r="H1310">
        <x:f>IFERROR(VLOOKUP(C1310,02_Referentiels!$A$20:$D$99,3,FALSE),"")</x:f>
      </x:c>
      <x:c r="I1310">
        <x:f>IFERROR(VLOOKUP(B1310,02_Referentiels!$A$5:$C$16,2,FALSE),"")</x:f>
      </x:c>
      <x:c r="J1310">
        <x:f>IF(A1310="","",IF(OR(D1310="",E1310="",F1310=""),1,IF(OR(D1310&lt;0,D1310&gt;3,E1310&lt;0,E1310&gt;3,F1310&lt;0,F1310&gt;3),1,0)))</x:f>
      </x:c>
      <x:c r="K1310">
        <x:f>IF(A1310="","",IF(G1310="",1,0))</x:f>
      </x:c>
      <x:c r="L1310">
        <x:f>IF(A1310="","",IF(COUNTIFS($A$5:$A$2004,A1310,$C$5:$C$2004,C1310)&gt;1,1,0))</x:f>
      </x:c>
    </x:row>
    <x:row r="1311">
      <x:c r="A1311" s="8" t="n"/>
      <x:c r="B1311" s="8" t="n"/>
      <x:c r="C1311" s="8" t="n"/>
      <x:c r="D1311" s="8" t="n"/>
      <x:c r="E1311" s="8" t="n"/>
      <x:c r="F1311" s="8" t="n"/>
      <x:c r="G1311" s="7">
        <x:f>IF(A1311="","",IF(01_Parametres!$B$11="Oui",IF((01_Parametres!$B$4*(D1311&gt;0)+01_Parametres!$B$5*(E1311&gt;0)+01_Parametres!$B$6*(F1311&gt;0))=0,"",(01_Parametres!$B$4*IF(D1311&gt;0,D1311,0)+01_Parametres!$B$5*IF(E1311&gt;0,E1311,0)+01_Parametres!$B$6*IF(F1311&gt;0,F1311,0))/(01_Parametres!$B$4*(D1311&gt;0)+01_Parametres!$B$5*(E1311&gt;0)+01_Parametres!$B$6*(F1311&gt;0))),IF(01_Parametres!$B$8=0,"",(01_Parametres!$B$4*D1311+01_Parametres!$B$5*E1311+01_Parametres!$B$6*F1311)/01_Parametres!$B$8)))</x:f>
      </x:c>
      <x:c r="H1311">
        <x:f>IFERROR(VLOOKUP(C1311,02_Referentiels!$A$20:$D$99,3,FALSE),"")</x:f>
      </x:c>
      <x:c r="I1311">
        <x:f>IFERROR(VLOOKUP(B1311,02_Referentiels!$A$5:$C$16,2,FALSE),"")</x:f>
      </x:c>
      <x:c r="J1311">
        <x:f>IF(A1311="","",IF(OR(D1311="",E1311="",F1311=""),1,IF(OR(D1311&lt;0,D1311&gt;3,E1311&lt;0,E1311&gt;3,F1311&lt;0,F1311&gt;3),1,0)))</x:f>
      </x:c>
      <x:c r="K1311">
        <x:f>IF(A1311="","",IF(G1311="",1,0))</x:f>
      </x:c>
      <x:c r="L1311">
        <x:f>IF(A1311="","",IF(COUNTIFS($A$5:$A$2004,A1311,$C$5:$C$2004,C1311)&gt;1,1,0))</x:f>
      </x:c>
    </x:row>
    <x:row r="1312">
      <x:c r="A1312" s="8" t="n"/>
      <x:c r="B1312" s="8" t="n"/>
      <x:c r="C1312" s="8" t="n"/>
      <x:c r="D1312" s="8" t="n"/>
      <x:c r="E1312" s="8" t="n"/>
      <x:c r="F1312" s="8" t="n"/>
      <x:c r="G1312" s="7">
        <x:f>IF(A1312="","",IF(01_Parametres!$B$11="Oui",IF((01_Parametres!$B$4*(D1312&gt;0)+01_Parametres!$B$5*(E1312&gt;0)+01_Parametres!$B$6*(F1312&gt;0))=0,"",(01_Parametres!$B$4*IF(D1312&gt;0,D1312,0)+01_Parametres!$B$5*IF(E1312&gt;0,E1312,0)+01_Parametres!$B$6*IF(F1312&gt;0,F1312,0))/(01_Parametres!$B$4*(D1312&gt;0)+01_Parametres!$B$5*(E1312&gt;0)+01_Parametres!$B$6*(F1312&gt;0))),IF(01_Parametres!$B$8=0,"",(01_Parametres!$B$4*D1312+01_Parametres!$B$5*E1312+01_Parametres!$B$6*F1312)/01_Parametres!$B$8)))</x:f>
      </x:c>
      <x:c r="H1312">
        <x:f>IFERROR(VLOOKUP(C1312,02_Referentiels!$A$20:$D$99,3,FALSE),"")</x:f>
      </x:c>
      <x:c r="I1312">
        <x:f>IFERROR(VLOOKUP(B1312,02_Referentiels!$A$5:$C$16,2,FALSE),"")</x:f>
      </x:c>
      <x:c r="J1312">
        <x:f>IF(A1312="","",IF(OR(D1312="",E1312="",F1312=""),1,IF(OR(D1312&lt;0,D1312&gt;3,E1312&lt;0,E1312&gt;3,F1312&lt;0,F1312&gt;3),1,0)))</x:f>
      </x:c>
      <x:c r="K1312">
        <x:f>IF(A1312="","",IF(G1312="",1,0))</x:f>
      </x:c>
      <x:c r="L1312">
        <x:f>IF(A1312="","",IF(COUNTIFS($A$5:$A$2004,A1312,$C$5:$C$2004,C1312)&gt;1,1,0))</x:f>
      </x:c>
    </x:row>
    <x:row r="1313">
      <x:c r="A1313" s="8" t="n"/>
      <x:c r="B1313" s="8" t="n"/>
      <x:c r="C1313" s="8" t="n"/>
      <x:c r="D1313" s="8" t="n"/>
      <x:c r="E1313" s="8" t="n"/>
      <x:c r="F1313" s="8" t="n"/>
      <x:c r="G1313" s="7">
        <x:f>IF(A1313="","",IF(01_Parametres!$B$11="Oui",IF((01_Parametres!$B$4*(D1313&gt;0)+01_Parametres!$B$5*(E1313&gt;0)+01_Parametres!$B$6*(F1313&gt;0))=0,"",(01_Parametres!$B$4*IF(D1313&gt;0,D1313,0)+01_Parametres!$B$5*IF(E1313&gt;0,E1313,0)+01_Parametres!$B$6*IF(F1313&gt;0,F1313,0))/(01_Parametres!$B$4*(D1313&gt;0)+01_Parametres!$B$5*(E1313&gt;0)+01_Parametres!$B$6*(F1313&gt;0))),IF(01_Parametres!$B$8=0,"",(01_Parametres!$B$4*D1313+01_Parametres!$B$5*E1313+01_Parametres!$B$6*F1313)/01_Parametres!$B$8)))</x:f>
      </x:c>
      <x:c r="H1313">
        <x:f>IFERROR(VLOOKUP(C1313,02_Referentiels!$A$20:$D$99,3,FALSE),"")</x:f>
      </x:c>
      <x:c r="I1313">
        <x:f>IFERROR(VLOOKUP(B1313,02_Referentiels!$A$5:$C$16,2,FALSE),"")</x:f>
      </x:c>
      <x:c r="J1313">
        <x:f>IF(A1313="","",IF(OR(D1313="",E1313="",F1313=""),1,IF(OR(D1313&lt;0,D1313&gt;3,E1313&lt;0,E1313&gt;3,F1313&lt;0,F1313&gt;3),1,0)))</x:f>
      </x:c>
      <x:c r="K1313">
        <x:f>IF(A1313="","",IF(G1313="",1,0))</x:f>
      </x:c>
      <x:c r="L1313">
        <x:f>IF(A1313="","",IF(COUNTIFS($A$5:$A$2004,A1313,$C$5:$C$2004,C1313)&gt;1,1,0))</x:f>
      </x:c>
    </x:row>
    <x:row r="1314">
      <x:c r="A1314" s="8" t="n"/>
      <x:c r="B1314" s="8" t="n"/>
      <x:c r="C1314" s="8" t="n"/>
      <x:c r="D1314" s="8" t="n"/>
      <x:c r="E1314" s="8" t="n"/>
      <x:c r="F1314" s="8" t="n"/>
      <x:c r="G1314" s="7">
        <x:f>IF(A1314="","",IF(01_Parametres!$B$11="Oui",IF((01_Parametres!$B$4*(D1314&gt;0)+01_Parametres!$B$5*(E1314&gt;0)+01_Parametres!$B$6*(F1314&gt;0))=0,"",(01_Parametres!$B$4*IF(D1314&gt;0,D1314,0)+01_Parametres!$B$5*IF(E1314&gt;0,E1314,0)+01_Parametres!$B$6*IF(F1314&gt;0,F1314,0))/(01_Parametres!$B$4*(D1314&gt;0)+01_Parametres!$B$5*(E1314&gt;0)+01_Parametres!$B$6*(F1314&gt;0))),IF(01_Parametres!$B$8=0,"",(01_Parametres!$B$4*D1314+01_Parametres!$B$5*E1314+01_Parametres!$B$6*F1314)/01_Parametres!$B$8)))</x:f>
      </x:c>
      <x:c r="H1314">
        <x:f>IFERROR(VLOOKUP(C1314,02_Referentiels!$A$20:$D$99,3,FALSE),"")</x:f>
      </x:c>
      <x:c r="I1314">
        <x:f>IFERROR(VLOOKUP(B1314,02_Referentiels!$A$5:$C$16,2,FALSE),"")</x:f>
      </x:c>
      <x:c r="J1314">
        <x:f>IF(A1314="","",IF(OR(D1314="",E1314="",F1314=""),1,IF(OR(D1314&lt;0,D1314&gt;3,E1314&lt;0,E1314&gt;3,F1314&lt;0,F1314&gt;3),1,0)))</x:f>
      </x:c>
      <x:c r="K1314">
        <x:f>IF(A1314="","",IF(G1314="",1,0))</x:f>
      </x:c>
      <x:c r="L1314">
        <x:f>IF(A1314="","",IF(COUNTIFS($A$5:$A$2004,A1314,$C$5:$C$2004,C1314)&gt;1,1,0))</x:f>
      </x:c>
    </x:row>
    <x:row r="1315">
      <x:c r="A1315" s="8" t="n"/>
      <x:c r="B1315" s="8" t="n"/>
      <x:c r="C1315" s="8" t="n"/>
      <x:c r="D1315" s="8" t="n"/>
      <x:c r="E1315" s="8" t="n"/>
      <x:c r="F1315" s="8" t="n"/>
      <x:c r="G1315" s="7">
        <x:f>IF(A1315="","",IF(01_Parametres!$B$11="Oui",IF((01_Parametres!$B$4*(D1315&gt;0)+01_Parametres!$B$5*(E1315&gt;0)+01_Parametres!$B$6*(F1315&gt;0))=0,"",(01_Parametres!$B$4*IF(D1315&gt;0,D1315,0)+01_Parametres!$B$5*IF(E1315&gt;0,E1315,0)+01_Parametres!$B$6*IF(F1315&gt;0,F1315,0))/(01_Parametres!$B$4*(D1315&gt;0)+01_Parametres!$B$5*(E1315&gt;0)+01_Parametres!$B$6*(F1315&gt;0))),IF(01_Parametres!$B$8=0,"",(01_Parametres!$B$4*D1315+01_Parametres!$B$5*E1315+01_Parametres!$B$6*F1315)/01_Parametres!$B$8)))</x:f>
      </x:c>
      <x:c r="H1315">
        <x:f>IFERROR(VLOOKUP(C1315,02_Referentiels!$A$20:$D$99,3,FALSE),"")</x:f>
      </x:c>
      <x:c r="I1315">
        <x:f>IFERROR(VLOOKUP(B1315,02_Referentiels!$A$5:$C$16,2,FALSE),"")</x:f>
      </x:c>
      <x:c r="J1315">
        <x:f>IF(A1315="","",IF(OR(D1315="",E1315="",F1315=""),1,IF(OR(D1315&lt;0,D1315&gt;3,E1315&lt;0,E1315&gt;3,F1315&lt;0,F1315&gt;3),1,0)))</x:f>
      </x:c>
      <x:c r="K1315">
        <x:f>IF(A1315="","",IF(G1315="",1,0))</x:f>
      </x:c>
      <x:c r="L1315">
        <x:f>IF(A1315="","",IF(COUNTIFS($A$5:$A$2004,A1315,$C$5:$C$2004,C1315)&gt;1,1,0))</x:f>
      </x:c>
    </x:row>
    <x:row r="1316">
      <x:c r="A1316" s="8" t="n"/>
      <x:c r="B1316" s="8" t="n"/>
      <x:c r="C1316" s="8" t="n"/>
      <x:c r="D1316" s="8" t="n"/>
      <x:c r="E1316" s="8" t="n"/>
      <x:c r="F1316" s="8" t="n"/>
      <x:c r="G1316" s="7">
        <x:f>IF(A1316="","",IF(01_Parametres!$B$11="Oui",IF((01_Parametres!$B$4*(D1316&gt;0)+01_Parametres!$B$5*(E1316&gt;0)+01_Parametres!$B$6*(F1316&gt;0))=0,"",(01_Parametres!$B$4*IF(D1316&gt;0,D1316,0)+01_Parametres!$B$5*IF(E1316&gt;0,E1316,0)+01_Parametres!$B$6*IF(F1316&gt;0,F1316,0))/(01_Parametres!$B$4*(D1316&gt;0)+01_Parametres!$B$5*(E1316&gt;0)+01_Parametres!$B$6*(F1316&gt;0))),IF(01_Parametres!$B$8=0,"",(01_Parametres!$B$4*D1316+01_Parametres!$B$5*E1316+01_Parametres!$B$6*F1316)/01_Parametres!$B$8)))</x:f>
      </x:c>
      <x:c r="H1316">
        <x:f>IFERROR(VLOOKUP(C1316,02_Referentiels!$A$20:$D$99,3,FALSE),"")</x:f>
      </x:c>
      <x:c r="I1316">
        <x:f>IFERROR(VLOOKUP(B1316,02_Referentiels!$A$5:$C$16,2,FALSE),"")</x:f>
      </x:c>
      <x:c r="J1316">
        <x:f>IF(A1316="","",IF(OR(D1316="",E1316="",F1316=""),1,IF(OR(D1316&lt;0,D1316&gt;3,E1316&lt;0,E1316&gt;3,F1316&lt;0,F1316&gt;3),1,0)))</x:f>
      </x:c>
      <x:c r="K1316">
        <x:f>IF(A1316="","",IF(G1316="",1,0))</x:f>
      </x:c>
      <x:c r="L1316">
        <x:f>IF(A1316="","",IF(COUNTIFS($A$5:$A$2004,A1316,$C$5:$C$2004,C1316)&gt;1,1,0))</x:f>
      </x:c>
    </x:row>
    <x:row r="1317">
      <x:c r="A1317" s="8" t="n"/>
      <x:c r="B1317" s="8" t="n"/>
      <x:c r="C1317" s="8" t="n"/>
      <x:c r="D1317" s="8" t="n"/>
      <x:c r="E1317" s="8" t="n"/>
      <x:c r="F1317" s="8" t="n"/>
      <x:c r="G1317" s="7">
        <x:f>IF(A1317="","",IF(01_Parametres!$B$11="Oui",IF((01_Parametres!$B$4*(D1317&gt;0)+01_Parametres!$B$5*(E1317&gt;0)+01_Parametres!$B$6*(F1317&gt;0))=0,"",(01_Parametres!$B$4*IF(D1317&gt;0,D1317,0)+01_Parametres!$B$5*IF(E1317&gt;0,E1317,0)+01_Parametres!$B$6*IF(F1317&gt;0,F1317,0))/(01_Parametres!$B$4*(D1317&gt;0)+01_Parametres!$B$5*(E1317&gt;0)+01_Parametres!$B$6*(F1317&gt;0))),IF(01_Parametres!$B$8=0,"",(01_Parametres!$B$4*D1317+01_Parametres!$B$5*E1317+01_Parametres!$B$6*F1317)/01_Parametres!$B$8)))</x:f>
      </x:c>
      <x:c r="H1317">
        <x:f>IFERROR(VLOOKUP(C1317,02_Referentiels!$A$20:$D$99,3,FALSE),"")</x:f>
      </x:c>
      <x:c r="I1317">
        <x:f>IFERROR(VLOOKUP(B1317,02_Referentiels!$A$5:$C$16,2,FALSE),"")</x:f>
      </x:c>
      <x:c r="J1317">
        <x:f>IF(A1317="","",IF(OR(D1317="",E1317="",F1317=""),1,IF(OR(D1317&lt;0,D1317&gt;3,E1317&lt;0,E1317&gt;3,F1317&lt;0,F1317&gt;3),1,0)))</x:f>
      </x:c>
      <x:c r="K1317">
        <x:f>IF(A1317="","",IF(G1317="",1,0))</x:f>
      </x:c>
      <x:c r="L1317">
        <x:f>IF(A1317="","",IF(COUNTIFS($A$5:$A$2004,A1317,$C$5:$C$2004,C1317)&gt;1,1,0))</x:f>
      </x:c>
    </x:row>
    <x:row r="1318">
      <x:c r="A1318" s="8" t="n"/>
      <x:c r="B1318" s="8" t="n"/>
      <x:c r="C1318" s="8" t="n"/>
      <x:c r="D1318" s="8" t="n"/>
      <x:c r="E1318" s="8" t="n"/>
      <x:c r="F1318" s="8" t="n"/>
      <x:c r="G1318" s="7">
        <x:f>IF(A1318="","",IF(01_Parametres!$B$11="Oui",IF((01_Parametres!$B$4*(D1318&gt;0)+01_Parametres!$B$5*(E1318&gt;0)+01_Parametres!$B$6*(F1318&gt;0))=0,"",(01_Parametres!$B$4*IF(D1318&gt;0,D1318,0)+01_Parametres!$B$5*IF(E1318&gt;0,E1318,0)+01_Parametres!$B$6*IF(F1318&gt;0,F1318,0))/(01_Parametres!$B$4*(D1318&gt;0)+01_Parametres!$B$5*(E1318&gt;0)+01_Parametres!$B$6*(F1318&gt;0))),IF(01_Parametres!$B$8=0,"",(01_Parametres!$B$4*D1318+01_Parametres!$B$5*E1318+01_Parametres!$B$6*F1318)/01_Parametres!$B$8)))</x:f>
      </x:c>
      <x:c r="H1318">
        <x:f>IFERROR(VLOOKUP(C1318,02_Referentiels!$A$20:$D$99,3,FALSE),"")</x:f>
      </x:c>
      <x:c r="I1318">
        <x:f>IFERROR(VLOOKUP(B1318,02_Referentiels!$A$5:$C$16,2,FALSE),"")</x:f>
      </x:c>
      <x:c r="J1318">
        <x:f>IF(A1318="","",IF(OR(D1318="",E1318="",F1318=""),1,IF(OR(D1318&lt;0,D1318&gt;3,E1318&lt;0,E1318&gt;3,F1318&lt;0,F1318&gt;3),1,0)))</x:f>
      </x:c>
      <x:c r="K1318">
        <x:f>IF(A1318="","",IF(G1318="",1,0))</x:f>
      </x:c>
      <x:c r="L1318">
        <x:f>IF(A1318="","",IF(COUNTIFS($A$5:$A$2004,A1318,$C$5:$C$2004,C1318)&gt;1,1,0))</x:f>
      </x:c>
    </x:row>
    <x:row r="1319">
      <x:c r="A1319" s="8" t="n"/>
      <x:c r="B1319" s="8" t="n"/>
      <x:c r="C1319" s="8" t="n"/>
      <x:c r="D1319" s="8" t="n"/>
      <x:c r="E1319" s="8" t="n"/>
      <x:c r="F1319" s="8" t="n"/>
      <x:c r="G1319" s="7">
        <x:f>IF(A1319="","",IF(01_Parametres!$B$11="Oui",IF((01_Parametres!$B$4*(D1319&gt;0)+01_Parametres!$B$5*(E1319&gt;0)+01_Parametres!$B$6*(F1319&gt;0))=0,"",(01_Parametres!$B$4*IF(D1319&gt;0,D1319,0)+01_Parametres!$B$5*IF(E1319&gt;0,E1319,0)+01_Parametres!$B$6*IF(F1319&gt;0,F1319,0))/(01_Parametres!$B$4*(D1319&gt;0)+01_Parametres!$B$5*(E1319&gt;0)+01_Parametres!$B$6*(F1319&gt;0))),IF(01_Parametres!$B$8=0,"",(01_Parametres!$B$4*D1319+01_Parametres!$B$5*E1319+01_Parametres!$B$6*F1319)/01_Parametres!$B$8)))</x:f>
      </x:c>
      <x:c r="H1319">
        <x:f>IFERROR(VLOOKUP(C1319,02_Referentiels!$A$20:$D$99,3,FALSE),"")</x:f>
      </x:c>
      <x:c r="I1319">
        <x:f>IFERROR(VLOOKUP(B1319,02_Referentiels!$A$5:$C$16,2,FALSE),"")</x:f>
      </x:c>
      <x:c r="J1319">
        <x:f>IF(A1319="","",IF(OR(D1319="",E1319="",F1319=""),1,IF(OR(D1319&lt;0,D1319&gt;3,E1319&lt;0,E1319&gt;3,F1319&lt;0,F1319&gt;3),1,0)))</x:f>
      </x:c>
      <x:c r="K1319">
        <x:f>IF(A1319="","",IF(G1319="",1,0))</x:f>
      </x:c>
      <x:c r="L1319">
        <x:f>IF(A1319="","",IF(COUNTIFS($A$5:$A$2004,A1319,$C$5:$C$2004,C1319)&gt;1,1,0))</x:f>
      </x:c>
    </x:row>
    <x:row r="1320">
      <x:c r="A1320" s="8" t="n"/>
      <x:c r="B1320" s="8" t="n"/>
      <x:c r="C1320" s="8" t="n"/>
      <x:c r="D1320" s="8" t="n"/>
      <x:c r="E1320" s="8" t="n"/>
      <x:c r="F1320" s="8" t="n"/>
      <x:c r="G1320" s="7">
        <x:f>IF(A1320="","",IF(01_Parametres!$B$11="Oui",IF((01_Parametres!$B$4*(D1320&gt;0)+01_Parametres!$B$5*(E1320&gt;0)+01_Parametres!$B$6*(F1320&gt;0))=0,"",(01_Parametres!$B$4*IF(D1320&gt;0,D1320,0)+01_Parametres!$B$5*IF(E1320&gt;0,E1320,0)+01_Parametres!$B$6*IF(F1320&gt;0,F1320,0))/(01_Parametres!$B$4*(D1320&gt;0)+01_Parametres!$B$5*(E1320&gt;0)+01_Parametres!$B$6*(F1320&gt;0))),IF(01_Parametres!$B$8=0,"",(01_Parametres!$B$4*D1320+01_Parametres!$B$5*E1320+01_Parametres!$B$6*F1320)/01_Parametres!$B$8)))</x:f>
      </x:c>
      <x:c r="H1320">
        <x:f>IFERROR(VLOOKUP(C1320,02_Referentiels!$A$20:$D$99,3,FALSE),"")</x:f>
      </x:c>
      <x:c r="I1320">
        <x:f>IFERROR(VLOOKUP(B1320,02_Referentiels!$A$5:$C$16,2,FALSE),"")</x:f>
      </x:c>
      <x:c r="J1320">
        <x:f>IF(A1320="","",IF(OR(D1320="",E1320="",F1320=""),1,IF(OR(D1320&lt;0,D1320&gt;3,E1320&lt;0,E1320&gt;3,F1320&lt;0,F1320&gt;3),1,0)))</x:f>
      </x:c>
      <x:c r="K1320">
        <x:f>IF(A1320="","",IF(G1320="",1,0))</x:f>
      </x:c>
      <x:c r="L1320">
        <x:f>IF(A1320="","",IF(COUNTIFS($A$5:$A$2004,A1320,$C$5:$C$2004,C1320)&gt;1,1,0))</x:f>
      </x:c>
    </x:row>
    <x:row r="1321">
      <x:c r="A1321" s="8" t="n"/>
      <x:c r="B1321" s="8" t="n"/>
      <x:c r="C1321" s="8" t="n"/>
      <x:c r="D1321" s="8" t="n"/>
      <x:c r="E1321" s="8" t="n"/>
      <x:c r="F1321" s="8" t="n"/>
      <x:c r="G1321" s="7">
        <x:f>IF(A1321="","",IF(01_Parametres!$B$11="Oui",IF((01_Parametres!$B$4*(D1321&gt;0)+01_Parametres!$B$5*(E1321&gt;0)+01_Parametres!$B$6*(F1321&gt;0))=0,"",(01_Parametres!$B$4*IF(D1321&gt;0,D1321,0)+01_Parametres!$B$5*IF(E1321&gt;0,E1321,0)+01_Parametres!$B$6*IF(F1321&gt;0,F1321,0))/(01_Parametres!$B$4*(D1321&gt;0)+01_Parametres!$B$5*(E1321&gt;0)+01_Parametres!$B$6*(F1321&gt;0))),IF(01_Parametres!$B$8=0,"",(01_Parametres!$B$4*D1321+01_Parametres!$B$5*E1321+01_Parametres!$B$6*F1321)/01_Parametres!$B$8)))</x:f>
      </x:c>
      <x:c r="H1321">
        <x:f>IFERROR(VLOOKUP(C1321,02_Referentiels!$A$20:$D$99,3,FALSE),"")</x:f>
      </x:c>
      <x:c r="I1321">
        <x:f>IFERROR(VLOOKUP(B1321,02_Referentiels!$A$5:$C$16,2,FALSE),"")</x:f>
      </x:c>
      <x:c r="J1321">
        <x:f>IF(A1321="","",IF(OR(D1321="",E1321="",F1321=""),1,IF(OR(D1321&lt;0,D1321&gt;3,E1321&lt;0,E1321&gt;3,F1321&lt;0,F1321&gt;3),1,0)))</x:f>
      </x:c>
      <x:c r="K1321">
        <x:f>IF(A1321="","",IF(G1321="",1,0))</x:f>
      </x:c>
      <x:c r="L1321">
        <x:f>IF(A1321="","",IF(COUNTIFS($A$5:$A$2004,A1321,$C$5:$C$2004,C1321)&gt;1,1,0))</x:f>
      </x:c>
    </x:row>
    <x:row r="1322">
      <x:c r="A1322" s="8" t="n"/>
      <x:c r="B1322" s="8" t="n"/>
      <x:c r="C1322" s="8" t="n"/>
      <x:c r="D1322" s="8" t="n"/>
      <x:c r="E1322" s="8" t="n"/>
      <x:c r="F1322" s="8" t="n"/>
      <x:c r="G1322" s="7">
        <x:f>IF(A1322="","",IF(01_Parametres!$B$11="Oui",IF((01_Parametres!$B$4*(D1322&gt;0)+01_Parametres!$B$5*(E1322&gt;0)+01_Parametres!$B$6*(F1322&gt;0))=0,"",(01_Parametres!$B$4*IF(D1322&gt;0,D1322,0)+01_Parametres!$B$5*IF(E1322&gt;0,E1322,0)+01_Parametres!$B$6*IF(F1322&gt;0,F1322,0))/(01_Parametres!$B$4*(D1322&gt;0)+01_Parametres!$B$5*(E1322&gt;0)+01_Parametres!$B$6*(F1322&gt;0))),IF(01_Parametres!$B$8=0,"",(01_Parametres!$B$4*D1322+01_Parametres!$B$5*E1322+01_Parametres!$B$6*F1322)/01_Parametres!$B$8)))</x:f>
      </x:c>
      <x:c r="H1322">
        <x:f>IFERROR(VLOOKUP(C1322,02_Referentiels!$A$20:$D$99,3,FALSE),"")</x:f>
      </x:c>
      <x:c r="I1322">
        <x:f>IFERROR(VLOOKUP(B1322,02_Referentiels!$A$5:$C$16,2,FALSE),"")</x:f>
      </x:c>
      <x:c r="J1322">
        <x:f>IF(A1322="","",IF(OR(D1322="",E1322="",F1322=""),1,IF(OR(D1322&lt;0,D1322&gt;3,E1322&lt;0,E1322&gt;3,F1322&lt;0,F1322&gt;3),1,0)))</x:f>
      </x:c>
      <x:c r="K1322">
        <x:f>IF(A1322="","",IF(G1322="",1,0))</x:f>
      </x:c>
      <x:c r="L1322">
        <x:f>IF(A1322="","",IF(COUNTIFS($A$5:$A$2004,A1322,$C$5:$C$2004,C1322)&gt;1,1,0))</x:f>
      </x:c>
    </x:row>
    <x:row r="1323">
      <x:c r="A1323" s="8" t="n"/>
      <x:c r="B1323" s="8" t="n"/>
      <x:c r="C1323" s="8" t="n"/>
      <x:c r="D1323" s="8" t="n"/>
      <x:c r="E1323" s="8" t="n"/>
      <x:c r="F1323" s="8" t="n"/>
      <x:c r="G1323" s="7">
        <x:f>IF(A1323="","",IF(01_Parametres!$B$11="Oui",IF((01_Parametres!$B$4*(D1323&gt;0)+01_Parametres!$B$5*(E1323&gt;0)+01_Parametres!$B$6*(F1323&gt;0))=0,"",(01_Parametres!$B$4*IF(D1323&gt;0,D1323,0)+01_Parametres!$B$5*IF(E1323&gt;0,E1323,0)+01_Parametres!$B$6*IF(F1323&gt;0,F1323,0))/(01_Parametres!$B$4*(D1323&gt;0)+01_Parametres!$B$5*(E1323&gt;0)+01_Parametres!$B$6*(F1323&gt;0))),IF(01_Parametres!$B$8=0,"",(01_Parametres!$B$4*D1323+01_Parametres!$B$5*E1323+01_Parametres!$B$6*F1323)/01_Parametres!$B$8)))</x:f>
      </x:c>
      <x:c r="H1323">
        <x:f>IFERROR(VLOOKUP(C1323,02_Referentiels!$A$20:$D$99,3,FALSE),"")</x:f>
      </x:c>
      <x:c r="I1323">
        <x:f>IFERROR(VLOOKUP(B1323,02_Referentiels!$A$5:$C$16,2,FALSE),"")</x:f>
      </x:c>
      <x:c r="J1323">
        <x:f>IF(A1323="","",IF(OR(D1323="",E1323="",F1323=""),1,IF(OR(D1323&lt;0,D1323&gt;3,E1323&lt;0,E1323&gt;3,F1323&lt;0,F1323&gt;3),1,0)))</x:f>
      </x:c>
      <x:c r="K1323">
        <x:f>IF(A1323="","",IF(G1323="",1,0))</x:f>
      </x:c>
      <x:c r="L1323">
        <x:f>IF(A1323="","",IF(COUNTIFS($A$5:$A$2004,A1323,$C$5:$C$2004,C1323)&gt;1,1,0))</x:f>
      </x:c>
    </x:row>
    <x:row r="1324">
      <x:c r="A1324" s="8" t="n"/>
      <x:c r="B1324" s="8" t="n"/>
      <x:c r="C1324" s="8" t="n"/>
      <x:c r="D1324" s="8" t="n"/>
      <x:c r="E1324" s="8" t="n"/>
      <x:c r="F1324" s="8" t="n"/>
      <x:c r="G1324" s="7">
        <x:f>IF(A1324="","",IF(01_Parametres!$B$11="Oui",IF((01_Parametres!$B$4*(D1324&gt;0)+01_Parametres!$B$5*(E1324&gt;0)+01_Parametres!$B$6*(F1324&gt;0))=0,"",(01_Parametres!$B$4*IF(D1324&gt;0,D1324,0)+01_Parametres!$B$5*IF(E1324&gt;0,E1324,0)+01_Parametres!$B$6*IF(F1324&gt;0,F1324,0))/(01_Parametres!$B$4*(D1324&gt;0)+01_Parametres!$B$5*(E1324&gt;0)+01_Parametres!$B$6*(F1324&gt;0))),IF(01_Parametres!$B$8=0,"",(01_Parametres!$B$4*D1324+01_Parametres!$B$5*E1324+01_Parametres!$B$6*F1324)/01_Parametres!$B$8)))</x:f>
      </x:c>
      <x:c r="H1324">
        <x:f>IFERROR(VLOOKUP(C1324,02_Referentiels!$A$20:$D$99,3,FALSE),"")</x:f>
      </x:c>
      <x:c r="I1324">
        <x:f>IFERROR(VLOOKUP(B1324,02_Referentiels!$A$5:$C$16,2,FALSE),"")</x:f>
      </x:c>
      <x:c r="J1324">
        <x:f>IF(A1324="","",IF(OR(D1324="",E1324="",F1324=""),1,IF(OR(D1324&lt;0,D1324&gt;3,E1324&lt;0,E1324&gt;3,F1324&lt;0,F1324&gt;3),1,0)))</x:f>
      </x:c>
      <x:c r="K1324">
        <x:f>IF(A1324="","",IF(G1324="",1,0))</x:f>
      </x:c>
      <x:c r="L1324">
        <x:f>IF(A1324="","",IF(COUNTIFS($A$5:$A$2004,A1324,$C$5:$C$2004,C1324)&gt;1,1,0))</x:f>
      </x:c>
    </x:row>
    <x:row r="1325">
      <x:c r="A1325" s="8" t="n"/>
      <x:c r="B1325" s="8" t="n"/>
      <x:c r="C1325" s="8" t="n"/>
      <x:c r="D1325" s="8" t="n"/>
      <x:c r="E1325" s="8" t="n"/>
      <x:c r="F1325" s="8" t="n"/>
      <x:c r="G1325" s="7">
        <x:f>IF(A1325="","",IF(01_Parametres!$B$11="Oui",IF((01_Parametres!$B$4*(D1325&gt;0)+01_Parametres!$B$5*(E1325&gt;0)+01_Parametres!$B$6*(F1325&gt;0))=0,"",(01_Parametres!$B$4*IF(D1325&gt;0,D1325,0)+01_Parametres!$B$5*IF(E1325&gt;0,E1325,0)+01_Parametres!$B$6*IF(F1325&gt;0,F1325,0))/(01_Parametres!$B$4*(D1325&gt;0)+01_Parametres!$B$5*(E1325&gt;0)+01_Parametres!$B$6*(F1325&gt;0))),IF(01_Parametres!$B$8=0,"",(01_Parametres!$B$4*D1325+01_Parametres!$B$5*E1325+01_Parametres!$B$6*F1325)/01_Parametres!$B$8)))</x:f>
      </x:c>
      <x:c r="H1325">
        <x:f>IFERROR(VLOOKUP(C1325,02_Referentiels!$A$20:$D$99,3,FALSE),"")</x:f>
      </x:c>
      <x:c r="I1325">
        <x:f>IFERROR(VLOOKUP(B1325,02_Referentiels!$A$5:$C$16,2,FALSE),"")</x:f>
      </x:c>
      <x:c r="J1325">
        <x:f>IF(A1325="","",IF(OR(D1325="",E1325="",F1325=""),1,IF(OR(D1325&lt;0,D1325&gt;3,E1325&lt;0,E1325&gt;3,F1325&lt;0,F1325&gt;3),1,0)))</x:f>
      </x:c>
      <x:c r="K1325">
        <x:f>IF(A1325="","",IF(G1325="",1,0))</x:f>
      </x:c>
      <x:c r="L1325">
        <x:f>IF(A1325="","",IF(COUNTIFS($A$5:$A$2004,A1325,$C$5:$C$2004,C1325)&gt;1,1,0))</x:f>
      </x:c>
    </x:row>
    <x:row r="1326">
      <x:c r="A1326" s="8" t="n"/>
      <x:c r="B1326" s="8" t="n"/>
      <x:c r="C1326" s="8" t="n"/>
      <x:c r="D1326" s="8" t="n"/>
      <x:c r="E1326" s="8" t="n"/>
      <x:c r="F1326" s="8" t="n"/>
      <x:c r="G1326" s="7">
        <x:f>IF(A1326="","",IF(01_Parametres!$B$11="Oui",IF((01_Parametres!$B$4*(D1326&gt;0)+01_Parametres!$B$5*(E1326&gt;0)+01_Parametres!$B$6*(F1326&gt;0))=0,"",(01_Parametres!$B$4*IF(D1326&gt;0,D1326,0)+01_Parametres!$B$5*IF(E1326&gt;0,E1326,0)+01_Parametres!$B$6*IF(F1326&gt;0,F1326,0))/(01_Parametres!$B$4*(D1326&gt;0)+01_Parametres!$B$5*(E1326&gt;0)+01_Parametres!$B$6*(F1326&gt;0))),IF(01_Parametres!$B$8=0,"",(01_Parametres!$B$4*D1326+01_Parametres!$B$5*E1326+01_Parametres!$B$6*F1326)/01_Parametres!$B$8)))</x:f>
      </x:c>
      <x:c r="H1326">
        <x:f>IFERROR(VLOOKUP(C1326,02_Referentiels!$A$20:$D$99,3,FALSE),"")</x:f>
      </x:c>
      <x:c r="I1326">
        <x:f>IFERROR(VLOOKUP(B1326,02_Referentiels!$A$5:$C$16,2,FALSE),"")</x:f>
      </x:c>
      <x:c r="J1326">
        <x:f>IF(A1326="","",IF(OR(D1326="",E1326="",F1326=""),1,IF(OR(D1326&lt;0,D1326&gt;3,E1326&lt;0,E1326&gt;3,F1326&lt;0,F1326&gt;3),1,0)))</x:f>
      </x:c>
      <x:c r="K1326">
        <x:f>IF(A1326="","",IF(G1326="",1,0))</x:f>
      </x:c>
      <x:c r="L1326">
        <x:f>IF(A1326="","",IF(COUNTIFS($A$5:$A$2004,A1326,$C$5:$C$2004,C1326)&gt;1,1,0))</x:f>
      </x:c>
    </x:row>
    <x:row r="1327">
      <x:c r="A1327" s="8" t="n"/>
      <x:c r="B1327" s="8" t="n"/>
      <x:c r="C1327" s="8" t="n"/>
      <x:c r="D1327" s="8" t="n"/>
      <x:c r="E1327" s="8" t="n"/>
      <x:c r="F1327" s="8" t="n"/>
      <x:c r="G1327" s="7">
        <x:f>IF(A1327="","",IF(01_Parametres!$B$11="Oui",IF((01_Parametres!$B$4*(D1327&gt;0)+01_Parametres!$B$5*(E1327&gt;0)+01_Parametres!$B$6*(F1327&gt;0))=0,"",(01_Parametres!$B$4*IF(D1327&gt;0,D1327,0)+01_Parametres!$B$5*IF(E1327&gt;0,E1327,0)+01_Parametres!$B$6*IF(F1327&gt;0,F1327,0))/(01_Parametres!$B$4*(D1327&gt;0)+01_Parametres!$B$5*(E1327&gt;0)+01_Parametres!$B$6*(F1327&gt;0))),IF(01_Parametres!$B$8=0,"",(01_Parametres!$B$4*D1327+01_Parametres!$B$5*E1327+01_Parametres!$B$6*F1327)/01_Parametres!$B$8)))</x:f>
      </x:c>
      <x:c r="H1327">
        <x:f>IFERROR(VLOOKUP(C1327,02_Referentiels!$A$20:$D$99,3,FALSE),"")</x:f>
      </x:c>
      <x:c r="I1327">
        <x:f>IFERROR(VLOOKUP(B1327,02_Referentiels!$A$5:$C$16,2,FALSE),"")</x:f>
      </x:c>
      <x:c r="J1327">
        <x:f>IF(A1327="","",IF(OR(D1327="",E1327="",F1327=""),1,IF(OR(D1327&lt;0,D1327&gt;3,E1327&lt;0,E1327&gt;3,F1327&lt;0,F1327&gt;3),1,0)))</x:f>
      </x:c>
      <x:c r="K1327">
        <x:f>IF(A1327="","",IF(G1327="",1,0))</x:f>
      </x:c>
      <x:c r="L1327">
        <x:f>IF(A1327="","",IF(COUNTIFS($A$5:$A$2004,A1327,$C$5:$C$2004,C1327)&gt;1,1,0))</x:f>
      </x:c>
    </x:row>
    <x:row r="1328">
      <x:c r="A1328" s="8" t="n"/>
      <x:c r="B1328" s="8" t="n"/>
      <x:c r="C1328" s="8" t="n"/>
      <x:c r="D1328" s="8" t="n"/>
      <x:c r="E1328" s="8" t="n"/>
      <x:c r="F1328" s="8" t="n"/>
      <x:c r="G1328" s="7">
        <x:f>IF(A1328="","",IF(01_Parametres!$B$11="Oui",IF((01_Parametres!$B$4*(D1328&gt;0)+01_Parametres!$B$5*(E1328&gt;0)+01_Parametres!$B$6*(F1328&gt;0))=0,"",(01_Parametres!$B$4*IF(D1328&gt;0,D1328,0)+01_Parametres!$B$5*IF(E1328&gt;0,E1328,0)+01_Parametres!$B$6*IF(F1328&gt;0,F1328,0))/(01_Parametres!$B$4*(D1328&gt;0)+01_Parametres!$B$5*(E1328&gt;0)+01_Parametres!$B$6*(F1328&gt;0))),IF(01_Parametres!$B$8=0,"",(01_Parametres!$B$4*D1328+01_Parametres!$B$5*E1328+01_Parametres!$B$6*F1328)/01_Parametres!$B$8)))</x:f>
      </x:c>
      <x:c r="H1328">
        <x:f>IFERROR(VLOOKUP(C1328,02_Referentiels!$A$20:$D$99,3,FALSE),"")</x:f>
      </x:c>
      <x:c r="I1328">
        <x:f>IFERROR(VLOOKUP(B1328,02_Referentiels!$A$5:$C$16,2,FALSE),"")</x:f>
      </x:c>
      <x:c r="J1328">
        <x:f>IF(A1328="","",IF(OR(D1328="",E1328="",F1328=""),1,IF(OR(D1328&lt;0,D1328&gt;3,E1328&lt;0,E1328&gt;3,F1328&lt;0,F1328&gt;3),1,0)))</x:f>
      </x:c>
      <x:c r="K1328">
        <x:f>IF(A1328="","",IF(G1328="",1,0))</x:f>
      </x:c>
      <x:c r="L1328">
        <x:f>IF(A1328="","",IF(COUNTIFS($A$5:$A$2004,A1328,$C$5:$C$2004,C1328)&gt;1,1,0))</x:f>
      </x:c>
    </x:row>
    <x:row r="1329">
      <x:c r="A1329" s="8" t="n"/>
      <x:c r="B1329" s="8" t="n"/>
      <x:c r="C1329" s="8" t="n"/>
      <x:c r="D1329" s="8" t="n"/>
      <x:c r="E1329" s="8" t="n"/>
      <x:c r="F1329" s="8" t="n"/>
      <x:c r="G1329" s="7">
        <x:f>IF(A1329="","",IF(01_Parametres!$B$11="Oui",IF((01_Parametres!$B$4*(D1329&gt;0)+01_Parametres!$B$5*(E1329&gt;0)+01_Parametres!$B$6*(F1329&gt;0))=0,"",(01_Parametres!$B$4*IF(D1329&gt;0,D1329,0)+01_Parametres!$B$5*IF(E1329&gt;0,E1329,0)+01_Parametres!$B$6*IF(F1329&gt;0,F1329,0))/(01_Parametres!$B$4*(D1329&gt;0)+01_Parametres!$B$5*(E1329&gt;0)+01_Parametres!$B$6*(F1329&gt;0))),IF(01_Parametres!$B$8=0,"",(01_Parametres!$B$4*D1329+01_Parametres!$B$5*E1329+01_Parametres!$B$6*F1329)/01_Parametres!$B$8)))</x:f>
      </x:c>
      <x:c r="H1329">
        <x:f>IFERROR(VLOOKUP(C1329,02_Referentiels!$A$20:$D$99,3,FALSE),"")</x:f>
      </x:c>
      <x:c r="I1329">
        <x:f>IFERROR(VLOOKUP(B1329,02_Referentiels!$A$5:$C$16,2,FALSE),"")</x:f>
      </x:c>
      <x:c r="J1329">
        <x:f>IF(A1329="","",IF(OR(D1329="",E1329="",F1329=""),1,IF(OR(D1329&lt;0,D1329&gt;3,E1329&lt;0,E1329&gt;3,F1329&lt;0,F1329&gt;3),1,0)))</x:f>
      </x:c>
      <x:c r="K1329">
        <x:f>IF(A1329="","",IF(G1329="",1,0))</x:f>
      </x:c>
      <x:c r="L1329">
        <x:f>IF(A1329="","",IF(COUNTIFS($A$5:$A$2004,A1329,$C$5:$C$2004,C1329)&gt;1,1,0))</x:f>
      </x:c>
    </x:row>
    <x:row r="1330">
      <x:c r="A1330" s="8" t="n"/>
      <x:c r="B1330" s="8" t="n"/>
      <x:c r="C1330" s="8" t="n"/>
      <x:c r="D1330" s="8" t="n"/>
      <x:c r="E1330" s="8" t="n"/>
      <x:c r="F1330" s="8" t="n"/>
      <x:c r="G1330" s="7">
        <x:f>IF(A1330="","",IF(01_Parametres!$B$11="Oui",IF((01_Parametres!$B$4*(D1330&gt;0)+01_Parametres!$B$5*(E1330&gt;0)+01_Parametres!$B$6*(F1330&gt;0))=0,"",(01_Parametres!$B$4*IF(D1330&gt;0,D1330,0)+01_Parametres!$B$5*IF(E1330&gt;0,E1330,0)+01_Parametres!$B$6*IF(F1330&gt;0,F1330,0))/(01_Parametres!$B$4*(D1330&gt;0)+01_Parametres!$B$5*(E1330&gt;0)+01_Parametres!$B$6*(F1330&gt;0))),IF(01_Parametres!$B$8=0,"",(01_Parametres!$B$4*D1330+01_Parametres!$B$5*E1330+01_Parametres!$B$6*F1330)/01_Parametres!$B$8)))</x:f>
      </x:c>
      <x:c r="H1330">
        <x:f>IFERROR(VLOOKUP(C1330,02_Referentiels!$A$20:$D$99,3,FALSE),"")</x:f>
      </x:c>
      <x:c r="I1330">
        <x:f>IFERROR(VLOOKUP(B1330,02_Referentiels!$A$5:$C$16,2,FALSE),"")</x:f>
      </x:c>
      <x:c r="J1330">
        <x:f>IF(A1330="","",IF(OR(D1330="",E1330="",F1330=""),1,IF(OR(D1330&lt;0,D1330&gt;3,E1330&lt;0,E1330&gt;3,F1330&lt;0,F1330&gt;3),1,0)))</x:f>
      </x:c>
      <x:c r="K1330">
        <x:f>IF(A1330="","",IF(G1330="",1,0))</x:f>
      </x:c>
      <x:c r="L1330">
        <x:f>IF(A1330="","",IF(COUNTIFS($A$5:$A$2004,A1330,$C$5:$C$2004,C1330)&gt;1,1,0))</x:f>
      </x:c>
    </x:row>
    <x:row r="1331">
      <x:c r="A1331" s="8" t="n"/>
      <x:c r="B1331" s="8" t="n"/>
      <x:c r="C1331" s="8" t="n"/>
      <x:c r="D1331" s="8" t="n"/>
      <x:c r="E1331" s="8" t="n"/>
      <x:c r="F1331" s="8" t="n"/>
      <x:c r="G1331" s="7">
        <x:f>IF(A1331="","",IF(01_Parametres!$B$11="Oui",IF((01_Parametres!$B$4*(D1331&gt;0)+01_Parametres!$B$5*(E1331&gt;0)+01_Parametres!$B$6*(F1331&gt;0))=0,"",(01_Parametres!$B$4*IF(D1331&gt;0,D1331,0)+01_Parametres!$B$5*IF(E1331&gt;0,E1331,0)+01_Parametres!$B$6*IF(F1331&gt;0,F1331,0))/(01_Parametres!$B$4*(D1331&gt;0)+01_Parametres!$B$5*(E1331&gt;0)+01_Parametres!$B$6*(F1331&gt;0))),IF(01_Parametres!$B$8=0,"",(01_Parametres!$B$4*D1331+01_Parametres!$B$5*E1331+01_Parametres!$B$6*F1331)/01_Parametres!$B$8)))</x:f>
      </x:c>
      <x:c r="H1331">
        <x:f>IFERROR(VLOOKUP(C1331,02_Referentiels!$A$20:$D$99,3,FALSE),"")</x:f>
      </x:c>
      <x:c r="I1331">
        <x:f>IFERROR(VLOOKUP(B1331,02_Referentiels!$A$5:$C$16,2,FALSE),"")</x:f>
      </x:c>
      <x:c r="J1331">
        <x:f>IF(A1331="","",IF(OR(D1331="",E1331="",F1331=""),1,IF(OR(D1331&lt;0,D1331&gt;3,E1331&lt;0,E1331&gt;3,F1331&lt;0,F1331&gt;3),1,0)))</x:f>
      </x:c>
      <x:c r="K1331">
        <x:f>IF(A1331="","",IF(G1331="",1,0))</x:f>
      </x:c>
      <x:c r="L1331">
        <x:f>IF(A1331="","",IF(COUNTIFS($A$5:$A$2004,A1331,$C$5:$C$2004,C1331)&gt;1,1,0))</x:f>
      </x:c>
    </x:row>
    <x:row r="1332">
      <x:c r="A1332" s="8" t="n"/>
      <x:c r="B1332" s="8" t="n"/>
      <x:c r="C1332" s="8" t="n"/>
      <x:c r="D1332" s="8" t="n"/>
      <x:c r="E1332" s="8" t="n"/>
      <x:c r="F1332" s="8" t="n"/>
      <x:c r="G1332" s="7">
        <x:f>IF(A1332="","",IF(01_Parametres!$B$11="Oui",IF((01_Parametres!$B$4*(D1332&gt;0)+01_Parametres!$B$5*(E1332&gt;0)+01_Parametres!$B$6*(F1332&gt;0))=0,"",(01_Parametres!$B$4*IF(D1332&gt;0,D1332,0)+01_Parametres!$B$5*IF(E1332&gt;0,E1332,0)+01_Parametres!$B$6*IF(F1332&gt;0,F1332,0))/(01_Parametres!$B$4*(D1332&gt;0)+01_Parametres!$B$5*(E1332&gt;0)+01_Parametres!$B$6*(F1332&gt;0))),IF(01_Parametres!$B$8=0,"",(01_Parametres!$B$4*D1332+01_Parametres!$B$5*E1332+01_Parametres!$B$6*F1332)/01_Parametres!$B$8)))</x:f>
      </x:c>
      <x:c r="H1332">
        <x:f>IFERROR(VLOOKUP(C1332,02_Referentiels!$A$20:$D$99,3,FALSE),"")</x:f>
      </x:c>
      <x:c r="I1332">
        <x:f>IFERROR(VLOOKUP(B1332,02_Referentiels!$A$5:$C$16,2,FALSE),"")</x:f>
      </x:c>
      <x:c r="J1332">
        <x:f>IF(A1332="","",IF(OR(D1332="",E1332="",F1332=""),1,IF(OR(D1332&lt;0,D1332&gt;3,E1332&lt;0,E1332&gt;3,F1332&lt;0,F1332&gt;3),1,0)))</x:f>
      </x:c>
      <x:c r="K1332">
        <x:f>IF(A1332="","",IF(G1332="",1,0))</x:f>
      </x:c>
      <x:c r="L1332">
        <x:f>IF(A1332="","",IF(COUNTIFS($A$5:$A$2004,A1332,$C$5:$C$2004,C1332)&gt;1,1,0))</x:f>
      </x:c>
    </x:row>
    <x:row r="1333">
      <x:c r="A1333" s="8" t="n"/>
      <x:c r="B1333" s="8" t="n"/>
      <x:c r="C1333" s="8" t="n"/>
      <x:c r="D1333" s="8" t="n"/>
      <x:c r="E1333" s="8" t="n"/>
      <x:c r="F1333" s="8" t="n"/>
      <x:c r="G1333" s="7">
        <x:f>IF(A1333="","",IF(01_Parametres!$B$11="Oui",IF((01_Parametres!$B$4*(D1333&gt;0)+01_Parametres!$B$5*(E1333&gt;0)+01_Parametres!$B$6*(F1333&gt;0))=0,"",(01_Parametres!$B$4*IF(D1333&gt;0,D1333,0)+01_Parametres!$B$5*IF(E1333&gt;0,E1333,0)+01_Parametres!$B$6*IF(F1333&gt;0,F1333,0))/(01_Parametres!$B$4*(D1333&gt;0)+01_Parametres!$B$5*(E1333&gt;0)+01_Parametres!$B$6*(F1333&gt;0))),IF(01_Parametres!$B$8=0,"",(01_Parametres!$B$4*D1333+01_Parametres!$B$5*E1333+01_Parametres!$B$6*F1333)/01_Parametres!$B$8)))</x:f>
      </x:c>
      <x:c r="H1333">
        <x:f>IFERROR(VLOOKUP(C1333,02_Referentiels!$A$20:$D$99,3,FALSE),"")</x:f>
      </x:c>
      <x:c r="I1333">
        <x:f>IFERROR(VLOOKUP(B1333,02_Referentiels!$A$5:$C$16,2,FALSE),"")</x:f>
      </x:c>
      <x:c r="J1333">
        <x:f>IF(A1333="","",IF(OR(D1333="",E1333="",F1333=""),1,IF(OR(D1333&lt;0,D1333&gt;3,E1333&lt;0,E1333&gt;3,F1333&lt;0,F1333&gt;3),1,0)))</x:f>
      </x:c>
      <x:c r="K1333">
        <x:f>IF(A1333="","",IF(G1333="",1,0))</x:f>
      </x:c>
      <x:c r="L1333">
        <x:f>IF(A1333="","",IF(COUNTIFS($A$5:$A$2004,A1333,$C$5:$C$2004,C1333)&gt;1,1,0))</x:f>
      </x:c>
    </x:row>
    <x:row r="1334">
      <x:c r="A1334" s="8" t="n"/>
      <x:c r="B1334" s="8" t="n"/>
      <x:c r="C1334" s="8" t="n"/>
      <x:c r="D1334" s="8" t="n"/>
      <x:c r="E1334" s="8" t="n"/>
      <x:c r="F1334" s="8" t="n"/>
      <x:c r="G1334" s="7">
        <x:f>IF(A1334="","",IF(01_Parametres!$B$11="Oui",IF((01_Parametres!$B$4*(D1334&gt;0)+01_Parametres!$B$5*(E1334&gt;0)+01_Parametres!$B$6*(F1334&gt;0))=0,"",(01_Parametres!$B$4*IF(D1334&gt;0,D1334,0)+01_Parametres!$B$5*IF(E1334&gt;0,E1334,0)+01_Parametres!$B$6*IF(F1334&gt;0,F1334,0))/(01_Parametres!$B$4*(D1334&gt;0)+01_Parametres!$B$5*(E1334&gt;0)+01_Parametres!$B$6*(F1334&gt;0))),IF(01_Parametres!$B$8=0,"",(01_Parametres!$B$4*D1334+01_Parametres!$B$5*E1334+01_Parametres!$B$6*F1334)/01_Parametres!$B$8)))</x:f>
      </x:c>
      <x:c r="H1334">
        <x:f>IFERROR(VLOOKUP(C1334,02_Referentiels!$A$20:$D$99,3,FALSE),"")</x:f>
      </x:c>
      <x:c r="I1334">
        <x:f>IFERROR(VLOOKUP(B1334,02_Referentiels!$A$5:$C$16,2,FALSE),"")</x:f>
      </x:c>
      <x:c r="J1334">
        <x:f>IF(A1334="","",IF(OR(D1334="",E1334="",F1334=""),1,IF(OR(D1334&lt;0,D1334&gt;3,E1334&lt;0,E1334&gt;3,F1334&lt;0,F1334&gt;3),1,0)))</x:f>
      </x:c>
      <x:c r="K1334">
        <x:f>IF(A1334="","",IF(G1334="",1,0))</x:f>
      </x:c>
      <x:c r="L1334">
        <x:f>IF(A1334="","",IF(COUNTIFS($A$5:$A$2004,A1334,$C$5:$C$2004,C1334)&gt;1,1,0))</x:f>
      </x:c>
    </x:row>
    <x:row r="1335">
      <x:c r="A1335" s="8" t="n"/>
      <x:c r="B1335" s="8" t="n"/>
      <x:c r="C1335" s="8" t="n"/>
      <x:c r="D1335" s="8" t="n"/>
      <x:c r="E1335" s="8" t="n"/>
      <x:c r="F1335" s="8" t="n"/>
      <x:c r="G1335" s="7">
        <x:f>IF(A1335="","",IF(01_Parametres!$B$11="Oui",IF((01_Parametres!$B$4*(D1335&gt;0)+01_Parametres!$B$5*(E1335&gt;0)+01_Parametres!$B$6*(F1335&gt;0))=0,"",(01_Parametres!$B$4*IF(D1335&gt;0,D1335,0)+01_Parametres!$B$5*IF(E1335&gt;0,E1335,0)+01_Parametres!$B$6*IF(F1335&gt;0,F1335,0))/(01_Parametres!$B$4*(D1335&gt;0)+01_Parametres!$B$5*(E1335&gt;0)+01_Parametres!$B$6*(F1335&gt;0))),IF(01_Parametres!$B$8=0,"",(01_Parametres!$B$4*D1335+01_Parametres!$B$5*E1335+01_Parametres!$B$6*F1335)/01_Parametres!$B$8)))</x:f>
      </x:c>
      <x:c r="H1335">
        <x:f>IFERROR(VLOOKUP(C1335,02_Referentiels!$A$20:$D$99,3,FALSE),"")</x:f>
      </x:c>
      <x:c r="I1335">
        <x:f>IFERROR(VLOOKUP(B1335,02_Referentiels!$A$5:$C$16,2,FALSE),"")</x:f>
      </x:c>
      <x:c r="J1335">
        <x:f>IF(A1335="","",IF(OR(D1335="",E1335="",F1335=""),1,IF(OR(D1335&lt;0,D1335&gt;3,E1335&lt;0,E1335&gt;3,F1335&lt;0,F1335&gt;3),1,0)))</x:f>
      </x:c>
      <x:c r="K1335">
        <x:f>IF(A1335="","",IF(G1335="",1,0))</x:f>
      </x:c>
      <x:c r="L1335">
        <x:f>IF(A1335="","",IF(COUNTIFS($A$5:$A$2004,A1335,$C$5:$C$2004,C1335)&gt;1,1,0))</x:f>
      </x:c>
    </x:row>
    <x:row r="1336">
      <x:c r="A1336" s="8" t="n"/>
      <x:c r="B1336" s="8" t="n"/>
      <x:c r="C1336" s="8" t="n"/>
      <x:c r="D1336" s="8" t="n"/>
      <x:c r="E1336" s="8" t="n"/>
      <x:c r="F1336" s="8" t="n"/>
      <x:c r="G1336" s="7">
        <x:f>IF(A1336="","",IF(01_Parametres!$B$11="Oui",IF((01_Parametres!$B$4*(D1336&gt;0)+01_Parametres!$B$5*(E1336&gt;0)+01_Parametres!$B$6*(F1336&gt;0))=0,"",(01_Parametres!$B$4*IF(D1336&gt;0,D1336,0)+01_Parametres!$B$5*IF(E1336&gt;0,E1336,0)+01_Parametres!$B$6*IF(F1336&gt;0,F1336,0))/(01_Parametres!$B$4*(D1336&gt;0)+01_Parametres!$B$5*(E1336&gt;0)+01_Parametres!$B$6*(F1336&gt;0))),IF(01_Parametres!$B$8=0,"",(01_Parametres!$B$4*D1336+01_Parametres!$B$5*E1336+01_Parametres!$B$6*F1336)/01_Parametres!$B$8)))</x:f>
      </x:c>
      <x:c r="H1336">
        <x:f>IFERROR(VLOOKUP(C1336,02_Referentiels!$A$20:$D$99,3,FALSE),"")</x:f>
      </x:c>
      <x:c r="I1336">
        <x:f>IFERROR(VLOOKUP(B1336,02_Referentiels!$A$5:$C$16,2,FALSE),"")</x:f>
      </x:c>
      <x:c r="J1336">
        <x:f>IF(A1336="","",IF(OR(D1336="",E1336="",F1336=""),1,IF(OR(D1336&lt;0,D1336&gt;3,E1336&lt;0,E1336&gt;3,F1336&lt;0,F1336&gt;3),1,0)))</x:f>
      </x:c>
      <x:c r="K1336">
        <x:f>IF(A1336="","",IF(G1336="",1,0))</x:f>
      </x:c>
      <x:c r="L1336">
        <x:f>IF(A1336="","",IF(COUNTIFS($A$5:$A$2004,A1336,$C$5:$C$2004,C1336)&gt;1,1,0))</x:f>
      </x:c>
    </x:row>
    <x:row r="1337">
      <x:c r="A1337" s="8" t="n"/>
      <x:c r="B1337" s="8" t="n"/>
      <x:c r="C1337" s="8" t="n"/>
      <x:c r="D1337" s="8" t="n"/>
      <x:c r="E1337" s="8" t="n"/>
      <x:c r="F1337" s="8" t="n"/>
      <x:c r="G1337" s="7">
        <x:f>IF(A1337="","",IF(01_Parametres!$B$11="Oui",IF((01_Parametres!$B$4*(D1337&gt;0)+01_Parametres!$B$5*(E1337&gt;0)+01_Parametres!$B$6*(F1337&gt;0))=0,"",(01_Parametres!$B$4*IF(D1337&gt;0,D1337,0)+01_Parametres!$B$5*IF(E1337&gt;0,E1337,0)+01_Parametres!$B$6*IF(F1337&gt;0,F1337,0))/(01_Parametres!$B$4*(D1337&gt;0)+01_Parametres!$B$5*(E1337&gt;0)+01_Parametres!$B$6*(F1337&gt;0))),IF(01_Parametres!$B$8=0,"",(01_Parametres!$B$4*D1337+01_Parametres!$B$5*E1337+01_Parametres!$B$6*F1337)/01_Parametres!$B$8)))</x:f>
      </x:c>
      <x:c r="H1337">
        <x:f>IFERROR(VLOOKUP(C1337,02_Referentiels!$A$20:$D$99,3,FALSE),"")</x:f>
      </x:c>
      <x:c r="I1337">
        <x:f>IFERROR(VLOOKUP(B1337,02_Referentiels!$A$5:$C$16,2,FALSE),"")</x:f>
      </x:c>
      <x:c r="J1337">
        <x:f>IF(A1337="","",IF(OR(D1337="",E1337="",F1337=""),1,IF(OR(D1337&lt;0,D1337&gt;3,E1337&lt;0,E1337&gt;3,F1337&lt;0,F1337&gt;3),1,0)))</x:f>
      </x:c>
      <x:c r="K1337">
        <x:f>IF(A1337="","",IF(G1337="",1,0))</x:f>
      </x:c>
      <x:c r="L1337">
        <x:f>IF(A1337="","",IF(COUNTIFS($A$5:$A$2004,A1337,$C$5:$C$2004,C1337)&gt;1,1,0))</x:f>
      </x:c>
    </x:row>
    <x:row r="1338">
      <x:c r="A1338" s="8" t="n"/>
      <x:c r="B1338" s="8" t="n"/>
      <x:c r="C1338" s="8" t="n"/>
      <x:c r="D1338" s="8" t="n"/>
      <x:c r="E1338" s="8" t="n"/>
      <x:c r="F1338" s="8" t="n"/>
      <x:c r="G1338" s="7">
        <x:f>IF(A1338="","",IF(01_Parametres!$B$11="Oui",IF((01_Parametres!$B$4*(D1338&gt;0)+01_Parametres!$B$5*(E1338&gt;0)+01_Parametres!$B$6*(F1338&gt;0))=0,"",(01_Parametres!$B$4*IF(D1338&gt;0,D1338,0)+01_Parametres!$B$5*IF(E1338&gt;0,E1338,0)+01_Parametres!$B$6*IF(F1338&gt;0,F1338,0))/(01_Parametres!$B$4*(D1338&gt;0)+01_Parametres!$B$5*(E1338&gt;0)+01_Parametres!$B$6*(F1338&gt;0))),IF(01_Parametres!$B$8=0,"",(01_Parametres!$B$4*D1338+01_Parametres!$B$5*E1338+01_Parametres!$B$6*F1338)/01_Parametres!$B$8)))</x:f>
      </x:c>
      <x:c r="H1338">
        <x:f>IFERROR(VLOOKUP(C1338,02_Referentiels!$A$20:$D$99,3,FALSE),"")</x:f>
      </x:c>
      <x:c r="I1338">
        <x:f>IFERROR(VLOOKUP(B1338,02_Referentiels!$A$5:$C$16,2,FALSE),"")</x:f>
      </x:c>
      <x:c r="J1338">
        <x:f>IF(A1338="","",IF(OR(D1338="",E1338="",F1338=""),1,IF(OR(D1338&lt;0,D1338&gt;3,E1338&lt;0,E1338&gt;3,F1338&lt;0,F1338&gt;3),1,0)))</x:f>
      </x:c>
      <x:c r="K1338">
        <x:f>IF(A1338="","",IF(G1338="",1,0))</x:f>
      </x:c>
      <x:c r="L1338">
        <x:f>IF(A1338="","",IF(COUNTIFS($A$5:$A$2004,A1338,$C$5:$C$2004,C1338)&gt;1,1,0))</x:f>
      </x:c>
    </x:row>
    <x:row r="1339">
      <x:c r="A1339" s="8" t="n"/>
      <x:c r="B1339" s="8" t="n"/>
      <x:c r="C1339" s="8" t="n"/>
      <x:c r="D1339" s="8" t="n"/>
      <x:c r="E1339" s="8" t="n"/>
      <x:c r="F1339" s="8" t="n"/>
      <x:c r="G1339" s="7">
        <x:f>IF(A1339="","",IF(01_Parametres!$B$11="Oui",IF((01_Parametres!$B$4*(D1339&gt;0)+01_Parametres!$B$5*(E1339&gt;0)+01_Parametres!$B$6*(F1339&gt;0))=0,"",(01_Parametres!$B$4*IF(D1339&gt;0,D1339,0)+01_Parametres!$B$5*IF(E1339&gt;0,E1339,0)+01_Parametres!$B$6*IF(F1339&gt;0,F1339,0))/(01_Parametres!$B$4*(D1339&gt;0)+01_Parametres!$B$5*(E1339&gt;0)+01_Parametres!$B$6*(F1339&gt;0))),IF(01_Parametres!$B$8=0,"",(01_Parametres!$B$4*D1339+01_Parametres!$B$5*E1339+01_Parametres!$B$6*F1339)/01_Parametres!$B$8)))</x:f>
      </x:c>
      <x:c r="H1339">
        <x:f>IFERROR(VLOOKUP(C1339,02_Referentiels!$A$20:$D$99,3,FALSE),"")</x:f>
      </x:c>
      <x:c r="I1339">
        <x:f>IFERROR(VLOOKUP(B1339,02_Referentiels!$A$5:$C$16,2,FALSE),"")</x:f>
      </x:c>
      <x:c r="J1339">
        <x:f>IF(A1339="","",IF(OR(D1339="",E1339="",F1339=""),1,IF(OR(D1339&lt;0,D1339&gt;3,E1339&lt;0,E1339&gt;3,F1339&lt;0,F1339&gt;3),1,0)))</x:f>
      </x:c>
      <x:c r="K1339">
        <x:f>IF(A1339="","",IF(G1339="",1,0))</x:f>
      </x:c>
      <x:c r="L1339">
        <x:f>IF(A1339="","",IF(COUNTIFS($A$5:$A$2004,A1339,$C$5:$C$2004,C1339)&gt;1,1,0))</x:f>
      </x:c>
    </x:row>
    <x:row r="1340">
      <x:c r="A1340" s="8" t="n"/>
      <x:c r="B1340" s="8" t="n"/>
      <x:c r="C1340" s="8" t="n"/>
      <x:c r="D1340" s="8" t="n"/>
      <x:c r="E1340" s="8" t="n"/>
      <x:c r="F1340" s="8" t="n"/>
      <x:c r="G1340" s="7">
        <x:f>IF(A1340="","",IF(01_Parametres!$B$11="Oui",IF((01_Parametres!$B$4*(D1340&gt;0)+01_Parametres!$B$5*(E1340&gt;0)+01_Parametres!$B$6*(F1340&gt;0))=0,"",(01_Parametres!$B$4*IF(D1340&gt;0,D1340,0)+01_Parametres!$B$5*IF(E1340&gt;0,E1340,0)+01_Parametres!$B$6*IF(F1340&gt;0,F1340,0))/(01_Parametres!$B$4*(D1340&gt;0)+01_Parametres!$B$5*(E1340&gt;0)+01_Parametres!$B$6*(F1340&gt;0))),IF(01_Parametres!$B$8=0,"",(01_Parametres!$B$4*D1340+01_Parametres!$B$5*E1340+01_Parametres!$B$6*F1340)/01_Parametres!$B$8)))</x:f>
      </x:c>
      <x:c r="H1340">
        <x:f>IFERROR(VLOOKUP(C1340,02_Referentiels!$A$20:$D$99,3,FALSE),"")</x:f>
      </x:c>
      <x:c r="I1340">
        <x:f>IFERROR(VLOOKUP(B1340,02_Referentiels!$A$5:$C$16,2,FALSE),"")</x:f>
      </x:c>
      <x:c r="J1340">
        <x:f>IF(A1340="","",IF(OR(D1340="",E1340="",F1340=""),1,IF(OR(D1340&lt;0,D1340&gt;3,E1340&lt;0,E1340&gt;3,F1340&lt;0,F1340&gt;3),1,0)))</x:f>
      </x:c>
      <x:c r="K1340">
        <x:f>IF(A1340="","",IF(G1340="",1,0))</x:f>
      </x:c>
      <x:c r="L1340">
        <x:f>IF(A1340="","",IF(COUNTIFS($A$5:$A$2004,A1340,$C$5:$C$2004,C1340)&gt;1,1,0))</x:f>
      </x:c>
    </x:row>
    <x:row r="1341">
      <x:c r="A1341" s="8" t="n"/>
      <x:c r="B1341" s="8" t="n"/>
      <x:c r="C1341" s="8" t="n"/>
      <x:c r="D1341" s="8" t="n"/>
      <x:c r="E1341" s="8" t="n"/>
      <x:c r="F1341" s="8" t="n"/>
      <x:c r="G1341" s="7">
        <x:f>IF(A1341="","",IF(01_Parametres!$B$11="Oui",IF((01_Parametres!$B$4*(D1341&gt;0)+01_Parametres!$B$5*(E1341&gt;0)+01_Parametres!$B$6*(F1341&gt;0))=0,"",(01_Parametres!$B$4*IF(D1341&gt;0,D1341,0)+01_Parametres!$B$5*IF(E1341&gt;0,E1341,0)+01_Parametres!$B$6*IF(F1341&gt;0,F1341,0))/(01_Parametres!$B$4*(D1341&gt;0)+01_Parametres!$B$5*(E1341&gt;0)+01_Parametres!$B$6*(F1341&gt;0))),IF(01_Parametres!$B$8=0,"",(01_Parametres!$B$4*D1341+01_Parametres!$B$5*E1341+01_Parametres!$B$6*F1341)/01_Parametres!$B$8)))</x:f>
      </x:c>
      <x:c r="H1341">
        <x:f>IFERROR(VLOOKUP(C1341,02_Referentiels!$A$20:$D$99,3,FALSE),"")</x:f>
      </x:c>
      <x:c r="I1341">
        <x:f>IFERROR(VLOOKUP(B1341,02_Referentiels!$A$5:$C$16,2,FALSE),"")</x:f>
      </x:c>
      <x:c r="J1341">
        <x:f>IF(A1341="","",IF(OR(D1341="",E1341="",F1341=""),1,IF(OR(D1341&lt;0,D1341&gt;3,E1341&lt;0,E1341&gt;3,F1341&lt;0,F1341&gt;3),1,0)))</x:f>
      </x:c>
      <x:c r="K1341">
        <x:f>IF(A1341="","",IF(G1341="",1,0))</x:f>
      </x:c>
      <x:c r="L1341">
        <x:f>IF(A1341="","",IF(COUNTIFS($A$5:$A$2004,A1341,$C$5:$C$2004,C1341)&gt;1,1,0))</x:f>
      </x:c>
    </x:row>
    <x:row r="1342">
      <x:c r="A1342" s="8" t="n"/>
      <x:c r="B1342" s="8" t="n"/>
      <x:c r="C1342" s="8" t="n"/>
      <x:c r="D1342" s="8" t="n"/>
      <x:c r="E1342" s="8" t="n"/>
      <x:c r="F1342" s="8" t="n"/>
      <x:c r="G1342" s="7">
        <x:f>IF(A1342="","",IF(01_Parametres!$B$11="Oui",IF((01_Parametres!$B$4*(D1342&gt;0)+01_Parametres!$B$5*(E1342&gt;0)+01_Parametres!$B$6*(F1342&gt;0))=0,"",(01_Parametres!$B$4*IF(D1342&gt;0,D1342,0)+01_Parametres!$B$5*IF(E1342&gt;0,E1342,0)+01_Parametres!$B$6*IF(F1342&gt;0,F1342,0))/(01_Parametres!$B$4*(D1342&gt;0)+01_Parametres!$B$5*(E1342&gt;0)+01_Parametres!$B$6*(F1342&gt;0))),IF(01_Parametres!$B$8=0,"",(01_Parametres!$B$4*D1342+01_Parametres!$B$5*E1342+01_Parametres!$B$6*F1342)/01_Parametres!$B$8)))</x:f>
      </x:c>
      <x:c r="H1342">
        <x:f>IFERROR(VLOOKUP(C1342,02_Referentiels!$A$20:$D$99,3,FALSE),"")</x:f>
      </x:c>
      <x:c r="I1342">
        <x:f>IFERROR(VLOOKUP(B1342,02_Referentiels!$A$5:$C$16,2,FALSE),"")</x:f>
      </x:c>
      <x:c r="J1342">
        <x:f>IF(A1342="","",IF(OR(D1342="",E1342="",F1342=""),1,IF(OR(D1342&lt;0,D1342&gt;3,E1342&lt;0,E1342&gt;3,F1342&lt;0,F1342&gt;3),1,0)))</x:f>
      </x:c>
      <x:c r="K1342">
        <x:f>IF(A1342="","",IF(G1342="",1,0))</x:f>
      </x:c>
      <x:c r="L1342">
        <x:f>IF(A1342="","",IF(COUNTIFS($A$5:$A$2004,A1342,$C$5:$C$2004,C1342)&gt;1,1,0))</x:f>
      </x:c>
    </x:row>
    <x:row r="1343">
      <x:c r="A1343" s="8" t="n"/>
      <x:c r="B1343" s="8" t="n"/>
      <x:c r="C1343" s="8" t="n"/>
      <x:c r="D1343" s="8" t="n"/>
      <x:c r="E1343" s="8" t="n"/>
      <x:c r="F1343" s="8" t="n"/>
      <x:c r="G1343" s="7">
        <x:f>IF(A1343="","",IF(01_Parametres!$B$11="Oui",IF((01_Parametres!$B$4*(D1343&gt;0)+01_Parametres!$B$5*(E1343&gt;0)+01_Parametres!$B$6*(F1343&gt;0))=0,"",(01_Parametres!$B$4*IF(D1343&gt;0,D1343,0)+01_Parametres!$B$5*IF(E1343&gt;0,E1343,0)+01_Parametres!$B$6*IF(F1343&gt;0,F1343,0))/(01_Parametres!$B$4*(D1343&gt;0)+01_Parametres!$B$5*(E1343&gt;0)+01_Parametres!$B$6*(F1343&gt;0))),IF(01_Parametres!$B$8=0,"",(01_Parametres!$B$4*D1343+01_Parametres!$B$5*E1343+01_Parametres!$B$6*F1343)/01_Parametres!$B$8)))</x:f>
      </x:c>
      <x:c r="H1343">
        <x:f>IFERROR(VLOOKUP(C1343,02_Referentiels!$A$20:$D$99,3,FALSE),"")</x:f>
      </x:c>
      <x:c r="I1343">
        <x:f>IFERROR(VLOOKUP(B1343,02_Referentiels!$A$5:$C$16,2,FALSE),"")</x:f>
      </x:c>
      <x:c r="J1343">
        <x:f>IF(A1343="","",IF(OR(D1343="",E1343="",F1343=""),1,IF(OR(D1343&lt;0,D1343&gt;3,E1343&lt;0,E1343&gt;3,F1343&lt;0,F1343&gt;3),1,0)))</x:f>
      </x:c>
      <x:c r="K1343">
        <x:f>IF(A1343="","",IF(G1343="",1,0))</x:f>
      </x:c>
      <x:c r="L1343">
        <x:f>IF(A1343="","",IF(COUNTIFS($A$5:$A$2004,A1343,$C$5:$C$2004,C1343)&gt;1,1,0))</x:f>
      </x:c>
    </x:row>
    <x:row r="1344">
      <x:c r="A1344" s="8" t="n"/>
      <x:c r="B1344" s="8" t="n"/>
      <x:c r="C1344" s="8" t="n"/>
      <x:c r="D1344" s="8" t="n"/>
      <x:c r="E1344" s="8" t="n"/>
      <x:c r="F1344" s="8" t="n"/>
      <x:c r="G1344" s="7">
        <x:f>IF(A1344="","",IF(01_Parametres!$B$11="Oui",IF((01_Parametres!$B$4*(D1344&gt;0)+01_Parametres!$B$5*(E1344&gt;0)+01_Parametres!$B$6*(F1344&gt;0))=0,"",(01_Parametres!$B$4*IF(D1344&gt;0,D1344,0)+01_Parametres!$B$5*IF(E1344&gt;0,E1344,0)+01_Parametres!$B$6*IF(F1344&gt;0,F1344,0))/(01_Parametres!$B$4*(D1344&gt;0)+01_Parametres!$B$5*(E1344&gt;0)+01_Parametres!$B$6*(F1344&gt;0))),IF(01_Parametres!$B$8=0,"",(01_Parametres!$B$4*D1344+01_Parametres!$B$5*E1344+01_Parametres!$B$6*F1344)/01_Parametres!$B$8)))</x:f>
      </x:c>
      <x:c r="H1344">
        <x:f>IFERROR(VLOOKUP(C1344,02_Referentiels!$A$20:$D$99,3,FALSE),"")</x:f>
      </x:c>
      <x:c r="I1344">
        <x:f>IFERROR(VLOOKUP(B1344,02_Referentiels!$A$5:$C$16,2,FALSE),"")</x:f>
      </x:c>
      <x:c r="J1344">
        <x:f>IF(A1344="","",IF(OR(D1344="",E1344="",F1344=""),1,IF(OR(D1344&lt;0,D1344&gt;3,E1344&lt;0,E1344&gt;3,F1344&lt;0,F1344&gt;3),1,0)))</x:f>
      </x:c>
      <x:c r="K1344">
        <x:f>IF(A1344="","",IF(G1344="",1,0))</x:f>
      </x:c>
      <x:c r="L1344">
        <x:f>IF(A1344="","",IF(COUNTIFS($A$5:$A$2004,A1344,$C$5:$C$2004,C1344)&gt;1,1,0))</x:f>
      </x:c>
    </x:row>
    <x:row r="1345">
      <x:c r="A1345" s="8" t="n"/>
      <x:c r="B1345" s="8" t="n"/>
      <x:c r="C1345" s="8" t="n"/>
      <x:c r="D1345" s="8" t="n"/>
      <x:c r="E1345" s="8" t="n"/>
      <x:c r="F1345" s="8" t="n"/>
      <x:c r="G1345" s="7">
        <x:f>IF(A1345="","",IF(01_Parametres!$B$11="Oui",IF((01_Parametres!$B$4*(D1345&gt;0)+01_Parametres!$B$5*(E1345&gt;0)+01_Parametres!$B$6*(F1345&gt;0))=0,"",(01_Parametres!$B$4*IF(D1345&gt;0,D1345,0)+01_Parametres!$B$5*IF(E1345&gt;0,E1345,0)+01_Parametres!$B$6*IF(F1345&gt;0,F1345,0))/(01_Parametres!$B$4*(D1345&gt;0)+01_Parametres!$B$5*(E1345&gt;0)+01_Parametres!$B$6*(F1345&gt;0))),IF(01_Parametres!$B$8=0,"",(01_Parametres!$B$4*D1345+01_Parametres!$B$5*E1345+01_Parametres!$B$6*F1345)/01_Parametres!$B$8)))</x:f>
      </x:c>
      <x:c r="H1345">
        <x:f>IFERROR(VLOOKUP(C1345,02_Referentiels!$A$20:$D$99,3,FALSE),"")</x:f>
      </x:c>
      <x:c r="I1345">
        <x:f>IFERROR(VLOOKUP(B1345,02_Referentiels!$A$5:$C$16,2,FALSE),"")</x:f>
      </x:c>
      <x:c r="J1345">
        <x:f>IF(A1345="","",IF(OR(D1345="",E1345="",F1345=""),1,IF(OR(D1345&lt;0,D1345&gt;3,E1345&lt;0,E1345&gt;3,F1345&lt;0,F1345&gt;3),1,0)))</x:f>
      </x:c>
      <x:c r="K1345">
        <x:f>IF(A1345="","",IF(G1345="",1,0))</x:f>
      </x:c>
      <x:c r="L1345">
        <x:f>IF(A1345="","",IF(COUNTIFS($A$5:$A$2004,A1345,$C$5:$C$2004,C1345)&gt;1,1,0))</x:f>
      </x:c>
    </x:row>
    <x:row r="1346">
      <x:c r="A1346" s="8" t="n"/>
      <x:c r="B1346" s="8" t="n"/>
      <x:c r="C1346" s="8" t="n"/>
      <x:c r="D1346" s="8" t="n"/>
      <x:c r="E1346" s="8" t="n"/>
      <x:c r="F1346" s="8" t="n"/>
      <x:c r="G1346" s="7">
        <x:f>IF(A1346="","",IF(01_Parametres!$B$11="Oui",IF((01_Parametres!$B$4*(D1346&gt;0)+01_Parametres!$B$5*(E1346&gt;0)+01_Parametres!$B$6*(F1346&gt;0))=0,"",(01_Parametres!$B$4*IF(D1346&gt;0,D1346,0)+01_Parametres!$B$5*IF(E1346&gt;0,E1346,0)+01_Parametres!$B$6*IF(F1346&gt;0,F1346,0))/(01_Parametres!$B$4*(D1346&gt;0)+01_Parametres!$B$5*(E1346&gt;0)+01_Parametres!$B$6*(F1346&gt;0))),IF(01_Parametres!$B$8=0,"",(01_Parametres!$B$4*D1346+01_Parametres!$B$5*E1346+01_Parametres!$B$6*F1346)/01_Parametres!$B$8)))</x:f>
      </x:c>
      <x:c r="H1346">
        <x:f>IFERROR(VLOOKUP(C1346,02_Referentiels!$A$20:$D$99,3,FALSE),"")</x:f>
      </x:c>
      <x:c r="I1346">
        <x:f>IFERROR(VLOOKUP(B1346,02_Referentiels!$A$5:$C$16,2,FALSE),"")</x:f>
      </x:c>
      <x:c r="J1346">
        <x:f>IF(A1346="","",IF(OR(D1346="",E1346="",F1346=""),1,IF(OR(D1346&lt;0,D1346&gt;3,E1346&lt;0,E1346&gt;3,F1346&lt;0,F1346&gt;3),1,0)))</x:f>
      </x:c>
      <x:c r="K1346">
        <x:f>IF(A1346="","",IF(G1346="",1,0))</x:f>
      </x:c>
      <x:c r="L1346">
        <x:f>IF(A1346="","",IF(COUNTIFS($A$5:$A$2004,A1346,$C$5:$C$2004,C1346)&gt;1,1,0))</x:f>
      </x:c>
    </x:row>
    <x:row r="1347">
      <x:c r="A1347" s="8" t="n"/>
      <x:c r="B1347" s="8" t="n"/>
      <x:c r="C1347" s="8" t="n"/>
      <x:c r="D1347" s="8" t="n"/>
      <x:c r="E1347" s="8" t="n"/>
      <x:c r="F1347" s="8" t="n"/>
      <x:c r="G1347" s="7">
        <x:f>IF(A1347="","",IF(01_Parametres!$B$11="Oui",IF((01_Parametres!$B$4*(D1347&gt;0)+01_Parametres!$B$5*(E1347&gt;0)+01_Parametres!$B$6*(F1347&gt;0))=0,"",(01_Parametres!$B$4*IF(D1347&gt;0,D1347,0)+01_Parametres!$B$5*IF(E1347&gt;0,E1347,0)+01_Parametres!$B$6*IF(F1347&gt;0,F1347,0))/(01_Parametres!$B$4*(D1347&gt;0)+01_Parametres!$B$5*(E1347&gt;0)+01_Parametres!$B$6*(F1347&gt;0))),IF(01_Parametres!$B$8=0,"",(01_Parametres!$B$4*D1347+01_Parametres!$B$5*E1347+01_Parametres!$B$6*F1347)/01_Parametres!$B$8)))</x:f>
      </x:c>
      <x:c r="H1347">
        <x:f>IFERROR(VLOOKUP(C1347,02_Referentiels!$A$20:$D$99,3,FALSE),"")</x:f>
      </x:c>
      <x:c r="I1347">
        <x:f>IFERROR(VLOOKUP(B1347,02_Referentiels!$A$5:$C$16,2,FALSE),"")</x:f>
      </x:c>
      <x:c r="J1347">
        <x:f>IF(A1347="","",IF(OR(D1347="",E1347="",F1347=""),1,IF(OR(D1347&lt;0,D1347&gt;3,E1347&lt;0,E1347&gt;3,F1347&lt;0,F1347&gt;3),1,0)))</x:f>
      </x:c>
      <x:c r="K1347">
        <x:f>IF(A1347="","",IF(G1347="",1,0))</x:f>
      </x:c>
      <x:c r="L1347">
        <x:f>IF(A1347="","",IF(COUNTIFS($A$5:$A$2004,A1347,$C$5:$C$2004,C1347)&gt;1,1,0))</x:f>
      </x:c>
    </x:row>
    <x:row r="1348">
      <x:c r="A1348" s="8" t="n"/>
      <x:c r="B1348" s="8" t="n"/>
      <x:c r="C1348" s="8" t="n"/>
      <x:c r="D1348" s="8" t="n"/>
      <x:c r="E1348" s="8" t="n"/>
      <x:c r="F1348" s="8" t="n"/>
      <x:c r="G1348" s="7">
        <x:f>IF(A1348="","",IF(01_Parametres!$B$11="Oui",IF((01_Parametres!$B$4*(D1348&gt;0)+01_Parametres!$B$5*(E1348&gt;0)+01_Parametres!$B$6*(F1348&gt;0))=0,"",(01_Parametres!$B$4*IF(D1348&gt;0,D1348,0)+01_Parametres!$B$5*IF(E1348&gt;0,E1348,0)+01_Parametres!$B$6*IF(F1348&gt;0,F1348,0))/(01_Parametres!$B$4*(D1348&gt;0)+01_Parametres!$B$5*(E1348&gt;0)+01_Parametres!$B$6*(F1348&gt;0))),IF(01_Parametres!$B$8=0,"",(01_Parametres!$B$4*D1348+01_Parametres!$B$5*E1348+01_Parametres!$B$6*F1348)/01_Parametres!$B$8)))</x:f>
      </x:c>
      <x:c r="H1348">
        <x:f>IFERROR(VLOOKUP(C1348,02_Referentiels!$A$20:$D$99,3,FALSE),"")</x:f>
      </x:c>
      <x:c r="I1348">
        <x:f>IFERROR(VLOOKUP(B1348,02_Referentiels!$A$5:$C$16,2,FALSE),"")</x:f>
      </x:c>
      <x:c r="J1348">
        <x:f>IF(A1348="","",IF(OR(D1348="",E1348="",F1348=""),1,IF(OR(D1348&lt;0,D1348&gt;3,E1348&lt;0,E1348&gt;3,F1348&lt;0,F1348&gt;3),1,0)))</x:f>
      </x:c>
      <x:c r="K1348">
        <x:f>IF(A1348="","",IF(G1348="",1,0))</x:f>
      </x:c>
      <x:c r="L1348">
        <x:f>IF(A1348="","",IF(COUNTIFS($A$5:$A$2004,A1348,$C$5:$C$2004,C1348)&gt;1,1,0))</x:f>
      </x:c>
    </x:row>
    <x:row r="1349">
      <x:c r="A1349" s="8" t="n"/>
      <x:c r="B1349" s="8" t="n"/>
      <x:c r="C1349" s="8" t="n"/>
      <x:c r="D1349" s="8" t="n"/>
      <x:c r="E1349" s="8" t="n"/>
      <x:c r="F1349" s="8" t="n"/>
      <x:c r="G1349" s="7">
        <x:f>IF(A1349="","",IF(01_Parametres!$B$11="Oui",IF((01_Parametres!$B$4*(D1349&gt;0)+01_Parametres!$B$5*(E1349&gt;0)+01_Parametres!$B$6*(F1349&gt;0))=0,"",(01_Parametres!$B$4*IF(D1349&gt;0,D1349,0)+01_Parametres!$B$5*IF(E1349&gt;0,E1349,0)+01_Parametres!$B$6*IF(F1349&gt;0,F1349,0))/(01_Parametres!$B$4*(D1349&gt;0)+01_Parametres!$B$5*(E1349&gt;0)+01_Parametres!$B$6*(F1349&gt;0))),IF(01_Parametres!$B$8=0,"",(01_Parametres!$B$4*D1349+01_Parametres!$B$5*E1349+01_Parametres!$B$6*F1349)/01_Parametres!$B$8)))</x:f>
      </x:c>
      <x:c r="H1349">
        <x:f>IFERROR(VLOOKUP(C1349,02_Referentiels!$A$20:$D$99,3,FALSE),"")</x:f>
      </x:c>
      <x:c r="I1349">
        <x:f>IFERROR(VLOOKUP(B1349,02_Referentiels!$A$5:$C$16,2,FALSE),"")</x:f>
      </x:c>
      <x:c r="J1349">
        <x:f>IF(A1349="","",IF(OR(D1349="",E1349="",F1349=""),1,IF(OR(D1349&lt;0,D1349&gt;3,E1349&lt;0,E1349&gt;3,F1349&lt;0,F1349&gt;3),1,0)))</x:f>
      </x:c>
      <x:c r="K1349">
        <x:f>IF(A1349="","",IF(G1349="",1,0))</x:f>
      </x:c>
      <x:c r="L1349">
        <x:f>IF(A1349="","",IF(COUNTIFS($A$5:$A$2004,A1349,$C$5:$C$2004,C1349)&gt;1,1,0))</x:f>
      </x:c>
    </x:row>
    <x:row r="1350">
      <x:c r="A1350" s="8" t="n"/>
      <x:c r="B1350" s="8" t="n"/>
      <x:c r="C1350" s="8" t="n"/>
      <x:c r="D1350" s="8" t="n"/>
      <x:c r="E1350" s="8" t="n"/>
      <x:c r="F1350" s="8" t="n"/>
      <x:c r="G1350" s="7">
        <x:f>IF(A1350="","",IF(01_Parametres!$B$11="Oui",IF((01_Parametres!$B$4*(D1350&gt;0)+01_Parametres!$B$5*(E1350&gt;0)+01_Parametres!$B$6*(F1350&gt;0))=0,"",(01_Parametres!$B$4*IF(D1350&gt;0,D1350,0)+01_Parametres!$B$5*IF(E1350&gt;0,E1350,0)+01_Parametres!$B$6*IF(F1350&gt;0,F1350,0))/(01_Parametres!$B$4*(D1350&gt;0)+01_Parametres!$B$5*(E1350&gt;0)+01_Parametres!$B$6*(F1350&gt;0))),IF(01_Parametres!$B$8=0,"",(01_Parametres!$B$4*D1350+01_Parametres!$B$5*E1350+01_Parametres!$B$6*F1350)/01_Parametres!$B$8)))</x:f>
      </x:c>
      <x:c r="H1350">
        <x:f>IFERROR(VLOOKUP(C1350,02_Referentiels!$A$20:$D$99,3,FALSE),"")</x:f>
      </x:c>
      <x:c r="I1350">
        <x:f>IFERROR(VLOOKUP(B1350,02_Referentiels!$A$5:$C$16,2,FALSE),"")</x:f>
      </x:c>
      <x:c r="J1350">
        <x:f>IF(A1350="","",IF(OR(D1350="",E1350="",F1350=""),1,IF(OR(D1350&lt;0,D1350&gt;3,E1350&lt;0,E1350&gt;3,F1350&lt;0,F1350&gt;3),1,0)))</x:f>
      </x:c>
      <x:c r="K1350">
        <x:f>IF(A1350="","",IF(G1350="",1,0))</x:f>
      </x:c>
      <x:c r="L1350">
        <x:f>IF(A1350="","",IF(COUNTIFS($A$5:$A$2004,A1350,$C$5:$C$2004,C1350)&gt;1,1,0))</x:f>
      </x:c>
    </x:row>
    <x:row r="1351">
      <x:c r="A1351" s="8" t="n"/>
      <x:c r="B1351" s="8" t="n"/>
      <x:c r="C1351" s="8" t="n"/>
      <x:c r="D1351" s="8" t="n"/>
      <x:c r="E1351" s="8" t="n"/>
      <x:c r="F1351" s="8" t="n"/>
      <x:c r="G1351" s="7">
        <x:f>IF(A1351="","",IF(01_Parametres!$B$11="Oui",IF((01_Parametres!$B$4*(D1351&gt;0)+01_Parametres!$B$5*(E1351&gt;0)+01_Parametres!$B$6*(F1351&gt;0))=0,"",(01_Parametres!$B$4*IF(D1351&gt;0,D1351,0)+01_Parametres!$B$5*IF(E1351&gt;0,E1351,0)+01_Parametres!$B$6*IF(F1351&gt;0,F1351,0))/(01_Parametres!$B$4*(D1351&gt;0)+01_Parametres!$B$5*(E1351&gt;0)+01_Parametres!$B$6*(F1351&gt;0))),IF(01_Parametres!$B$8=0,"",(01_Parametres!$B$4*D1351+01_Parametres!$B$5*E1351+01_Parametres!$B$6*F1351)/01_Parametres!$B$8)))</x:f>
      </x:c>
      <x:c r="H1351">
        <x:f>IFERROR(VLOOKUP(C1351,02_Referentiels!$A$20:$D$99,3,FALSE),"")</x:f>
      </x:c>
      <x:c r="I1351">
        <x:f>IFERROR(VLOOKUP(B1351,02_Referentiels!$A$5:$C$16,2,FALSE),"")</x:f>
      </x:c>
      <x:c r="J1351">
        <x:f>IF(A1351="","",IF(OR(D1351="",E1351="",F1351=""),1,IF(OR(D1351&lt;0,D1351&gt;3,E1351&lt;0,E1351&gt;3,F1351&lt;0,F1351&gt;3),1,0)))</x:f>
      </x:c>
      <x:c r="K1351">
        <x:f>IF(A1351="","",IF(G1351="",1,0))</x:f>
      </x:c>
      <x:c r="L1351">
        <x:f>IF(A1351="","",IF(COUNTIFS($A$5:$A$2004,A1351,$C$5:$C$2004,C1351)&gt;1,1,0))</x:f>
      </x:c>
    </x:row>
    <x:row r="1352">
      <x:c r="A1352" s="8" t="n"/>
      <x:c r="B1352" s="8" t="n"/>
      <x:c r="C1352" s="8" t="n"/>
      <x:c r="D1352" s="8" t="n"/>
      <x:c r="E1352" s="8" t="n"/>
      <x:c r="F1352" s="8" t="n"/>
      <x:c r="G1352" s="7">
        <x:f>IF(A1352="","",IF(01_Parametres!$B$11="Oui",IF((01_Parametres!$B$4*(D1352&gt;0)+01_Parametres!$B$5*(E1352&gt;0)+01_Parametres!$B$6*(F1352&gt;0))=0,"",(01_Parametres!$B$4*IF(D1352&gt;0,D1352,0)+01_Parametres!$B$5*IF(E1352&gt;0,E1352,0)+01_Parametres!$B$6*IF(F1352&gt;0,F1352,0))/(01_Parametres!$B$4*(D1352&gt;0)+01_Parametres!$B$5*(E1352&gt;0)+01_Parametres!$B$6*(F1352&gt;0))),IF(01_Parametres!$B$8=0,"",(01_Parametres!$B$4*D1352+01_Parametres!$B$5*E1352+01_Parametres!$B$6*F1352)/01_Parametres!$B$8)))</x:f>
      </x:c>
      <x:c r="H1352">
        <x:f>IFERROR(VLOOKUP(C1352,02_Referentiels!$A$20:$D$99,3,FALSE),"")</x:f>
      </x:c>
      <x:c r="I1352">
        <x:f>IFERROR(VLOOKUP(B1352,02_Referentiels!$A$5:$C$16,2,FALSE),"")</x:f>
      </x:c>
      <x:c r="J1352">
        <x:f>IF(A1352="","",IF(OR(D1352="",E1352="",F1352=""),1,IF(OR(D1352&lt;0,D1352&gt;3,E1352&lt;0,E1352&gt;3,F1352&lt;0,F1352&gt;3),1,0)))</x:f>
      </x:c>
      <x:c r="K1352">
        <x:f>IF(A1352="","",IF(G1352="",1,0))</x:f>
      </x:c>
      <x:c r="L1352">
        <x:f>IF(A1352="","",IF(COUNTIFS($A$5:$A$2004,A1352,$C$5:$C$2004,C1352)&gt;1,1,0))</x:f>
      </x:c>
    </x:row>
    <x:row r="1353">
      <x:c r="A1353" s="8" t="n"/>
      <x:c r="B1353" s="8" t="n"/>
      <x:c r="C1353" s="8" t="n"/>
      <x:c r="D1353" s="8" t="n"/>
      <x:c r="E1353" s="8" t="n"/>
      <x:c r="F1353" s="8" t="n"/>
      <x:c r="G1353" s="7">
        <x:f>IF(A1353="","",IF(01_Parametres!$B$11="Oui",IF((01_Parametres!$B$4*(D1353&gt;0)+01_Parametres!$B$5*(E1353&gt;0)+01_Parametres!$B$6*(F1353&gt;0))=0,"",(01_Parametres!$B$4*IF(D1353&gt;0,D1353,0)+01_Parametres!$B$5*IF(E1353&gt;0,E1353,0)+01_Parametres!$B$6*IF(F1353&gt;0,F1353,0))/(01_Parametres!$B$4*(D1353&gt;0)+01_Parametres!$B$5*(E1353&gt;0)+01_Parametres!$B$6*(F1353&gt;0))),IF(01_Parametres!$B$8=0,"",(01_Parametres!$B$4*D1353+01_Parametres!$B$5*E1353+01_Parametres!$B$6*F1353)/01_Parametres!$B$8)))</x:f>
      </x:c>
      <x:c r="H1353">
        <x:f>IFERROR(VLOOKUP(C1353,02_Referentiels!$A$20:$D$99,3,FALSE),"")</x:f>
      </x:c>
      <x:c r="I1353">
        <x:f>IFERROR(VLOOKUP(B1353,02_Referentiels!$A$5:$C$16,2,FALSE),"")</x:f>
      </x:c>
      <x:c r="J1353">
        <x:f>IF(A1353="","",IF(OR(D1353="",E1353="",F1353=""),1,IF(OR(D1353&lt;0,D1353&gt;3,E1353&lt;0,E1353&gt;3,F1353&lt;0,F1353&gt;3),1,0)))</x:f>
      </x:c>
      <x:c r="K1353">
        <x:f>IF(A1353="","",IF(G1353="",1,0))</x:f>
      </x:c>
      <x:c r="L1353">
        <x:f>IF(A1353="","",IF(COUNTIFS($A$5:$A$2004,A1353,$C$5:$C$2004,C1353)&gt;1,1,0))</x:f>
      </x:c>
    </x:row>
    <x:row r="1354">
      <x:c r="A1354" s="8" t="n"/>
      <x:c r="B1354" s="8" t="n"/>
      <x:c r="C1354" s="8" t="n"/>
      <x:c r="D1354" s="8" t="n"/>
      <x:c r="E1354" s="8" t="n"/>
      <x:c r="F1354" s="8" t="n"/>
      <x:c r="G1354" s="7">
        <x:f>IF(A1354="","",IF(01_Parametres!$B$11="Oui",IF((01_Parametres!$B$4*(D1354&gt;0)+01_Parametres!$B$5*(E1354&gt;0)+01_Parametres!$B$6*(F1354&gt;0))=0,"",(01_Parametres!$B$4*IF(D1354&gt;0,D1354,0)+01_Parametres!$B$5*IF(E1354&gt;0,E1354,0)+01_Parametres!$B$6*IF(F1354&gt;0,F1354,0))/(01_Parametres!$B$4*(D1354&gt;0)+01_Parametres!$B$5*(E1354&gt;0)+01_Parametres!$B$6*(F1354&gt;0))),IF(01_Parametres!$B$8=0,"",(01_Parametres!$B$4*D1354+01_Parametres!$B$5*E1354+01_Parametres!$B$6*F1354)/01_Parametres!$B$8)))</x:f>
      </x:c>
      <x:c r="H1354">
        <x:f>IFERROR(VLOOKUP(C1354,02_Referentiels!$A$20:$D$99,3,FALSE),"")</x:f>
      </x:c>
      <x:c r="I1354">
        <x:f>IFERROR(VLOOKUP(B1354,02_Referentiels!$A$5:$C$16,2,FALSE),"")</x:f>
      </x:c>
      <x:c r="J1354">
        <x:f>IF(A1354="","",IF(OR(D1354="",E1354="",F1354=""),1,IF(OR(D1354&lt;0,D1354&gt;3,E1354&lt;0,E1354&gt;3,F1354&lt;0,F1354&gt;3),1,0)))</x:f>
      </x:c>
      <x:c r="K1354">
        <x:f>IF(A1354="","",IF(G1354="",1,0))</x:f>
      </x:c>
      <x:c r="L1354">
        <x:f>IF(A1354="","",IF(COUNTIFS($A$5:$A$2004,A1354,$C$5:$C$2004,C1354)&gt;1,1,0))</x:f>
      </x:c>
    </x:row>
    <x:row r="1355">
      <x:c r="A1355" s="8" t="n"/>
      <x:c r="B1355" s="8" t="n"/>
      <x:c r="C1355" s="8" t="n"/>
      <x:c r="D1355" s="8" t="n"/>
      <x:c r="E1355" s="8" t="n"/>
      <x:c r="F1355" s="8" t="n"/>
      <x:c r="G1355" s="7">
        <x:f>IF(A1355="","",IF(01_Parametres!$B$11="Oui",IF((01_Parametres!$B$4*(D1355&gt;0)+01_Parametres!$B$5*(E1355&gt;0)+01_Parametres!$B$6*(F1355&gt;0))=0,"",(01_Parametres!$B$4*IF(D1355&gt;0,D1355,0)+01_Parametres!$B$5*IF(E1355&gt;0,E1355,0)+01_Parametres!$B$6*IF(F1355&gt;0,F1355,0))/(01_Parametres!$B$4*(D1355&gt;0)+01_Parametres!$B$5*(E1355&gt;0)+01_Parametres!$B$6*(F1355&gt;0))),IF(01_Parametres!$B$8=0,"",(01_Parametres!$B$4*D1355+01_Parametres!$B$5*E1355+01_Parametres!$B$6*F1355)/01_Parametres!$B$8)))</x:f>
      </x:c>
      <x:c r="H1355">
        <x:f>IFERROR(VLOOKUP(C1355,02_Referentiels!$A$20:$D$99,3,FALSE),"")</x:f>
      </x:c>
      <x:c r="I1355">
        <x:f>IFERROR(VLOOKUP(B1355,02_Referentiels!$A$5:$C$16,2,FALSE),"")</x:f>
      </x:c>
      <x:c r="J1355">
        <x:f>IF(A1355="","",IF(OR(D1355="",E1355="",F1355=""),1,IF(OR(D1355&lt;0,D1355&gt;3,E1355&lt;0,E1355&gt;3,F1355&lt;0,F1355&gt;3),1,0)))</x:f>
      </x:c>
      <x:c r="K1355">
        <x:f>IF(A1355="","",IF(G1355="",1,0))</x:f>
      </x:c>
      <x:c r="L1355">
        <x:f>IF(A1355="","",IF(COUNTIFS($A$5:$A$2004,A1355,$C$5:$C$2004,C1355)&gt;1,1,0))</x:f>
      </x:c>
    </x:row>
    <x:row r="1356">
      <x:c r="A1356" s="8" t="n"/>
      <x:c r="B1356" s="8" t="n"/>
      <x:c r="C1356" s="8" t="n"/>
      <x:c r="D1356" s="8" t="n"/>
      <x:c r="E1356" s="8" t="n"/>
      <x:c r="F1356" s="8" t="n"/>
      <x:c r="G1356" s="7">
        <x:f>IF(A1356="","",IF(01_Parametres!$B$11="Oui",IF((01_Parametres!$B$4*(D1356&gt;0)+01_Parametres!$B$5*(E1356&gt;0)+01_Parametres!$B$6*(F1356&gt;0))=0,"",(01_Parametres!$B$4*IF(D1356&gt;0,D1356,0)+01_Parametres!$B$5*IF(E1356&gt;0,E1356,0)+01_Parametres!$B$6*IF(F1356&gt;0,F1356,0))/(01_Parametres!$B$4*(D1356&gt;0)+01_Parametres!$B$5*(E1356&gt;0)+01_Parametres!$B$6*(F1356&gt;0))),IF(01_Parametres!$B$8=0,"",(01_Parametres!$B$4*D1356+01_Parametres!$B$5*E1356+01_Parametres!$B$6*F1356)/01_Parametres!$B$8)))</x:f>
      </x:c>
      <x:c r="H1356">
        <x:f>IFERROR(VLOOKUP(C1356,02_Referentiels!$A$20:$D$99,3,FALSE),"")</x:f>
      </x:c>
      <x:c r="I1356">
        <x:f>IFERROR(VLOOKUP(B1356,02_Referentiels!$A$5:$C$16,2,FALSE),"")</x:f>
      </x:c>
      <x:c r="J1356">
        <x:f>IF(A1356="","",IF(OR(D1356="",E1356="",F1356=""),1,IF(OR(D1356&lt;0,D1356&gt;3,E1356&lt;0,E1356&gt;3,F1356&lt;0,F1356&gt;3),1,0)))</x:f>
      </x:c>
      <x:c r="K1356">
        <x:f>IF(A1356="","",IF(G1356="",1,0))</x:f>
      </x:c>
      <x:c r="L1356">
        <x:f>IF(A1356="","",IF(COUNTIFS($A$5:$A$2004,A1356,$C$5:$C$2004,C1356)&gt;1,1,0))</x:f>
      </x:c>
    </x:row>
    <x:row r="1357">
      <x:c r="A1357" s="8" t="n"/>
      <x:c r="B1357" s="8" t="n"/>
      <x:c r="C1357" s="8" t="n"/>
      <x:c r="D1357" s="8" t="n"/>
      <x:c r="E1357" s="8" t="n"/>
      <x:c r="F1357" s="8" t="n"/>
      <x:c r="G1357" s="7">
        <x:f>IF(A1357="","",IF(01_Parametres!$B$11="Oui",IF((01_Parametres!$B$4*(D1357&gt;0)+01_Parametres!$B$5*(E1357&gt;0)+01_Parametres!$B$6*(F1357&gt;0))=0,"",(01_Parametres!$B$4*IF(D1357&gt;0,D1357,0)+01_Parametres!$B$5*IF(E1357&gt;0,E1357,0)+01_Parametres!$B$6*IF(F1357&gt;0,F1357,0))/(01_Parametres!$B$4*(D1357&gt;0)+01_Parametres!$B$5*(E1357&gt;0)+01_Parametres!$B$6*(F1357&gt;0))),IF(01_Parametres!$B$8=0,"",(01_Parametres!$B$4*D1357+01_Parametres!$B$5*E1357+01_Parametres!$B$6*F1357)/01_Parametres!$B$8)))</x:f>
      </x:c>
      <x:c r="H1357">
        <x:f>IFERROR(VLOOKUP(C1357,02_Referentiels!$A$20:$D$99,3,FALSE),"")</x:f>
      </x:c>
      <x:c r="I1357">
        <x:f>IFERROR(VLOOKUP(B1357,02_Referentiels!$A$5:$C$16,2,FALSE),"")</x:f>
      </x:c>
      <x:c r="J1357">
        <x:f>IF(A1357="","",IF(OR(D1357="",E1357="",F1357=""),1,IF(OR(D1357&lt;0,D1357&gt;3,E1357&lt;0,E1357&gt;3,F1357&lt;0,F1357&gt;3),1,0)))</x:f>
      </x:c>
      <x:c r="K1357">
        <x:f>IF(A1357="","",IF(G1357="",1,0))</x:f>
      </x:c>
      <x:c r="L1357">
        <x:f>IF(A1357="","",IF(COUNTIFS($A$5:$A$2004,A1357,$C$5:$C$2004,C1357)&gt;1,1,0))</x:f>
      </x:c>
    </x:row>
    <x:row r="1358">
      <x:c r="A1358" s="8" t="n"/>
      <x:c r="B1358" s="8" t="n"/>
      <x:c r="C1358" s="8" t="n"/>
      <x:c r="D1358" s="8" t="n"/>
      <x:c r="E1358" s="8" t="n"/>
      <x:c r="F1358" s="8" t="n"/>
      <x:c r="G1358" s="7">
        <x:f>IF(A1358="","",IF(01_Parametres!$B$11="Oui",IF((01_Parametres!$B$4*(D1358&gt;0)+01_Parametres!$B$5*(E1358&gt;0)+01_Parametres!$B$6*(F1358&gt;0))=0,"",(01_Parametres!$B$4*IF(D1358&gt;0,D1358,0)+01_Parametres!$B$5*IF(E1358&gt;0,E1358,0)+01_Parametres!$B$6*IF(F1358&gt;0,F1358,0))/(01_Parametres!$B$4*(D1358&gt;0)+01_Parametres!$B$5*(E1358&gt;0)+01_Parametres!$B$6*(F1358&gt;0))),IF(01_Parametres!$B$8=0,"",(01_Parametres!$B$4*D1358+01_Parametres!$B$5*E1358+01_Parametres!$B$6*F1358)/01_Parametres!$B$8)))</x:f>
      </x:c>
      <x:c r="H1358">
        <x:f>IFERROR(VLOOKUP(C1358,02_Referentiels!$A$20:$D$99,3,FALSE),"")</x:f>
      </x:c>
      <x:c r="I1358">
        <x:f>IFERROR(VLOOKUP(B1358,02_Referentiels!$A$5:$C$16,2,FALSE),"")</x:f>
      </x:c>
      <x:c r="J1358">
        <x:f>IF(A1358="","",IF(OR(D1358="",E1358="",F1358=""),1,IF(OR(D1358&lt;0,D1358&gt;3,E1358&lt;0,E1358&gt;3,F1358&lt;0,F1358&gt;3),1,0)))</x:f>
      </x:c>
      <x:c r="K1358">
        <x:f>IF(A1358="","",IF(G1358="",1,0))</x:f>
      </x:c>
      <x:c r="L1358">
        <x:f>IF(A1358="","",IF(COUNTIFS($A$5:$A$2004,A1358,$C$5:$C$2004,C1358)&gt;1,1,0))</x:f>
      </x:c>
    </x:row>
    <x:row r="1359">
      <x:c r="A1359" s="8" t="n"/>
      <x:c r="B1359" s="8" t="n"/>
      <x:c r="C1359" s="8" t="n"/>
      <x:c r="D1359" s="8" t="n"/>
      <x:c r="E1359" s="8" t="n"/>
      <x:c r="F1359" s="8" t="n"/>
      <x:c r="G1359" s="7">
        <x:f>IF(A1359="","",IF(01_Parametres!$B$11="Oui",IF((01_Parametres!$B$4*(D1359&gt;0)+01_Parametres!$B$5*(E1359&gt;0)+01_Parametres!$B$6*(F1359&gt;0))=0,"",(01_Parametres!$B$4*IF(D1359&gt;0,D1359,0)+01_Parametres!$B$5*IF(E1359&gt;0,E1359,0)+01_Parametres!$B$6*IF(F1359&gt;0,F1359,0))/(01_Parametres!$B$4*(D1359&gt;0)+01_Parametres!$B$5*(E1359&gt;0)+01_Parametres!$B$6*(F1359&gt;0))),IF(01_Parametres!$B$8=0,"",(01_Parametres!$B$4*D1359+01_Parametres!$B$5*E1359+01_Parametres!$B$6*F1359)/01_Parametres!$B$8)))</x:f>
      </x:c>
      <x:c r="H1359">
        <x:f>IFERROR(VLOOKUP(C1359,02_Referentiels!$A$20:$D$99,3,FALSE),"")</x:f>
      </x:c>
      <x:c r="I1359">
        <x:f>IFERROR(VLOOKUP(B1359,02_Referentiels!$A$5:$C$16,2,FALSE),"")</x:f>
      </x:c>
      <x:c r="J1359">
        <x:f>IF(A1359="","",IF(OR(D1359="",E1359="",F1359=""),1,IF(OR(D1359&lt;0,D1359&gt;3,E1359&lt;0,E1359&gt;3,F1359&lt;0,F1359&gt;3),1,0)))</x:f>
      </x:c>
      <x:c r="K1359">
        <x:f>IF(A1359="","",IF(G1359="",1,0))</x:f>
      </x:c>
      <x:c r="L1359">
        <x:f>IF(A1359="","",IF(COUNTIFS($A$5:$A$2004,A1359,$C$5:$C$2004,C1359)&gt;1,1,0))</x:f>
      </x:c>
    </x:row>
    <x:row r="1360">
      <x:c r="A1360" s="8" t="n"/>
      <x:c r="B1360" s="8" t="n"/>
      <x:c r="C1360" s="8" t="n"/>
      <x:c r="D1360" s="8" t="n"/>
      <x:c r="E1360" s="8" t="n"/>
      <x:c r="F1360" s="8" t="n"/>
      <x:c r="G1360" s="7">
        <x:f>IF(A1360="","",IF(01_Parametres!$B$11="Oui",IF((01_Parametres!$B$4*(D1360&gt;0)+01_Parametres!$B$5*(E1360&gt;0)+01_Parametres!$B$6*(F1360&gt;0))=0,"",(01_Parametres!$B$4*IF(D1360&gt;0,D1360,0)+01_Parametres!$B$5*IF(E1360&gt;0,E1360,0)+01_Parametres!$B$6*IF(F1360&gt;0,F1360,0))/(01_Parametres!$B$4*(D1360&gt;0)+01_Parametres!$B$5*(E1360&gt;0)+01_Parametres!$B$6*(F1360&gt;0))),IF(01_Parametres!$B$8=0,"",(01_Parametres!$B$4*D1360+01_Parametres!$B$5*E1360+01_Parametres!$B$6*F1360)/01_Parametres!$B$8)))</x:f>
      </x:c>
      <x:c r="H1360">
        <x:f>IFERROR(VLOOKUP(C1360,02_Referentiels!$A$20:$D$99,3,FALSE),"")</x:f>
      </x:c>
      <x:c r="I1360">
        <x:f>IFERROR(VLOOKUP(B1360,02_Referentiels!$A$5:$C$16,2,FALSE),"")</x:f>
      </x:c>
      <x:c r="J1360">
        <x:f>IF(A1360="","",IF(OR(D1360="",E1360="",F1360=""),1,IF(OR(D1360&lt;0,D1360&gt;3,E1360&lt;0,E1360&gt;3,F1360&lt;0,F1360&gt;3),1,0)))</x:f>
      </x:c>
      <x:c r="K1360">
        <x:f>IF(A1360="","",IF(G1360="",1,0))</x:f>
      </x:c>
      <x:c r="L1360">
        <x:f>IF(A1360="","",IF(COUNTIFS($A$5:$A$2004,A1360,$C$5:$C$2004,C1360)&gt;1,1,0))</x:f>
      </x:c>
    </x:row>
    <x:row r="1361">
      <x:c r="A1361" s="8" t="n"/>
      <x:c r="B1361" s="8" t="n"/>
      <x:c r="C1361" s="8" t="n"/>
      <x:c r="D1361" s="8" t="n"/>
      <x:c r="E1361" s="8" t="n"/>
      <x:c r="F1361" s="8" t="n"/>
      <x:c r="G1361" s="7">
        <x:f>IF(A1361="","",IF(01_Parametres!$B$11="Oui",IF((01_Parametres!$B$4*(D1361&gt;0)+01_Parametres!$B$5*(E1361&gt;0)+01_Parametres!$B$6*(F1361&gt;0))=0,"",(01_Parametres!$B$4*IF(D1361&gt;0,D1361,0)+01_Parametres!$B$5*IF(E1361&gt;0,E1361,0)+01_Parametres!$B$6*IF(F1361&gt;0,F1361,0))/(01_Parametres!$B$4*(D1361&gt;0)+01_Parametres!$B$5*(E1361&gt;0)+01_Parametres!$B$6*(F1361&gt;0))),IF(01_Parametres!$B$8=0,"",(01_Parametres!$B$4*D1361+01_Parametres!$B$5*E1361+01_Parametres!$B$6*F1361)/01_Parametres!$B$8)))</x:f>
      </x:c>
      <x:c r="H1361">
        <x:f>IFERROR(VLOOKUP(C1361,02_Referentiels!$A$20:$D$99,3,FALSE),"")</x:f>
      </x:c>
      <x:c r="I1361">
        <x:f>IFERROR(VLOOKUP(B1361,02_Referentiels!$A$5:$C$16,2,FALSE),"")</x:f>
      </x:c>
      <x:c r="J1361">
        <x:f>IF(A1361="","",IF(OR(D1361="",E1361="",F1361=""),1,IF(OR(D1361&lt;0,D1361&gt;3,E1361&lt;0,E1361&gt;3,F1361&lt;0,F1361&gt;3),1,0)))</x:f>
      </x:c>
      <x:c r="K1361">
        <x:f>IF(A1361="","",IF(G1361="",1,0))</x:f>
      </x:c>
      <x:c r="L1361">
        <x:f>IF(A1361="","",IF(COUNTIFS($A$5:$A$2004,A1361,$C$5:$C$2004,C1361)&gt;1,1,0))</x:f>
      </x:c>
    </x:row>
    <x:row r="1362">
      <x:c r="A1362" s="8" t="n"/>
      <x:c r="B1362" s="8" t="n"/>
      <x:c r="C1362" s="8" t="n"/>
      <x:c r="D1362" s="8" t="n"/>
      <x:c r="E1362" s="8" t="n"/>
      <x:c r="F1362" s="8" t="n"/>
      <x:c r="G1362" s="7">
        <x:f>IF(A1362="","",IF(01_Parametres!$B$11="Oui",IF((01_Parametres!$B$4*(D1362&gt;0)+01_Parametres!$B$5*(E1362&gt;0)+01_Parametres!$B$6*(F1362&gt;0))=0,"",(01_Parametres!$B$4*IF(D1362&gt;0,D1362,0)+01_Parametres!$B$5*IF(E1362&gt;0,E1362,0)+01_Parametres!$B$6*IF(F1362&gt;0,F1362,0))/(01_Parametres!$B$4*(D1362&gt;0)+01_Parametres!$B$5*(E1362&gt;0)+01_Parametres!$B$6*(F1362&gt;0))),IF(01_Parametres!$B$8=0,"",(01_Parametres!$B$4*D1362+01_Parametres!$B$5*E1362+01_Parametres!$B$6*F1362)/01_Parametres!$B$8)))</x:f>
      </x:c>
      <x:c r="H1362">
        <x:f>IFERROR(VLOOKUP(C1362,02_Referentiels!$A$20:$D$99,3,FALSE),"")</x:f>
      </x:c>
      <x:c r="I1362">
        <x:f>IFERROR(VLOOKUP(B1362,02_Referentiels!$A$5:$C$16,2,FALSE),"")</x:f>
      </x:c>
      <x:c r="J1362">
        <x:f>IF(A1362="","",IF(OR(D1362="",E1362="",F1362=""),1,IF(OR(D1362&lt;0,D1362&gt;3,E1362&lt;0,E1362&gt;3,F1362&lt;0,F1362&gt;3),1,0)))</x:f>
      </x:c>
      <x:c r="K1362">
        <x:f>IF(A1362="","",IF(G1362="",1,0))</x:f>
      </x:c>
      <x:c r="L1362">
        <x:f>IF(A1362="","",IF(COUNTIFS($A$5:$A$2004,A1362,$C$5:$C$2004,C1362)&gt;1,1,0))</x:f>
      </x:c>
    </x:row>
    <x:row r="1363">
      <x:c r="A1363" s="8" t="n"/>
      <x:c r="B1363" s="8" t="n"/>
      <x:c r="C1363" s="8" t="n"/>
      <x:c r="D1363" s="8" t="n"/>
      <x:c r="E1363" s="8" t="n"/>
      <x:c r="F1363" s="8" t="n"/>
      <x:c r="G1363" s="7">
        <x:f>IF(A1363="","",IF(01_Parametres!$B$11="Oui",IF((01_Parametres!$B$4*(D1363&gt;0)+01_Parametres!$B$5*(E1363&gt;0)+01_Parametres!$B$6*(F1363&gt;0))=0,"",(01_Parametres!$B$4*IF(D1363&gt;0,D1363,0)+01_Parametres!$B$5*IF(E1363&gt;0,E1363,0)+01_Parametres!$B$6*IF(F1363&gt;0,F1363,0))/(01_Parametres!$B$4*(D1363&gt;0)+01_Parametres!$B$5*(E1363&gt;0)+01_Parametres!$B$6*(F1363&gt;0))),IF(01_Parametres!$B$8=0,"",(01_Parametres!$B$4*D1363+01_Parametres!$B$5*E1363+01_Parametres!$B$6*F1363)/01_Parametres!$B$8)))</x:f>
      </x:c>
      <x:c r="H1363">
        <x:f>IFERROR(VLOOKUP(C1363,02_Referentiels!$A$20:$D$99,3,FALSE),"")</x:f>
      </x:c>
      <x:c r="I1363">
        <x:f>IFERROR(VLOOKUP(B1363,02_Referentiels!$A$5:$C$16,2,FALSE),"")</x:f>
      </x:c>
      <x:c r="J1363">
        <x:f>IF(A1363="","",IF(OR(D1363="",E1363="",F1363=""),1,IF(OR(D1363&lt;0,D1363&gt;3,E1363&lt;0,E1363&gt;3,F1363&lt;0,F1363&gt;3),1,0)))</x:f>
      </x:c>
      <x:c r="K1363">
        <x:f>IF(A1363="","",IF(G1363="",1,0))</x:f>
      </x:c>
      <x:c r="L1363">
        <x:f>IF(A1363="","",IF(COUNTIFS($A$5:$A$2004,A1363,$C$5:$C$2004,C1363)&gt;1,1,0))</x:f>
      </x:c>
    </x:row>
    <x:row r="1364">
      <x:c r="A1364" s="8" t="n"/>
      <x:c r="B1364" s="8" t="n"/>
      <x:c r="C1364" s="8" t="n"/>
      <x:c r="D1364" s="8" t="n"/>
      <x:c r="E1364" s="8" t="n"/>
      <x:c r="F1364" s="8" t="n"/>
      <x:c r="G1364" s="7">
        <x:f>IF(A1364="","",IF(01_Parametres!$B$11="Oui",IF((01_Parametres!$B$4*(D1364&gt;0)+01_Parametres!$B$5*(E1364&gt;0)+01_Parametres!$B$6*(F1364&gt;0))=0,"",(01_Parametres!$B$4*IF(D1364&gt;0,D1364,0)+01_Parametres!$B$5*IF(E1364&gt;0,E1364,0)+01_Parametres!$B$6*IF(F1364&gt;0,F1364,0))/(01_Parametres!$B$4*(D1364&gt;0)+01_Parametres!$B$5*(E1364&gt;0)+01_Parametres!$B$6*(F1364&gt;0))),IF(01_Parametres!$B$8=0,"",(01_Parametres!$B$4*D1364+01_Parametres!$B$5*E1364+01_Parametres!$B$6*F1364)/01_Parametres!$B$8)))</x:f>
      </x:c>
      <x:c r="H1364">
        <x:f>IFERROR(VLOOKUP(C1364,02_Referentiels!$A$20:$D$99,3,FALSE),"")</x:f>
      </x:c>
      <x:c r="I1364">
        <x:f>IFERROR(VLOOKUP(B1364,02_Referentiels!$A$5:$C$16,2,FALSE),"")</x:f>
      </x:c>
      <x:c r="J1364">
        <x:f>IF(A1364="","",IF(OR(D1364="",E1364="",F1364=""),1,IF(OR(D1364&lt;0,D1364&gt;3,E1364&lt;0,E1364&gt;3,F1364&lt;0,F1364&gt;3),1,0)))</x:f>
      </x:c>
      <x:c r="K1364">
        <x:f>IF(A1364="","",IF(G1364="",1,0))</x:f>
      </x:c>
      <x:c r="L1364">
        <x:f>IF(A1364="","",IF(COUNTIFS($A$5:$A$2004,A1364,$C$5:$C$2004,C1364)&gt;1,1,0))</x:f>
      </x:c>
    </x:row>
    <x:row r="1365">
      <x:c r="A1365" s="8" t="n"/>
      <x:c r="B1365" s="8" t="n"/>
      <x:c r="C1365" s="8" t="n"/>
      <x:c r="D1365" s="8" t="n"/>
      <x:c r="E1365" s="8" t="n"/>
      <x:c r="F1365" s="8" t="n"/>
      <x:c r="G1365" s="7">
        <x:f>IF(A1365="","",IF(01_Parametres!$B$11="Oui",IF((01_Parametres!$B$4*(D1365&gt;0)+01_Parametres!$B$5*(E1365&gt;0)+01_Parametres!$B$6*(F1365&gt;0))=0,"",(01_Parametres!$B$4*IF(D1365&gt;0,D1365,0)+01_Parametres!$B$5*IF(E1365&gt;0,E1365,0)+01_Parametres!$B$6*IF(F1365&gt;0,F1365,0))/(01_Parametres!$B$4*(D1365&gt;0)+01_Parametres!$B$5*(E1365&gt;0)+01_Parametres!$B$6*(F1365&gt;0))),IF(01_Parametres!$B$8=0,"",(01_Parametres!$B$4*D1365+01_Parametres!$B$5*E1365+01_Parametres!$B$6*F1365)/01_Parametres!$B$8)))</x:f>
      </x:c>
      <x:c r="H1365">
        <x:f>IFERROR(VLOOKUP(C1365,02_Referentiels!$A$20:$D$99,3,FALSE),"")</x:f>
      </x:c>
      <x:c r="I1365">
        <x:f>IFERROR(VLOOKUP(B1365,02_Referentiels!$A$5:$C$16,2,FALSE),"")</x:f>
      </x:c>
      <x:c r="J1365">
        <x:f>IF(A1365="","",IF(OR(D1365="",E1365="",F1365=""),1,IF(OR(D1365&lt;0,D1365&gt;3,E1365&lt;0,E1365&gt;3,F1365&lt;0,F1365&gt;3),1,0)))</x:f>
      </x:c>
      <x:c r="K1365">
        <x:f>IF(A1365="","",IF(G1365="",1,0))</x:f>
      </x:c>
      <x:c r="L1365">
        <x:f>IF(A1365="","",IF(COUNTIFS($A$5:$A$2004,A1365,$C$5:$C$2004,C1365)&gt;1,1,0))</x:f>
      </x:c>
    </x:row>
    <x:row r="1366">
      <x:c r="A1366" s="8" t="n"/>
      <x:c r="B1366" s="8" t="n"/>
      <x:c r="C1366" s="8" t="n"/>
      <x:c r="D1366" s="8" t="n"/>
      <x:c r="E1366" s="8" t="n"/>
      <x:c r="F1366" s="8" t="n"/>
      <x:c r="G1366" s="7">
        <x:f>IF(A1366="","",IF(01_Parametres!$B$11="Oui",IF((01_Parametres!$B$4*(D1366&gt;0)+01_Parametres!$B$5*(E1366&gt;0)+01_Parametres!$B$6*(F1366&gt;0))=0,"",(01_Parametres!$B$4*IF(D1366&gt;0,D1366,0)+01_Parametres!$B$5*IF(E1366&gt;0,E1366,0)+01_Parametres!$B$6*IF(F1366&gt;0,F1366,0))/(01_Parametres!$B$4*(D1366&gt;0)+01_Parametres!$B$5*(E1366&gt;0)+01_Parametres!$B$6*(F1366&gt;0))),IF(01_Parametres!$B$8=0,"",(01_Parametres!$B$4*D1366+01_Parametres!$B$5*E1366+01_Parametres!$B$6*F1366)/01_Parametres!$B$8)))</x:f>
      </x:c>
      <x:c r="H1366">
        <x:f>IFERROR(VLOOKUP(C1366,02_Referentiels!$A$20:$D$99,3,FALSE),"")</x:f>
      </x:c>
      <x:c r="I1366">
        <x:f>IFERROR(VLOOKUP(B1366,02_Referentiels!$A$5:$C$16,2,FALSE),"")</x:f>
      </x:c>
      <x:c r="J1366">
        <x:f>IF(A1366="","",IF(OR(D1366="",E1366="",F1366=""),1,IF(OR(D1366&lt;0,D1366&gt;3,E1366&lt;0,E1366&gt;3,F1366&lt;0,F1366&gt;3),1,0)))</x:f>
      </x:c>
      <x:c r="K1366">
        <x:f>IF(A1366="","",IF(G1366="",1,0))</x:f>
      </x:c>
      <x:c r="L1366">
        <x:f>IF(A1366="","",IF(COUNTIFS($A$5:$A$2004,A1366,$C$5:$C$2004,C1366)&gt;1,1,0))</x:f>
      </x:c>
    </x:row>
    <x:row r="1367">
      <x:c r="A1367" s="8" t="n"/>
      <x:c r="B1367" s="8" t="n"/>
      <x:c r="C1367" s="8" t="n"/>
      <x:c r="D1367" s="8" t="n"/>
      <x:c r="E1367" s="8" t="n"/>
      <x:c r="F1367" s="8" t="n"/>
      <x:c r="G1367" s="7">
        <x:f>IF(A1367="","",IF(01_Parametres!$B$11="Oui",IF((01_Parametres!$B$4*(D1367&gt;0)+01_Parametres!$B$5*(E1367&gt;0)+01_Parametres!$B$6*(F1367&gt;0))=0,"",(01_Parametres!$B$4*IF(D1367&gt;0,D1367,0)+01_Parametres!$B$5*IF(E1367&gt;0,E1367,0)+01_Parametres!$B$6*IF(F1367&gt;0,F1367,0))/(01_Parametres!$B$4*(D1367&gt;0)+01_Parametres!$B$5*(E1367&gt;0)+01_Parametres!$B$6*(F1367&gt;0))),IF(01_Parametres!$B$8=0,"",(01_Parametres!$B$4*D1367+01_Parametres!$B$5*E1367+01_Parametres!$B$6*F1367)/01_Parametres!$B$8)))</x:f>
      </x:c>
      <x:c r="H1367">
        <x:f>IFERROR(VLOOKUP(C1367,02_Referentiels!$A$20:$D$99,3,FALSE),"")</x:f>
      </x:c>
      <x:c r="I1367">
        <x:f>IFERROR(VLOOKUP(B1367,02_Referentiels!$A$5:$C$16,2,FALSE),"")</x:f>
      </x:c>
      <x:c r="J1367">
        <x:f>IF(A1367="","",IF(OR(D1367="",E1367="",F1367=""),1,IF(OR(D1367&lt;0,D1367&gt;3,E1367&lt;0,E1367&gt;3,F1367&lt;0,F1367&gt;3),1,0)))</x:f>
      </x:c>
      <x:c r="K1367">
        <x:f>IF(A1367="","",IF(G1367="",1,0))</x:f>
      </x:c>
      <x:c r="L1367">
        <x:f>IF(A1367="","",IF(COUNTIFS($A$5:$A$2004,A1367,$C$5:$C$2004,C1367)&gt;1,1,0))</x:f>
      </x:c>
    </x:row>
    <x:row r="1368">
      <x:c r="A1368" s="8" t="n"/>
      <x:c r="B1368" s="8" t="n"/>
      <x:c r="C1368" s="8" t="n"/>
      <x:c r="D1368" s="8" t="n"/>
      <x:c r="E1368" s="8" t="n"/>
      <x:c r="F1368" s="8" t="n"/>
      <x:c r="G1368" s="7">
        <x:f>IF(A1368="","",IF(01_Parametres!$B$11="Oui",IF((01_Parametres!$B$4*(D1368&gt;0)+01_Parametres!$B$5*(E1368&gt;0)+01_Parametres!$B$6*(F1368&gt;0))=0,"",(01_Parametres!$B$4*IF(D1368&gt;0,D1368,0)+01_Parametres!$B$5*IF(E1368&gt;0,E1368,0)+01_Parametres!$B$6*IF(F1368&gt;0,F1368,0))/(01_Parametres!$B$4*(D1368&gt;0)+01_Parametres!$B$5*(E1368&gt;0)+01_Parametres!$B$6*(F1368&gt;0))),IF(01_Parametres!$B$8=0,"",(01_Parametres!$B$4*D1368+01_Parametres!$B$5*E1368+01_Parametres!$B$6*F1368)/01_Parametres!$B$8)))</x:f>
      </x:c>
      <x:c r="H1368">
        <x:f>IFERROR(VLOOKUP(C1368,02_Referentiels!$A$20:$D$99,3,FALSE),"")</x:f>
      </x:c>
      <x:c r="I1368">
        <x:f>IFERROR(VLOOKUP(B1368,02_Referentiels!$A$5:$C$16,2,FALSE),"")</x:f>
      </x:c>
      <x:c r="J1368">
        <x:f>IF(A1368="","",IF(OR(D1368="",E1368="",F1368=""),1,IF(OR(D1368&lt;0,D1368&gt;3,E1368&lt;0,E1368&gt;3,F1368&lt;0,F1368&gt;3),1,0)))</x:f>
      </x:c>
      <x:c r="K1368">
        <x:f>IF(A1368="","",IF(G1368="",1,0))</x:f>
      </x:c>
      <x:c r="L1368">
        <x:f>IF(A1368="","",IF(COUNTIFS($A$5:$A$2004,A1368,$C$5:$C$2004,C1368)&gt;1,1,0))</x:f>
      </x:c>
    </x:row>
    <x:row r="1369">
      <x:c r="A1369" s="8" t="n"/>
      <x:c r="B1369" s="8" t="n"/>
      <x:c r="C1369" s="8" t="n"/>
      <x:c r="D1369" s="8" t="n"/>
      <x:c r="E1369" s="8" t="n"/>
      <x:c r="F1369" s="8" t="n"/>
      <x:c r="G1369" s="7">
        <x:f>IF(A1369="","",IF(01_Parametres!$B$11="Oui",IF((01_Parametres!$B$4*(D1369&gt;0)+01_Parametres!$B$5*(E1369&gt;0)+01_Parametres!$B$6*(F1369&gt;0))=0,"",(01_Parametres!$B$4*IF(D1369&gt;0,D1369,0)+01_Parametres!$B$5*IF(E1369&gt;0,E1369,0)+01_Parametres!$B$6*IF(F1369&gt;0,F1369,0))/(01_Parametres!$B$4*(D1369&gt;0)+01_Parametres!$B$5*(E1369&gt;0)+01_Parametres!$B$6*(F1369&gt;0))),IF(01_Parametres!$B$8=0,"",(01_Parametres!$B$4*D1369+01_Parametres!$B$5*E1369+01_Parametres!$B$6*F1369)/01_Parametres!$B$8)))</x:f>
      </x:c>
      <x:c r="H1369">
        <x:f>IFERROR(VLOOKUP(C1369,02_Referentiels!$A$20:$D$99,3,FALSE),"")</x:f>
      </x:c>
      <x:c r="I1369">
        <x:f>IFERROR(VLOOKUP(B1369,02_Referentiels!$A$5:$C$16,2,FALSE),"")</x:f>
      </x:c>
      <x:c r="J1369">
        <x:f>IF(A1369="","",IF(OR(D1369="",E1369="",F1369=""),1,IF(OR(D1369&lt;0,D1369&gt;3,E1369&lt;0,E1369&gt;3,F1369&lt;0,F1369&gt;3),1,0)))</x:f>
      </x:c>
      <x:c r="K1369">
        <x:f>IF(A1369="","",IF(G1369="",1,0))</x:f>
      </x:c>
      <x:c r="L1369">
        <x:f>IF(A1369="","",IF(COUNTIFS($A$5:$A$2004,A1369,$C$5:$C$2004,C1369)&gt;1,1,0))</x:f>
      </x:c>
    </x:row>
    <x:row r="1370">
      <x:c r="A1370" s="8" t="n"/>
      <x:c r="B1370" s="8" t="n"/>
      <x:c r="C1370" s="8" t="n"/>
      <x:c r="D1370" s="8" t="n"/>
      <x:c r="E1370" s="8" t="n"/>
      <x:c r="F1370" s="8" t="n"/>
      <x:c r="G1370" s="7">
        <x:f>IF(A1370="","",IF(01_Parametres!$B$11="Oui",IF((01_Parametres!$B$4*(D1370&gt;0)+01_Parametres!$B$5*(E1370&gt;0)+01_Parametres!$B$6*(F1370&gt;0))=0,"",(01_Parametres!$B$4*IF(D1370&gt;0,D1370,0)+01_Parametres!$B$5*IF(E1370&gt;0,E1370,0)+01_Parametres!$B$6*IF(F1370&gt;0,F1370,0))/(01_Parametres!$B$4*(D1370&gt;0)+01_Parametres!$B$5*(E1370&gt;0)+01_Parametres!$B$6*(F1370&gt;0))),IF(01_Parametres!$B$8=0,"",(01_Parametres!$B$4*D1370+01_Parametres!$B$5*E1370+01_Parametres!$B$6*F1370)/01_Parametres!$B$8)))</x:f>
      </x:c>
      <x:c r="H1370">
        <x:f>IFERROR(VLOOKUP(C1370,02_Referentiels!$A$20:$D$99,3,FALSE),"")</x:f>
      </x:c>
      <x:c r="I1370">
        <x:f>IFERROR(VLOOKUP(B1370,02_Referentiels!$A$5:$C$16,2,FALSE),"")</x:f>
      </x:c>
      <x:c r="J1370">
        <x:f>IF(A1370="","",IF(OR(D1370="",E1370="",F1370=""),1,IF(OR(D1370&lt;0,D1370&gt;3,E1370&lt;0,E1370&gt;3,F1370&lt;0,F1370&gt;3),1,0)))</x:f>
      </x:c>
      <x:c r="K1370">
        <x:f>IF(A1370="","",IF(G1370="",1,0))</x:f>
      </x:c>
      <x:c r="L1370">
        <x:f>IF(A1370="","",IF(COUNTIFS($A$5:$A$2004,A1370,$C$5:$C$2004,C1370)&gt;1,1,0))</x:f>
      </x:c>
    </x:row>
    <x:row r="1371">
      <x:c r="A1371" s="8" t="n"/>
      <x:c r="B1371" s="8" t="n"/>
      <x:c r="C1371" s="8" t="n"/>
      <x:c r="D1371" s="8" t="n"/>
      <x:c r="E1371" s="8" t="n"/>
      <x:c r="F1371" s="8" t="n"/>
      <x:c r="G1371" s="7">
        <x:f>IF(A1371="","",IF(01_Parametres!$B$11="Oui",IF((01_Parametres!$B$4*(D1371&gt;0)+01_Parametres!$B$5*(E1371&gt;0)+01_Parametres!$B$6*(F1371&gt;0))=0,"",(01_Parametres!$B$4*IF(D1371&gt;0,D1371,0)+01_Parametres!$B$5*IF(E1371&gt;0,E1371,0)+01_Parametres!$B$6*IF(F1371&gt;0,F1371,0))/(01_Parametres!$B$4*(D1371&gt;0)+01_Parametres!$B$5*(E1371&gt;0)+01_Parametres!$B$6*(F1371&gt;0))),IF(01_Parametres!$B$8=0,"",(01_Parametres!$B$4*D1371+01_Parametres!$B$5*E1371+01_Parametres!$B$6*F1371)/01_Parametres!$B$8)))</x:f>
      </x:c>
      <x:c r="H1371">
        <x:f>IFERROR(VLOOKUP(C1371,02_Referentiels!$A$20:$D$99,3,FALSE),"")</x:f>
      </x:c>
      <x:c r="I1371">
        <x:f>IFERROR(VLOOKUP(B1371,02_Referentiels!$A$5:$C$16,2,FALSE),"")</x:f>
      </x:c>
      <x:c r="J1371">
        <x:f>IF(A1371="","",IF(OR(D1371="",E1371="",F1371=""),1,IF(OR(D1371&lt;0,D1371&gt;3,E1371&lt;0,E1371&gt;3,F1371&lt;0,F1371&gt;3),1,0)))</x:f>
      </x:c>
      <x:c r="K1371">
        <x:f>IF(A1371="","",IF(G1371="",1,0))</x:f>
      </x:c>
      <x:c r="L1371">
        <x:f>IF(A1371="","",IF(COUNTIFS($A$5:$A$2004,A1371,$C$5:$C$2004,C1371)&gt;1,1,0))</x:f>
      </x:c>
    </x:row>
    <x:row r="1372">
      <x:c r="A1372" s="8" t="n"/>
      <x:c r="B1372" s="8" t="n"/>
      <x:c r="C1372" s="8" t="n"/>
      <x:c r="D1372" s="8" t="n"/>
      <x:c r="E1372" s="8" t="n"/>
      <x:c r="F1372" s="8" t="n"/>
      <x:c r="G1372" s="7">
        <x:f>IF(A1372="","",IF(01_Parametres!$B$11="Oui",IF((01_Parametres!$B$4*(D1372&gt;0)+01_Parametres!$B$5*(E1372&gt;0)+01_Parametres!$B$6*(F1372&gt;0))=0,"",(01_Parametres!$B$4*IF(D1372&gt;0,D1372,0)+01_Parametres!$B$5*IF(E1372&gt;0,E1372,0)+01_Parametres!$B$6*IF(F1372&gt;0,F1372,0))/(01_Parametres!$B$4*(D1372&gt;0)+01_Parametres!$B$5*(E1372&gt;0)+01_Parametres!$B$6*(F1372&gt;0))),IF(01_Parametres!$B$8=0,"",(01_Parametres!$B$4*D1372+01_Parametres!$B$5*E1372+01_Parametres!$B$6*F1372)/01_Parametres!$B$8)))</x:f>
      </x:c>
      <x:c r="H1372">
        <x:f>IFERROR(VLOOKUP(C1372,02_Referentiels!$A$20:$D$99,3,FALSE),"")</x:f>
      </x:c>
      <x:c r="I1372">
        <x:f>IFERROR(VLOOKUP(B1372,02_Referentiels!$A$5:$C$16,2,FALSE),"")</x:f>
      </x:c>
      <x:c r="J1372">
        <x:f>IF(A1372="","",IF(OR(D1372="",E1372="",F1372=""),1,IF(OR(D1372&lt;0,D1372&gt;3,E1372&lt;0,E1372&gt;3,F1372&lt;0,F1372&gt;3),1,0)))</x:f>
      </x:c>
      <x:c r="K1372">
        <x:f>IF(A1372="","",IF(G1372="",1,0))</x:f>
      </x:c>
      <x:c r="L1372">
        <x:f>IF(A1372="","",IF(COUNTIFS($A$5:$A$2004,A1372,$C$5:$C$2004,C1372)&gt;1,1,0))</x:f>
      </x:c>
    </x:row>
    <x:row r="1373">
      <x:c r="A1373" s="8" t="n"/>
      <x:c r="B1373" s="8" t="n"/>
      <x:c r="C1373" s="8" t="n"/>
      <x:c r="D1373" s="8" t="n"/>
      <x:c r="E1373" s="8" t="n"/>
      <x:c r="F1373" s="8" t="n"/>
      <x:c r="G1373" s="7">
        <x:f>IF(A1373="","",IF(01_Parametres!$B$11="Oui",IF((01_Parametres!$B$4*(D1373&gt;0)+01_Parametres!$B$5*(E1373&gt;0)+01_Parametres!$B$6*(F1373&gt;0))=0,"",(01_Parametres!$B$4*IF(D1373&gt;0,D1373,0)+01_Parametres!$B$5*IF(E1373&gt;0,E1373,0)+01_Parametres!$B$6*IF(F1373&gt;0,F1373,0))/(01_Parametres!$B$4*(D1373&gt;0)+01_Parametres!$B$5*(E1373&gt;0)+01_Parametres!$B$6*(F1373&gt;0))),IF(01_Parametres!$B$8=0,"",(01_Parametres!$B$4*D1373+01_Parametres!$B$5*E1373+01_Parametres!$B$6*F1373)/01_Parametres!$B$8)))</x:f>
      </x:c>
      <x:c r="H1373">
        <x:f>IFERROR(VLOOKUP(C1373,02_Referentiels!$A$20:$D$99,3,FALSE),"")</x:f>
      </x:c>
      <x:c r="I1373">
        <x:f>IFERROR(VLOOKUP(B1373,02_Referentiels!$A$5:$C$16,2,FALSE),"")</x:f>
      </x:c>
      <x:c r="J1373">
        <x:f>IF(A1373="","",IF(OR(D1373="",E1373="",F1373=""),1,IF(OR(D1373&lt;0,D1373&gt;3,E1373&lt;0,E1373&gt;3,F1373&lt;0,F1373&gt;3),1,0)))</x:f>
      </x:c>
      <x:c r="K1373">
        <x:f>IF(A1373="","",IF(G1373="",1,0))</x:f>
      </x:c>
      <x:c r="L1373">
        <x:f>IF(A1373="","",IF(COUNTIFS($A$5:$A$2004,A1373,$C$5:$C$2004,C1373)&gt;1,1,0))</x:f>
      </x:c>
    </x:row>
    <x:row r="1374">
      <x:c r="A1374" s="8" t="n"/>
      <x:c r="B1374" s="8" t="n"/>
      <x:c r="C1374" s="8" t="n"/>
      <x:c r="D1374" s="8" t="n"/>
      <x:c r="E1374" s="8" t="n"/>
      <x:c r="F1374" s="8" t="n"/>
      <x:c r="G1374" s="7">
        <x:f>IF(A1374="","",IF(01_Parametres!$B$11="Oui",IF((01_Parametres!$B$4*(D1374&gt;0)+01_Parametres!$B$5*(E1374&gt;0)+01_Parametres!$B$6*(F1374&gt;0))=0,"",(01_Parametres!$B$4*IF(D1374&gt;0,D1374,0)+01_Parametres!$B$5*IF(E1374&gt;0,E1374,0)+01_Parametres!$B$6*IF(F1374&gt;0,F1374,0))/(01_Parametres!$B$4*(D1374&gt;0)+01_Parametres!$B$5*(E1374&gt;0)+01_Parametres!$B$6*(F1374&gt;0))),IF(01_Parametres!$B$8=0,"",(01_Parametres!$B$4*D1374+01_Parametres!$B$5*E1374+01_Parametres!$B$6*F1374)/01_Parametres!$B$8)))</x:f>
      </x:c>
      <x:c r="H1374">
        <x:f>IFERROR(VLOOKUP(C1374,02_Referentiels!$A$20:$D$99,3,FALSE),"")</x:f>
      </x:c>
      <x:c r="I1374">
        <x:f>IFERROR(VLOOKUP(B1374,02_Referentiels!$A$5:$C$16,2,FALSE),"")</x:f>
      </x:c>
      <x:c r="J1374">
        <x:f>IF(A1374="","",IF(OR(D1374="",E1374="",F1374=""),1,IF(OR(D1374&lt;0,D1374&gt;3,E1374&lt;0,E1374&gt;3,F1374&lt;0,F1374&gt;3),1,0)))</x:f>
      </x:c>
      <x:c r="K1374">
        <x:f>IF(A1374="","",IF(G1374="",1,0))</x:f>
      </x:c>
      <x:c r="L1374">
        <x:f>IF(A1374="","",IF(COUNTIFS($A$5:$A$2004,A1374,$C$5:$C$2004,C1374)&gt;1,1,0))</x:f>
      </x:c>
    </x:row>
    <x:row r="1375">
      <x:c r="A1375" s="8" t="n"/>
      <x:c r="B1375" s="8" t="n"/>
      <x:c r="C1375" s="8" t="n"/>
      <x:c r="D1375" s="8" t="n"/>
      <x:c r="E1375" s="8" t="n"/>
      <x:c r="F1375" s="8" t="n"/>
      <x:c r="G1375" s="7">
        <x:f>IF(A1375="","",IF(01_Parametres!$B$11="Oui",IF((01_Parametres!$B$4*(D1375&gt;0)+01_Parametres!$B$5*(E1375&gt;0)+01_Parametres!$B$6*(F1375&gt;0))=0,"",(01_Parametres!$B$4*IF(D1375&gt;0,D1375,0)+01_Parametres!$B$5*IF(E1375&gt;0,E1375,0)+01_Parametres!$B$6*IF(F1375&gt;0,F1375,0))/(01_Parametres!$B$4*(D1375&gt;0)+01_Parametres!$B$5*(E1375&gt;0)+01_Parametres!$B$6*(F1375&gt;0))),IF(01_Parametres!$B$8=0,"",(01_Parametres!$B$4*D1375+01_Parametres!$B$5*E1375+01_Parametres!$B$6*F1375)/01_Parametres!$B$8)))</x:f>
      </x:c>
      <x:c r="H1375">
        <x:f>IFERROR(VLOOKUP(C1375,02_Referentiels!$A$20:$D$99,3,FALSE),"")</x:f>
      </x:c>
      <x:c r="I1375">
        <x:f>IFERROR(VLOOKUP(B1375,02_Referentiels!$A$5:$C$16,2,FALSE),"")</x:f>
      </x:c>
      <x:c r="J1375">
        <x:f>IF(A1375="","",IF(OR(D1375="",E1375="",F1375=""),1,IF(OR(D1375&lt;0,D1375&gt;3,E1375&lt;0,E1375&gt;3,F1375&lt;0,F1375&gt;3),1,0)))</x:f>
      </x:c>
      <x:c r="K1375">
        <x:f>IF(A1375="","",IF(G1375="",1,0))</x:f>
      </x:c>
      <x:c r="L1375">
        <x:f>IF(A1375="","",IF(COUNTIFS($A$5:$A$2004,A1375,$C$5:$C$2004,C1375)&gt;1,1,0))</x:f>
      </x:c>
    </x:row>
    <x:row r="1376">
      <x:c r="A1376" s="8" t="n"/>
      <x:c r="B1376" s="8" t="n"/>
      <x:c r="C1376" s="8" t="n"/>
      <x:c r="D1376" s="8" t="n"/>
      <x:c r="E1376" s="8" t="n"/>
      <x:c r="F1376" s="8" t="n"/>
      <x:c r="G1376" s="7">
        <x:f>IF(A1376="","",IF(01_Parametres!$B$11="Oui",IF((01_Parametres!$B$4*(D1376&gt;0)+01_Parametres!$B$5*(E1376&gt;0)+01_Parametres!$B$6*(F1376&gt;0))=0,"",(01_Parametres!$B$4*IF(D1376&gt;0,D1376,0)+01_Parametres!$B$5*IF(E1376&gt;0,E1376,0)+01_Parametres!$B$6*IF(F1376&gt;0,F1376,0))/(01_Parametres!$B$4*(D1376&gt;0)+01_Parametres!$B$5*(E1376&gt;0)+01_Parametres!$B$6*(F1376&gt;0))),IF(01_Parametres!$B$8=0,"",(01_Parametres!$B$4*D1376+01_Parametres!$B$5*E1376+01_Parametres!$B$6*F1376)/01_Parametres!$B$8)))</x:f>
      </x:c>
      <x:c r="H1376">
        <x:f>IFERROR(VLOOKUP(C1376,02_Referentiels!$A$20:$D$99,3,FALSE),"")</x:f>
      </x:c>
      <x:c r="I1376">
        <x:f>IFERROR(VLOOKUP(B1376,02_Referentiels!$A$5:$C$16,2,FALSE),"")</x:f>
      </x:c>
      <x:c r="J1376">
        <x:f>IF(A1376="","",IF(OR(D1376="",E1376="",F1376=""),1,IF(OR(D1376&lt;0,D1376&gt;3,E1376&lt;0,E1376&gt;3,F1376&lt;0,F1376&gt;3),1,0)))</x:f>
      </x:c>
      <x:c r="K1376">
        <x:f>IF(A1376="","",IF(G1376="",1,0))</x:f>
      </x:c>
      <x:c r="L1376">
        <x:f>IF(A1376="","",IF(COUNTIFS($A$5:$A$2004,A1376,$C$5:$C$2004,C1376)&gt;1,1,0))</x:f>
      </x:c>
    </x:row>
    <x:row r="1377">
      <x:c r="A1377" s="8" t="n"/>
      <x:c r="B1377" s="8" t="n"/>
      <x:c r="C1377" s="8" t="n"/>
      <x:c r="D1377" s="8" t="n"/>
      <x:c r="E1377" s="8" t="n"/>
      <x:c r="F1377" s="8" t="n"/>
      <x:c r="G1377" s="7">
        <x:f>IF(A1377="","",IF(01_Parametres!$B$11="Oui",IF((01_Parametres!$B$4*(D1377&gt;0)+01_Parametres!$B$5*(E1377&gt;0)+01_Parametres!$B$6*(F1377&gt;0))=0,"",(01_Parametres!$B$4*IF(D1377&gt;0,D1377,0)+01_Parametres!$B$5*IF(E1377&gt;0,E1377,0)+01_Parametres!$B$6*IF(F1377&gt;0,F1377,0))/(01_Parametres!$B$4*(D1377&gt;0)+01_Parametres!$B$5*(E1377&gt;0)+01_Parametres!$B$6*(F1377&gt;0))),IF(01_Parametres!$B$8=0,"",(01_Parametres!$B$4*D1377+01_Parametres!$B$5*E1377+01_Parametres!$B$6*F1377)/01_Parametres!$B$8)))</x:f>
      </x:c>
      <x:c r="H1377">
        <x:f>IFERROR(VLOOKUP(C1377,02_Referentiels!$A$20:$D$99,3,FALSE),"")</x:f>
      </x:c>
      <x:c r="I1377">
        <x:f>IFERROR(VLOOKUP(B1377,02_Referentiels!$A$5:$C$16,2,FALSE),"")</x:f>
      </x:c>
      <x:c r="J1377">
        <x:f>IF(A1377="","",IF(OR(D1377="",E1377="",F1377=""),1,IF(OR(D1377&lt;0,D1377&gt;3,E1377&lt;0,E1377&gt;3,F1377&lt;0,F1377&gt;3),1,0)))</x:f>
      </x:c>
      <x:c r="K1377">
        <x:f>IF(A1377="","",IF(G1377="",1,0))</x:f>
      </x:c>
      <x:c r="L1377">
        <x:f>IF(A1377="","",IF(COUNTIFS($A$5:$A$2004,A1377,$C$5:$C$2004,C1377)&gt;1,1,0))</x:f>
      </x:c>
    </x:row>
    <x:row r="1378">
      <x:c r="A1378" s="8" t="n"/>
      <x:c r="B1378" s="8" t="n"/>
      <x:c r="C1378" s="8" t="n"/>
      <x:c r="D1378" s="8" t="n"/>
      <x:c r="E1378" s="8" t="n"/>
      <x:c r="F1378" s="8" t="n"/>
      <x:c r="G1378" s="7">
        <x:f>IF(A1378="","",IF(01_Parametres!$B$11="Oui",IF((01_Parametres!$B$4*(D1378&gt;0)+01_Parametres!$B$5*(E1378&gt;0)+01_Parametres!$B$6*(F1378&gt;0))=0,"",(01_Parametres!$B$4*IF(D1378&gt;0,D1378,0)+01_Parametres!$B$5*IF(E1378&gt;0,E1378,0)+01_Parametres!$B$6*IF(F1378&gt;0,F1378,0))/(01_Parametres!$B$4*(D1378&gt;0)+01_Parametres!$B$5*(E1378&gt;0)+01_Parametres!$B$6*(F1378&gt;0))),IF(01_Parametres!$B$8=0,"",(01_Parametres!$B$4*D1378+01_Parametres!$B$5*E1378+01_Parametres!$B$6*F1378)/01_Parametres!$B$8)))</x:f>
      </x:c>
      <x:c r="H1378">
        <x:f>IFERROR(VLOOKUP(C1378,02_Referentiels!$A$20:$D$99,3,FALSE),"")</x:f>
      </x:c>
      <x:c r="I1378">
        <x:f>IFERROR(VLOOKUP(B1378,02_Referentiels!$A$5:$C$16,2,FALSE),"")</x:f>
      </x:c>
      <x:c r="J1378">
        <x:f>IF(A1378="","",IF(OR(D1378="",E1378="",F1378=""),1,IF(OR(D1378&lt;0,D1378&gt;3,E1378&lt;0,E1378&gt;3,F1378&lt;0,F1378&gt;3),1,0)))</x:f>
      </x:c>
      <x:c r="K1378">
        <x:f>IF(A1378="","",IF(G1378="",1,0))</x:f>
      </x:c>
      <x:c r="L1378">
        <x:f>IF(A1378="","",IF(COUNTIFS($A$5:$A$2004,A1378,$C$5:$C$2004,C1378)&gt;1,1,0))</x:f>
      </x:c>
    </x:row>
    <x:row r="1379">
      <x:c r="A1379" s="8" t="n"/>
      <x:c r="B1379" s="8" t="n"/>
      <x:c r="C1379" s="8" t="n"/>
      <x:c r="D1379" s="8" t="n"/>
      <x:c r="E1379" s="8" t="n"/>
      <x:c r="F1379" s="8" t="n"/>
      <x:c r="G1379" s="7">
        <x:f>IF(A1379="","",IF(01_Parametres!$B$11="Oui",IF((01_Parametres!$B$4*(D1379&gt;0)+01_Parametres!$B$5*(E1379&gt;0)+01_Parametres!$B$6*(F1379&gt;0))=0,"",(01_Parametres!$B$4*IF(D1379&gt;0,D1379,0)+01_Parametres!$B$5*IF(E1379&gt;0,E1379,0)+01_Parametres!$B$6*IF(F1379&gt;0,F1379,0))/(01_Parametres!$B$4*(D1379&gt;0)+01_Parametres!$B$5*(E1379&gt;0)+01_Parametres!$B$6*(F1379&gt;0))),IF(01_Parametres!$B$8=0,"",(01_Parametres!$B$4*D1379+01_Parametres!$B$5*E1379+01_Parametres!$B$6*F1379)/01_Parametres!$B$8)))</x:f>
      </x:c>
      <x:c r="H1379">
        <x:f>IFERROR(VLOOKUP(C1379,02_Referentiels!$A$20:$D$99,3,FALSE),"")</x:f>
      </x:c>
      <x:c r="I1379">
        <x:f>IFERROR(VLOOKUP(B1379,02_Referentiels!$A$5:$C$16,2,FALSE),"")</x:f>
      </x:c>
      <x:c r="J1379">
        <x:f>IF(A1379="","",IF(OR(D1379="",E1379="",F1379=""),1,IF(OR(D1379&lt;0,D1379&gt;3,E1379&lt;0,E1379&gt;3,F1379&lt;0,F1379&gt;3),1,0)))</x:f>
      </x:c>
      <x:c r="K1379">
        <x:f>IF(A1379="","",IF(G1379="",1,0))</x:f>
      </x:c>
      <x:c r="L1379">
        <x:f>IF(A1379="","",IF(COUNTIFS($A$5:$A$2004,A1379,$C$5:$C$2004,C1379)&gt;1,1,0))</x:f>
      </x:c>
    </x:row>
    <x:row r="1380">
      <x:c r="A1380" s="8" t="n"/>
      <x:c r="B1380" s="8" t="n"/>
      <x:c r="C1380" s="8" t="n"/>
      <x:c r="D1380" s="8" t="n"/>
      <x:c r="E1380" s="8" t="n"/>
      <x:c r="F1380" s="8" t="n"/>
      <x:c r="G1380" s="7">
        <x:f>IF(A1380="","",IF(01_Parametres!$B$11="Oui",IF((01_Parametres!$B$4*(D1380&gt;0)+01_Parametres!$B$5*(E1380&gt;0)+01_Parametres!$B$6*(F1380&gt;0))=0,"",(01_Parametres!$B$4*IF(D1380&gt;0,D1380,0)+01_Parametres!$B$5*IF(E1380&gt;0,E1380,0)+01_Parametres!$B$6*IF(F1380&gt;0,F1380,0))/(01_Parametres!$B$4*(D1380&gt;0)+01_Parametres!$B$5*(E1380&gt;0)+01_Parametres!$B$6*(F1380&gt;0))),IF(01_Parametres!$B$8=0,"",(01_Parametres!$B$4*D1380+01_Parametres!$B$5*E1380+01_Parametres!$B$6*F1380)/01_Parametres!$B$8)))</x:f>
      </x:c>
      <x:c r="H1380">
        <x:f>IFERROR(VLOOKUP(C1380,02_Referentiels!$A$20:$D$99,3,FALSE),"")</x:f>
      </x:c>
      <x:c r="I1380">
        <x:f>IFERROR(VLOOKUP(B1380,02_Referentiels!$A$5:$C$16,2,FALSE),"")</x:f>
      </x:c>
      <x:c r="J1380">
        <x:f>IF(A1380="","",IF(OR(D1380="",E1380="",F1380=""),1,IF(OR(D1380&lt;0,D1380&gt;3,E1380&lt;0,E1380&gt;3,F1380&lt;0,F1380&gt;3),1,0)))</x:f>
      </x:c>
      <x:c r="K1380">
        <x:f>IF(A1380="","",IF(G1380="",1,0))</x:f>
      </x:c>
      <x:c r="L1380">
        <x:f>IF(A1380="","",IF(COUNTIFS($A$5:$A$2004,A1380,$C$5:$C$2004,C1380)&gt;1,1,0))</x:f>
      </x:c>
    </x:row>
    <x:row r="1381">
      <x:c r="A1381" s="8" t="n"/>
      <x:c r="B1381" s="8" t="n"/>
      <x:c r="C1381" s="8" t="n"/>
      <x:c r="D1381" s="8" t="n"/>
      <x:c r="E1381" s="8" t="n"/>
      <x:c r="F1381" s="8" t="n"/>
      <x:c r="G1381" s="7">
        <x:f>IF(A1381="","",IF(01_Parametres!$B$11="Oui",IF((01_Parametres!$B$4*(D1381&gt;0)+01_Parametres!$B$5*(E1381&gt;0)+01_Parametres!$B$6*(F1381&gt;0))=0,"",(01_Parametres!$B$4*IF(D1381&gt;0,D1381,0)+01_Parametres!$B$5*IF(E1381&gt;0,E1381,0)+01_Parametres!$B$6*IF(F1381&gt;0,F1381,0))/(01_Parametres!$B$4*(D1381&gt;0)+01_Parametres!$B$5*(E1381&gt;0)+01_Parametres!$B$6*(F1381&gt;0))),IF(01_Parametres!$B$8=0,"",(01_Parametres!$B$4*D1381+01_Parametres!$B$5*E1381+01_Parametres!$B$6*F1381)/01_Parametres!$B$8)))</x:f>
      </x:c>
      <x:c r="H1381">
        <x:f>IFERROR(VLOOKUP(C1381,02_Referentiels!$A$20:$D$99,3,FALSE),"")</x:f>
      </x:c>
      <x:c r="I1381">
        <x:f>IFERROR(VLOOKUP(B1381,02_Referentiels!$A$5:$C$16,2,FALSE),"")</x:f>
      </x:c>
      <x:c r="J1381">
        <x:f>IF(A1381="","",IF(OR(D1381="",E1381="",F1381=""),1,IF(OR(D1381&lt;0,D1381&gt;3,E1381&lt;0,E1381&gt;3,F1381&lt;0,F1381&gt;3),1,0)))</x:f>
      </x:c>
      <x:c r="K1381">
        <x:f>IF(A1381="","",IF(G1381="",1,0))</x:f>
      </x:c>
      <x:c r="L1381">
        <x:f>IF(A1381="","",IF(COUNTIFS($A$5:$A$2004,A1381,$C$5:$C$2004,C1381)&gt;1,1,0))</x:f>
      </x:c>
    </x:row>
    <x:row r="1382">
      <x:c r="A1382" s="8" t="n"/>
      <x:c r="B1382" s="8" t="n"/>
      <x:c r="C1382" s="8" t="n"/>
      <x:c r="D1382" s="8" t="n"/>
      <x:c r="E1382" s="8" t="n"/>
      <x:c r="F1382" s="8" t="n"/>
      <x:c r="G1382" s="7">
        <x:f>IF(A1382="","",IF(01_Parametres!$B$11="Oui",IF((01_Parametres!$B$4*(D1382&gt;0)+01_Parametres!$B$5*(E1382&gt;0)+01_Parametres!$B$6*(F1382&gt;0))=0,"",(01_Parametres!$B$4*IF(D1382&gt;0,D1382,0)+01_Parametres!$B$5*IF(E1382&gt;0,E1382,0)+01_Parametres!$B$6*IF(F1382&gt;0,F1382,0))/(01_Parametres!$B$4*(D1382&gt;0)+01_Parametres!$B$5*(E1382&gt;0)+01_Parametres!$B$6*(F1382&gt;0))),IF(01_Parametres!$B$8=0,"",(01_Parametres!$B$4*D1382+01_Parametres!$B$5*E1382+01_Parametres!$B$6*F1382)/01_Parametres!$B$8)))</x:f>
      </x:c>
      <x:c r="H1382">
        <x:f>IFERROR(VLOOKUP(C1382,02_Referentiels!$A$20:$D$99,3,FALSE),"")</x:f>
      </x:c>
      <x:c r="I1382">
        <x:f>IFERROR(VLOOKUP(B1382,02_Referentiels!$A$5:$C$16,2,FALSE),"")</x:f>
      </x:c>
      <x:c r="J1382">
        <x:f>IF(A1382="","",IF(OR(D1382="",E1382="",F1382=""),1,IF(OR(D1382&lt;0,D1382&gt;3,E1382&lt;0,E1382&gt;3,F1382&lt;0,F1382&gt;3),1,0)))</x:f>
      </x:c>
      <x:c r="K1382">
        <x:f>IF(A1382="","",IF(G1382="",1,0))</x:f>
      </x:c>
      <x:c r="L1382">
        <x:f>IF(A1382="","",IF(COUNTIFS($A$5:$A$2004,A1382,$C$5:$C$2004,C1382)&gt;1,1,0))</x:f>
      </x:c>
    </x:row>
    <x:row r="1383">
      <x:c r="A1383" s="8" t="n"/>
      <x:c r="B1383" s="8" t="n"/>
      <x:c r="C1383" s="8" t="n"/>
      <x:c r="D1383" s="8" t="n"/>
      <x:c r="E1383" s="8" t="n"/>
      <x:c r="F1383" s="8" t="n"/>
      <x:c r="G1383" s="7">
        <x:f>IF(A1383="","",IF(01_Parametres!$B$11="Oui",IF((01_Parametres!$B$4*(D1383&gt;0)+01_Parametres!$B$5*(E1383&gt;0)+01_Parametres!$B$6*(F1383&gt;0))=0,"",(01_Parametres!$B$4*IF(D1383&gt;0,D1383,0)+01_Parametres!$B$5*IF(E1383&gt;0,E1383,0)+01_Parametres!$B$6*IF(F1383&gt;0,F1383,0))/(01_Parametres!$B$4*(D1383&gt;0)+01_Parametres!$B$5*(E1383&gt;0)+01_Parametres!$B$6*(F1383&gt;0))),IF(01_Parametres!$B$8=0,"",(01_Parametres!$B$4*D1383+01_Parametres!$B$5*E1383+01_Parametres!$B$6*F1383)/01_Parametres!$B$8)))</x:f>
      </x:c>
      <x:c r="H1383">
        <x:f>IFERROR(VLOOKUP(C1383,02_Referentiels!$A$20:$D$99,3,FALSE),"")</x:f>
      </x:c>
      <x:c r="I1383">
        <x:f>IFERROR(VLOOKUP(B1383,02_Referentiels!$A$5:$C$16,2,FALSE),"")</x:f>
      </x:c>
      <x:c r="J1383">
        <x:f>IF(A1383="","",IF(OR(D1383="",E1383="",F1383=""),1,IF(OR(D1383&lt;0,D1383&gt;3,E1383&lt;0,E1383&gt;3,F1383&lt;0,F1383&gt;3),1,0)))</x:f>
      </x:c>
      <x:c r="K1383">
        <x:f>IF(A1383="","",IF(G1383="",1,0))</x:f>
      </x:c>
      <x:c r="L1383">
        <x:f>IF(A1383="","",IF(COUNTIFS($A$5:$A$2004,A1383,$C$5:$C$2004,C1383)&gt;1,1,0))</x:f>
      </x:c>
    </x:row>
    <x:row r="1384">
      <x:c r="A1384" s="8" t="n"/>
      <x:c r="B1384" s="8" t="n"/>
      <x:c r="C1384" s="8" t="n"/>
      <x:c r="D1384" s="8" t="n"/>
      <x:c r="E1384" s="8" t="n"/>
      <x:c r="F1384" s="8" t="n"/>
      <x:c r="G1384" s="7">
        <x:f>IF(A1384="","",IF(01_Parametres!$B$11="Oui",IF((01_Parametres!$B$4*(D1384&gt;0)+01_Parametres!$B$5*(E1384&gt;0)+01_Parametres!$B$6*(F1384&gt;0))=0,"",(01_Parametres!$B$4*IF(D1384&gt;0,D1384,0)+01_Parametres!$B$5*IF(E1384&gt;0,E1384,0)+01_Parametres!$B$6*IF(F1384&gt;0,F1384,0))/(01_Parametres!$B$4*(D1384&gt;0)+01_Parametres!$B$5*(E1384&gt;0)+01_Parametres!$B$6*(F1384&gt;0))),IF(01_Parametres!$B$8=0,"",(01_Parametres!$B$4*D1384+01_Parametres!$B$5*E1384+01_Parametres!$B$6*F1384)/01_Parametres!$B$8)))</x:f>
      </x:c>
      <x:c r="H1384">
        <x:f>IFERROR(VLOOKUP(C1384,02_Referentiels!$A$20:$D$99,3,FALSE),"")</x:f>
      </x:c>
      <x:c r="I1384">
        <x:f>IFERROR(VLOOKUP(B1384,02_Referentiels!$A$5:$C$16,2,FALSE),"")</x:f>
      </x:c>
      <x:c r="J1384">
        <x:f>IF(A1384="","",IF(OR(D1384="",E1384="",F1384=""),1,IF(OR(D1384&lt;0,D1384&gt;3,E1384&lt;0,E1384&gt;3,F1384&lt;0,F1384&gt;3),1,0)))</x:f>
      </x:c>
      <x:c r="K1384">
        <x:f>IF(A1384="","",IF(G1384="",1,0))</x:f>
      </x:c>
      <x:c r="L1384">
        <x:f>IF(A1384="","",IF(COUNTIFS($A$5:$A$2004,A1384,$C$5:$C$2004,C1384)&gt;1,1,0))</x:f>
      </x:c>
    </x:row>
    <x:row r="1385">
      <x:c r="A1385" s="8" t="n"/>
      <x:c r="B1385" s="8" t="n"/>
      <x:c r="C1385" s="8" t="n"/>
      <x:c r="D1385" s="8" t="n"/>
      <x:c r="E1385" s="8" t="n"/>
      <x:c r="F1385" s="8" t="n"/>
      <x:c r="G1385" s="7">
        <x:f>IF(A1385="","",IF(01_Parametres!$B$11="Oui",IF((01_Parametres!$B$4*(D1385&gt;0)+01_Parametres!$B$5*(E1385&gt;0)+01_Parametres!$B$6*(F1385&gt;0))=0,"",(01_Parametres!$B$4*IF(D1385&gt;0,D1385,0)+01_Parametres!$B$5*IF(E1385&gt;0,E1385,0)+01_Parametres!$B$6*IF(F1385&gt;0,F1385,0))/(01_Parametres!$B$4*(D1385&gt;0)+01_Parametres!$B$5*(E1385&gt;0)+01_Parametres!$B$6*(F1385&gt;0))),IF(01_Parametres!$B$8=0,"",(01_Parametres!$B$4*D1385+01_Parametres!$B$5*E1385+01_Parametres!$B$6*F1385)/01_Parametres!$B$8)))</x:f>
      </x:c>
      <x:c r="H1385">
        <x:f>IFERROR(VLOOKUP(C1385,02_Referentiels!$A$20:$D$99,3,FALSE),"")</x:f>
      </x:c>
      <x:c r="I1385">
        <x:f>IFERROR(VLOOKUP(B1385,02_Referentiels!$A$5:$C$16,2,FALSE),"")</x:f>
      </x:c>
      <x:c r="J1385">
        <x:f>IF(A1385="","",IF(OR(D1385="",E1385="",F1385=""),1,IF(OR(D1385&lt;0,D1385&gt;3,E1385&lt;0,E1385&gt;3,F1385&lt;0,F1385&gt;3),1,0)))</x:f>
      </x:c>
      <x:c r="K1385">
        <x:f>IF(A1385="","",IF(G1385="",1,0))</x:f>
      </x:c>
      <x:c r="L1385">
        <x:f>IF(A1385="","",IF(COUNTIFS($A$5:$A$2004,A1385,$C$5:$C$2004,C1385)&gt;1,1,0))</x:f>
      </x:c>
    </x:row>
    <x:row r="1386">
      <x:c r="A1386" s="8" t="n"/>
      <x:c r="B1386" s="8" t="n"/>
      <x:c r="C1386" s="8" t="n"/>
      <x:c r="D1386" s="8" t="n"/>
      <x:c r="E1386" s="8" t="n"/>
      <x:c r="F1386" s="8" t="n"/>
      <x:c r="G1386" s="7">
        <x:f>IF(A1386="","",IF(01_Parametres!$B$11="Oui",IF((01_Parametres!$B$4*(D1386&gt;0)+01_Parametres!$B$5*(E1386&gt;0)+01_Parametres!$B$6*(F1386&gt;0))=0,"",(01_Parametres!$B$4*IF(D1386&gt;0,D1386,0)+01_Parametres!$B$5*IF(E1386&gt;0,E1386,0)+01_Parametres!$B$6*IF(F1386&gt;0,F1386,0))/(01_Parametres!$B$4*(D1386&gt;0)+01_Parametres!$B$5*(E1386&gt;0)+01_Parametres!$B$6*(F1386&gt;0))),IF(01_Parametres!$B$8=0,"",(01_Parametres!$B$4*D1386+01_Parametres!$B$5*E1386+01_Parametres!$B$6*F1386)/01_Parametres!$B$8)))</x:f>
      </x:c>
      <x:c r="H1386">
        <x:f>IFERROR(VLOOKUP(C1386,02_Referentiels!$A$20:$D$99,3,FALSE),"")</x:f>
      </x:c>
      <x:c r="I1386">
        <x:f>IFERROR(VLOOKUP(B1386,02_Referentiels!$A$5:$C$16,2,FALSE),"")</x:f>
      </x:c>
      <x:c r="J1386">
        <x:f>IF(A1386="","",IF(OR(D1386="",E1386="",F1386=""),1,IF(OR(D1386&lt;0,D1386&gt;3,E1386&lt;0,E1386&gt;3,F1386&lt;0,F1386&gt;3),1,0)))</x:f>
      </x:c>
      <x:c r="K1386">
        <x:f>IF(A1386="","",IF(G1386="",1,0))</x:f>
      </x:c>
      <x:c r="L1386">
        <x:f>IF(A1386="","",IF(COUNTIFS($A$5:$A$2004,A1386,$C$5:$C$2004,C1386)&gt;1,1,0))</x:f>
      </x:c>
    </x:row>
    <x:row r="1387">
      <x:c r="A1387" s="8" t="n"/>
      <x:c r="B1387" s="8" t="n"/>
      <x:c r="C1387" s="8" t="n"/>
      <x:c r="D1387" s="8" t="n"/>
      <x:c r="E1387" s="8" t="n"/>
      <x:c r="F1387" s="8" t="n"/>
      <x:c r="G1387" s="7">
        <x:f>IF(A1387="","",IF(01_Parametres!$B$11="Oui",IF((01_Parametres!$B$4*(D1387&gt;0)+01_Parametres!$B$5*(E1387&gt;0)+01_Parametres!$B$6*(F1387&gt;0))=0,"",(01_Parametres!$B$4*IF(D1387&gt;0,D1387,0)+01_Parametres!$B$5*IF(E1387&gt;0,E1387,0)+01_Parametres!$B$6*IF(F1387&gt;0,F1387,0))/(01_Parametres!$B$4*(D1387&gt;0)+01_Parametres!$B$5*(E1387&gt;0)+01_Parametres!$B$6*(F1387&gt;0))),IF(01_Parametres!$B$8=0,"",(01_Parametres!$B$4*D1387+01_Parametres!$B$5*E1387+01_Parametres!$B$6*F1387)/01_Parametres!$B$8)))</x:f>
      </x:c>
      <x:c r="H1387">
        <x:f>IFERROR(VLOOKUP(C1387,02_Referentiels!$A$20:$D$99,3,FALSE),"")</x:f>
      </x:c>
      <x:c r="I1387">
        <x:f>IFERROR(VLOOKUP(B1387,02_Referentiels!$A$5:$C$16,2,FALSE),"")</x:f>
      </x:c>
      <x:c r="J1387">
        <x:f>IF(A1387="","",IF(OR(D1387="",E1387="",F1387=""),1,IF(OR(D1387&lt;0,D1387&gt;3,E1387&lt;0,E1387&gt;3,F1387&lt;0,F1387&gt;3),1,0)))</x:f>
      </x:c>
      <x:c r="K1387">
        <x:f>IF(A1387="","",IF(G1387="",1,0))</x:f>
      </x:c>
      <x:c r="L1387">
        <x:f>IF(A1387="","",IF(COUNTIFS($A$5:$A$2004,A1387,$C$5:$C$2004,C1387)&gt;1,1,0))</x:f>
      </x:c>
    </x:row>
    <x:row r="1388">
      <x:c r="A1388" s="8" t="n"/>
      <x:c r="B1388" s="8" t="n"/>
      <x:c r="C1388" s="8" t="n"/>
      <x:c r="D1388" s="8" t="n"/>
      <x:c r="E1388" s="8" t="n"/>
      <x:c r="F1388" s="8" t="n"/>
      <x:c r="G1388" s="7">
        <x:f>IF(A1388="","",IF(01_Parametres!$B$11="Oui",IF((01_Parametres!$B$4*(D1388&gt;0)+01_Parametres!$B$5*(E1388&gt;0)+01_Parametres!$B$6*(F1388&gt;0))=0,"",(01_Parametres!$B$4*IF(D1388&gt;0,D1388,0)+01_Parametres!$B$5*IF(E1388&gt;0,E1388,0)+01_Parametres!$B$6*IF(F1388&gt;0,F1388,0))/(01_Parametres!$B$4*(D1388&gt;0)+01_Parametres!$B$5*(E1388&gt;0)+01_Parametres!$B$6*(F1388&gt;0))),IF(01_Parametres!$B$8=0,"",(01_Parametres!$B$4*D1388+01_Parametres!$B$5*E1388+01_Parametres!$B$6*F1388)/01_Parametres!$B$8)))</x:f>
      </x:c>
      <x:c r="H1388">
        <x:f>IFERROR(VLOOKUP(C1388,02_Referentiels!$A$20:$D$99,3,FALSE),"")</x:f>
      </x:c>
      <x:c r="I1388">
        <x:f>IFERROR(VLOOKUP(B1388,02_Referentiels!$A$5:$C$16,2,FALSE),"")</x:f>
      </x:c>
      <x:c r="J1388">
        <x:f>IF(A1388="","",IF(OR(D1388="",E1388="",F1388=""),1,IF(OR(D1388&lt;0,D1388&gt;3,E1388&lt;0,E1388&gt;3,F1388&lt;0,F1388&gt;3),1,0)))</x:f>
      </x:c>
      <x:c r="K1388">
        <x:f>IF(A1388="","",IF(G1388="",1,0))</x:f>
      </x:c>
      <x:c r="L1388">
        <x:f>IF(A1388="","",IF(COUNTIFS($A$5:$A$2004,A1388,$C$5:$C$2004,C1388)&gt;1,1,0))</x:f>
      </x:c>
    </x:row>
    <x:row r="1389">
      <x:c r="A1389" s="8" t="n"/>
      <x:c r="B1389" s="8" t="n"/>
      <x:c r="C1389" s="8" t="n"/>
      <x:c r="D1389" s="8" t="n"/>
      <x:c r="E1389" s="8" t="n"/>
      <x:c r="F1389" s="8" t="n"/>
      <x:c r="G1389" s="7">
        <x:f>IF(A1389="","",IF(01_Parametres!$B$11="Oui",IF((01_Parametres!$B$4*(D1389&gt;0)+01_Parametres!$B$5*(E1389&gt;0)+01_Parametres!$B$6*(F1389&gt;0))=0,"",(01_Parametres!$B$4*IF(D1389&gt;0,D1389,0)+01_Parametres!$B$5*IF(E1389&gt;0,E1389,0)+01_Parametres!$B$6*IF(F1389&gt;0,F1389,0))/(01_Parametres!$B$4*(D1389&gt;0)+01_Parametres!$B$5*(E1389&gt;0)+01_Parametres!$B$6*(F1389&gt;0))),IF(01_Parametres!$B$8=0,"",(01_Parametres!$B$4*D1389+01_Parametres!$B$5*E1389+01_Parametres!$B$6*F1389)/01_Parametres!$B$8)))</x:f>
      </x:c>
      <x:c r="H1389">
        <x:f>IFERROR(VLOOKUP(C1389,02_Referentiels!$A$20:$D$99,3,FALSE),"")</x:f>
      </x:c>
      <x:c r="I1389">
        <x:f>IFERROR(VLOOKUP(B1389,02_Referentiels!$A$5:$C$16,2,FALSE),"")</x:f>
      </x:c>
      <x:c r="J1389">
        <x:f>IF(A1389="","",IF(OR(D1389="",E1389="",F1389=""),1,IF(OR(D1389&lt;0,D1389&gt;3,E1389&lt;0,E1389&gt;3,F1389&lt;0,F1389&gt;3),1,0)))</x:f>
      </x:c>
      <x:c r="K1389">
        <x:f>IF(A1389="","",IF(G1389="",1,0))</x:f>
      </x:c>
      <x:c r="L1389">
        <x:f>IF(A1389="","",IF(COUNTIFS($A$5:$A$2004,A1389,$C$5:$C$2004,C1389)&gt;1,1,0))</x:f>
      </x:c>
    </x:row>
    <x:row r="1390">
      <x:c r="A1390" s="8" t="n"/>
      <x:c r="B1390" s="8" t="n"/>
      <x:c r="C1390" s="8" t="n"/>
      <x:c r="D1390" s="8" t="n"/>
      <x:c r="E1390" s="8" t="n"/>
      <x:c r="F1390" s="8" t="n"/>
      <x:c r="G1390" s="7">
        <x:f>IF(A1390="","",IF(01_Parametres!$B$11="Oui",IF((01_Parametres!$B$4*(D1390&gt;0)+01_Parametres!$B$5*(E1390&gt;0)+01_Parametres!$B$6*(F1390&gt;0))=0,"",(01_Parametres!$B$4*IF(D1390&gt;0,D1390,0)+01_Parametres!$B$5*IF(E1390&gt;0,E1390,0)+01_Parametres!$B$6*IF(F1390&gt;0,F1390,0))/(01_Parametres!$B$4*(D1390&gt;0)+01_Parametres!$B$5*(E1390&gt;0)+01_Parametres!$B$6*(F1390&gt;0))),IF(01_Parametres!$B$8=0,"",(01_Parametres!$B$4*D1390+01_Parametres!$B$5*E1390+01_Parametres!$B$6*F1390)/01_Parametres!$B$8)))</x:f>
      </x:c>
      <x:c r="H1390">
        <x:f>IFERROR(VLOOKUP(C1390,02_Referentiels!$A$20:$D$99,3,FALSE),"")</x:f>
      </x:c>
      <x:c r="I1390">
        <x:f>IFERROR(VLOOKUP(B1390,02_Referentiels!$A$5:$C$16,2,FALSE),"")</x:f>
      </x:c>
      <x:c r="J1390">
        <x:f>IF(A1390="","",IF(OR(D1390="",E1390="",F1390=""),1,IF(OR(D1390&lt;0,D1390&gt;3,E1390&lt;0,E1390&gt;3,F1390&lt;0,F1390&gt;3),1,0)))</x:f>
      </x:c>
      <x:c r="K1390">
        <x:f>IF(A1390="","",IF(G1390="",1,0))</x:f>
      </x:c>
      <x:c r="L1390">
        <x:f>IF(A1390="","",IF(COUNTIFS($A$5:$A$2004,A1390,$C$5:$C$2004,C1390)&gt;1,1,0))</x:f>
      </x:c>
    </x:row>
    <x:row r="1391">
      <x:c r="A1391" s="8" t="n"/>
      <x:c r="B1391" s="8" t="n"/>
      <x:c r="C1391" s="8" t="n"/>
      <x:c r="D1391" s="8" t="n"/>
      <x:c r="E1391" s="8" t="n"/>
      <x:c r="F1391" s="8" t="n"/>
      <x:c r="G1391" s="7">
        <x:f>IF(A1391="","",IF(01_Parametres!$B$11="Oui",IF((01_Parametres!$B$4*(D1391&gt;0)+01_Parametres!$B$5*(E1391&gt;0)+01_Parametres!$B$6*(F1391&gt;0))=0,"",(01_Parametres!$B$4*IF(D1391&gt;0,D1391,0)+01_Parametres!$B$5*IF(E1391&gt;0,E1391,0)+01_Parametres!$B$6*IF(F1391&gt;0,F1391,0))/(01_Parametres!$B$4*(D1391&gt;0)+01_Parametres!$B$5*(E1391&gt;0)+01_Parametres!$B$6*(F1391&gt;0))),IF(01_Parametres!$B$8=0,"",(01_Parametres!$B$4*D1391+01_Parametres!$B$5*E1391+01_Parametres!$B$6*F1391)/01_Parametres!$B$8)))</x:f>
      </x:c>
      <x:c r="H1391">
        <x:f>IFERROR(VLOOKUP(C1391,02_Referentiels!$A$20:$D$99,3,FALSE),"")</x:f>
      </x:c>
      <x:c r="I1391">
        <x:f>IFERROR(VLOOKUP(B1391,02_Referentiels!$A$5:$C$16,2,FALSE),"")</x:f>
      </x:c>
      <x:c r="J1391">
        <x:f>IF(A1391="","",IF(OR(D1391="",E1391="",F1391=""),1,IF(OR(D1391&lt;0,D1391&gt;3,E1391&lt;0,E1391&gt;3,F1391&lt;0,F1391&gt;3),1,0)))</x:f>
      </x:c>
      <x:c r="K1391">
        <x:f>IF(A1391="","",IF(G1391="",1,0))</x:f>
      </x:c>
      <x:c r="L1391">
        <x:f>IF(A1391="","",IF(COUNTIFS($A$5:$A$2004,A1391,$C$5:$C$2004,C1391)&gt;1,1,0))</x:f>
      </x:c>
    </x:row>
    <x:row r="1392">
      <x:c r="A1392" s="8" t="n"/>
      <x:c r="B1392" s="8" t="n"/>
      <x:c r="C1392" s="8" t="n"/>
      <x:c r="D1392" s="8" t="n"/>
      <x:c r="E1392" s="8" t="n"/>
      <x:c r="F1392" s="8" t="n"/>
      <x:c r="G1392" s="7">
        <x:f>IF(A1392="","",IF(01_Parametres!$B$11="Oui",IF((01_Parametres!$B$4*(D1392&gt;0)+01_Parametres!$B$5*(E1392&gt;0)+01_Parametres!$B$6*(F1392&gt;0))=0,"",(01_Parametres!$B$4*IF(D1392&gt;0,D1392,0)+01_Parametres!$B$5*IF(E1392&gt;0,E1392,0)+01_Parametres!$B$6*IF(F1392&gt;0,F1392,0))/(01_Parametres!$B$4*(D1392&gt;0)+01_Parametres!$B$5*(E1392&gt;0)+01_Parametres!$B$6*(F1392&gt;0))),IF(01_Parametres!$B$8=0,"",(01_Parametres!$B$4*D1392+01_Parametres!$B$5*E1392+01_Parametres!$B$6*F1392)/01_Parametres!$B$8)))</x:f>
      </x:c>
      <x:c r="H1392">
        <x:f>IFERROR(VLOOKUP(C1392,02_Referentiels!$A$20:$D$99,3,FALSE),"")</x:f>
      </x:c>
      <x:c r="I1392">
        <x:f>IFERROR(VLOOKUP(B1392,02_Referentiels!$A$5:$C$16,2,FALSE),"")</x:f>
      </x:c>
      <x:c r="J1392">
        <x:f>IF(A1392="","",IF(OR(D1392="",E1392="",F1392=""),1,IF(OR(D1392&lt;0,D1392&gt;3,E1392&lt;0,E1392&gt;3,F1392&lt;0,F1392&gt;3),1,0)))</x:f>
      </x:c>
      <x:c r="K1392">
        <x:f>IF(A1392="","",IF(G1392="",1,0))</x:f>
      </x:c>
      <x:c r="L1392">
        <x:f>IF(A1392="","",IF(COUNTIFS($A$5:$A$2004,A1392,$C$5:$C$2004,C1392)&gt;1,1,0))</x:f>
      </x:c>
    </x:row>
    <x:row r="1393">
      <x:c r="A1393" s="8" t="n"/>
      <x:c r="B1393" s="8" t="n"/>
      <x:c r="C1393" s="8" t="n"/>
      <x:c r="D1393" s="8" t="n"/>
      <x:c r="E1393" s="8" t="n"/>
      <x:c r="F1393" s="8" t="n"/>
      <x:c r="G1393" s="7">
        <x:f>IF(A1393="","",IF(01_Parametres!$B$11="Oui",IF((01_Parametres!$B$4*(D1393&gt;0)+01_Parametres!$B$5*(E1393&gt;0)+01_Parametres!$B$6*(F1393&gt;0))=0,"",(01_Parametres!$B$4*IF(D1393&gt;0,D1393,0)+01_Parametres!$B$5*IF(E1393&gt;0,E1393,0)+01_Parametres!$B$6*IF(F1393&gt;0,F1393,0))/(01_Parametres!$B$4*(D1393&gt;0)+01_Parametres!$B$5*(E1393&gt;0)+01_Parametres!$B$6*(F1393&gt;0))),IF(01_Parametres!$B$8=0,"",(01_Parametres!$B$4*D1393+01_Parametres!$B$5*E1393+01_Parametres!$B$6*F1393)/01_Parametres!$B$8)))</x:f>
      </x:c>
      <x:c r="H1393">
        <x:f>IFERROR(VLOOKUP(C1393,02_Referentiels!$A$20:$D$99,3,FALSE),"")</x:f>
      </x:c>
      <x:c r="I1393">
        <x:f>IFERROR(VLOOKUP(B1393,02_Referentiels!$A$5:$C$16,2,FALSE),"")</x:f>
      </x:c>
      <x:c r="J1393">
        <x:f>IF(A1393="","",IF(OR(D1393="",E1393="",F1393=""),1,IF(OR(D1393&lt;0,D1393&gt;3,E1393&lt;0,E1393&gt;3,F1393&lt;0,F1393&gt;3),1,0)))</x:f>
      </x:c>
      <x:c r="K1393">
        <x:f>IF(A1393="","",IF(G1393="",1,0))</x:f>
      </x:c>
      <x:c r="L1393">
        <x:f>IF(A1393="","",IF(COUNTIFS($A$5:$A$2004,A1393,$C$5:$C$2004,C1393)&gt;1,1,0))</x:f>
      </x:c>
    </x:row>
    <x:row r="1394">
      <x:c r="A1394" s="8" t="n"/>
      <x:c r="B1394" s="8" t="n"/>
      <x:c r="C1394" s="8" t="n"/>
      <x:c r="D1394" s="8" t="n"/>
      <x:c r="E1394" s="8" t="n"/>
      <x:c r="F1394" s="8" t="n"/>
      <x:c r="G1394" s="7">
        <x:f>IF(A1394="","",IF(01_Parametres!$B$11="Oui",IF((01_Parametres!$B$4*(D1394&gt;0)+01_Parametres!$B$5*(E1394&gt;0)+01_Parametres!$B$6*(F1394&gt;0))=0,"",(01_Parametres!$B$4*IF(D1394&gt;0,D1394,0)+01_Parametres!$B$5*IF(E1394&gt;0,E1394,0)+01_Parametres!$B$6*IF(F1394&gt;0,F1394,0))/(01_Parametres!$B$4*(D1394&gt;0)+01_Parametres!$B$5*(E1394&gt;0)+01_Parametres!$B$6*(F1394&gt;0))),IF(01_Parametres!$B$8=0,"",(01_Parametres!$B$4*D1394+01_Parametres!$B$5*E1394+01_Parametres!$B$6*F1394)/01_Parametres!$B$8)))</x:f>
      </x:c>
      <x:c r="H1394">
        <x:f>IFERROR(VLOOKUP(C1394,02_Referentiels!$A$20:$D$99,3,FALSE),"")</x:f>
      </x:c>
      <x:c r="I1394">
        <x:f>IFERROR(VLOOKUP(B1394,02_Referentiels!$A$5:$C$16,2,FALSE),"")</x:f>
      </x:c>
      <x:c r="J1394">
        <x:f>IF(A1394="","",IF(OR(D1394="",E1394="",F1394=""),1,IF(OR(D1394&lt;0,D1394&gt;3,E1394&lt;0,E1394&gt;3,F1394&lt;0,F1394&gt;3),1,0)))</x:f>
      </x:c>
      <x:c r="K1394">
        <x:f>IF(A1394="","",IF(G1394="",1,0))</x:f>
      </x:c>
      <x:c r="L1394">
        <x:f>IF(A1394="","",IF(COUNTIFS($A$5:$A$2004,A1394,$C$5:$C$2004,C1394)&gt;1,1,0))</x:f>
      </x:c>
    </x:row>
    <x:row r="1395">
      <x:c r="A1395" s="8" t="n"/>
      <x:c r="B1395" s="8" t="n"/>
      <x:c r="C1395" s="8" t="n"/>
      <x:c r="D1395" s="8" t="n"/>
      <x:c r="E1395" s="8" t="n"/>
      <x:c r="F1395" s="8" t="n"/>
      <x:c r="G1395" s="7">
        <x:f>IF(A1395="","",IF(01_Parametres!$B$11="Oui",IF((01_Parametres!$B$4*(D1395&gt;0)+01_Parametres!$B$5*(E1395&gt;0)+01_Parametres!$B$6*(F1395&gt;0))=0,"",(01_Parametres!$B$4*IF(D1395&gt;0,D1395,0)+01_Parametres!$B$5*IF(E1395&gt;0,E1395,0)+01_Parametres!$B$6*IF(F1395&gt;0,F1395,0))/(01_Parametres!$B$4*(D1395&gt;0)+01_Parametres!$B$5*(E1395&gt;0)+01_Parametres!$B$6*(F1395&gt;0))),IF(01_Parametres!$B$8=0,"",(01_Parametres!$B$4*D1395+01_Parametres!$B$5*E1395+01_Parametres!$B$6*F1395)/01_Parametres!$B$8)))</x:f>
      </x:c>
      <x:c r="H1395">
        <x:f>IFERROR(VLOOKUP(C1395,02_Referentiels!$A$20:$D$99,3,FALSE),"")</x:f>
      </x:c>
      <x:c r="I1395">
        <x:f>IFERROR(VLOOKUP(B1395,02_Referentiels!$A$5:$C$16,2,FALSE),"")</x:f>
      </x:c>
      <x:c r="J1395">
        <x:f>IF(A1395="","",IF(OR(D1395="",E1395="",F1395=""),1,IF(OR(D1395&lt;0,D1395&gt;3,E1395&lt;0,E1395&gt;3,F1395&lt;0,F1395&gt;3),1,0)))</x:f>
      </x:c>
      <x:c r="K1395">
        <x:f>IF(A1395="","",IF(G1395="",1,0))</x:f>
      </x:c>
      <x:c r="L1395">
        <x:f>IF(A1395="","",IF(COUNTIFS($A$5:$A$2004,A1395,$C$5:$C$2004,C1395)&gt;1,1,0))</x:f>
      </x:c>
    </x:row>
    <x:row r="1396">
      <x:c r="A1396" s="8" t="n"/>
      <x:c r="B1396" s="8" t="n"/>
      <x:c r="C1396" s="8" t="n"/>
      <x:c r="D1396" s="8" t="n"/>
      <x:c r="E1396" s="8" t="n"/>
      <x:c r="F1396" s="8" t="n"/>
      <x:c r="G1396" s="7">
        <x:f>IF(A1396="","",IF(01_Parametres!$B$11="Oui",IF((01_Parametres!$B$4*(D1396&gt;0)+01_Parametres!$B$5*(E1396&gt;0)+01_Parametres!$B$6*(F1396&gt;0))=0,"",(01_Parametres!$B$4*IF(D1396&gt;0,D1396,0)+01_Parametres!$B$5*IF(E1396&gt;0,E1396,0)+01_Parametres!$B$6*IF(F1396&gt;0,F1396,0))/(01_Parametres!$B$4*(D1396&gt;0)+01_Parametres!$B$5*(E1396&gt;0)+01_Parametres!$B$6*(F1396&gt;0))),IF(01_Parametres!$B$8=0,"",(01_Parametres!$B$4*D1396+01_Parametres!$B$5*E1396+01_Parametres!$B$6*F1396)/01_Parametres!$B$8)))</x:f>
      </x:c>
      <x:c r="H1396">
        <x:f>IFERROR(VLOOKUP(C1396,02_Referentiels!$A$20:$D$99,3,FALSE),"")</x:f>
      </x:c>
      <x:c r="I1396">
        <x:f>IFERROR(VLOOKUP(B1396,02_Referentiels!$A$5:$C$16,2,FALSE),"")</x:f>
      </x:c>
      <x:c r="J1396">
        <x:f>IF(A1396="","",IF(OR(D1396="",E1396="",F1396=""),1,IF(OR(D1396&lt;0,D1396&gt;3,E1396&lt;0,E1396&gt;3,F1396&lt;0,F1396&gt;3),1,0)))</x:f>
      </x:c>
      <x:c r="K1396">
        <x:f>IF(A1396="","",IF(G1396="",1,0))</x:f>
      </x:c>
      <x:c r="L1396">
        <x:f>IF(A1396="","",IF(COUNTIFS($A$5:$A$2004,A1396,$C$5:$C$2004,C1396)&gt;1,1,0))</x:f>
      </x:c>
    </x:row>
    <x:row r="1397">
      <x:c r="A1397" s="8" t="n"/>
      <x:c r="B1397" s="8" t="n"/>
      <x:c r="C1397" s="8" t="n"/>
      <x:c r="D1397" s="8" t="n"/>
      <x:c r="E1397" s="8" t="n"/>
      <x:c r="F1397" s="8" t="n"/>
      <x:c r="G1397" s="7">
        <x:f>IF(A1397="","",IF(01_Parametres!$B$11="Oui",IF((01_Parametres!$B$4*(D1397&gt;0)+01_Parametres!$B$5*(E1397&gt;0)+01_Parametres!$B$6*(F1397&gt;0))=0,"",(01_Parametres!$B$4*IF(D1397&gt;0,D1397,0)+01_Parametres!$B$5*IF(E1397&gt;0,E1397,0)+01_Parametres!$B$6*IF(F1397&gt;0,F1397,0))/(01_Parametres!$B$4*(D1397&gt;0)+01_Parametres!$B$5*(E1397&gt;0)+01_Parametres!$B$6*(F1397&gt;0))),IF(01_Parametres!$B$8=0,"",(01_Parametres!$B$4*D1397+01_Parametres!$B$5*E1397+01_Parametres!$B$6*F1397)/01_Parametres!$B$8)))</x:f>
      </x:c>
      <x:c r="H1397">
        <x:f>IFERROR(VLOOKUP(C1397,02_Referentiels!$A$20:$D$99,3,FALSE),"")</x:f>
      </x:c>
      <x:c r="I1397">
        <x:f>IFERROR(VLOOKUP(B1397,02_Referentiels!$A$5:$C$16,2,FALSE),"")</x:f>
      </x:c>
      <x:c r="J1397">
        <x:f>IF(A1397="","",IF(OR(D1397="",E1397="",F1397=""),1,IF(OR(D1397&lt;0,D1397&gt;3,E1397&lt;0,E1397&gt;3,F1397&lt;0,F1397&gt;3),1,0)))</x:f>
      </x:c>
      <x:c r="K1397">
        <x:f>IF(A1397="","",IF(G1397="",1,0))</x:f>
      </x:c>
      <x:c r="L1397">
        <x:f>IF(A1397="","",IF(COUNTIFS($A$5:$A$2004,A1397,$C$5:$C$2004,C1397)&gt;1,1,0))</x:f>
      </x:c>
    </x:row>
    <x:row r="1398">
      <x:c r="A1398" s="8" t="n"/>
      <x:c r="B1398" s="8" t="n"/>
      <x:c r="C1398" s="8" t="n"/>
      <x:c r="D1398" s="8" t="n"/>
      <x:c r="E1398" s="8" t="n"/>
      <x:c r="F1398" s="8" t="n"/>
      <x:c r="G1398" s="7">
        <x:f>IF(A1398="","",IF(01_Parametres!$B$11="Oui",IF((01_Parametres!$B$4*(D1398&gt;0)+01_Parametres!$B$5*(E1398&gt;0)+01_Parametres!$B$6*(F1398&gt;0))=0,"",(01_Parametres!$B$4*IF(D1398&gt;0,D1398,0)+01_Parametres!$B$5*IF(E1398&gt;0,E1398,0)+01_Parametres!$B$6*IF(F1398&gt;0,F1398,0))/(01_Parametres!$B$4*(D1398&gt;0)+01_Parametres!$B$5*(E1398&gt;0)+01_Parametres!$B$6*(F1398&gt;0))),IF(01_Parametres!$B$8=0,"",(01_Parametres!$B$4*D1398+01_Parametres!$B$5*E1398+01_Parametres!$B$6*F1398)/01_Parametres!$B$8)))</x:f>
      </x:c>
      <x:c r="H1398">
        <x:f>IFERROR(VLOOKUP(C1398,02_Referentiels!$A$20:$D$99,3,FALSE),"")</x:f>
      </x:c>
      <x:c r="I1398">
        <x:f>IFERROR(VLOOKUP(B1398,02_Referentiels!$A$5:$C$16,2,FALSE),"")</x:f>
      </x:c>
      <x:c r="J1398">
        <x:f>IF(A1398="","",IF(OR(D1398="",E1398="",F1398=""),1,IF(OR(D1398&lt;0,D1398&gt;3,E1398&lt;0,E1398&gt;3,F1398&lt;0,F1398&gt;3),1,0)))</x:f>
      </x:c>
      <x:c r="K1398">
        <x:f>IF(A1398="","",IF(G1398="",1,0))</x:f>
      </x:c>
      <x:c r="L1398">
        <x:f>IF(A1398="","",IF(COUNTIFS($A$5:$A$2004,A1398,$C$5:$C$2004,C1398)&gt;1,1,0))</x:f>
      </x:c>
    </x:row>
    <x:row r="1399">
      <x:c r="A1399" s="8" t="n"/>
      <x:c r="B1399" s="8" t="n"/>
      <x:c r="C1399" s="8" t="n"/>
      <x:c r="D1399" s="8" t="n"/>
      <x:c r="E1399" s="8" t="n"/>
      <x:c r="F1399" s="8" t="n"/>
      <x:c r="G1399" s="7">
        <x:f>IF(A1399="","",IF(01_Parametres!$B$11="Oui",IF((01_Parametres!$B$4*(D1399&gt;0)+01_Parametres!$B$5*(E1399&gt;0)+01_Parametres!$B$6*(F1399&gt;0))=0,"",(01_Parametres!$B$4*IF(D1399&gt;0,D1399,0)+01_Parametres!$B$5*IF(E1399&gt;0,E1399,0)+01_Parametres!$B$6*IF(F1399&gt;0,F1399,0))/(01_Parametres!$B$4*(D1399&gt;0)+01_Parametres!$B$5*(E1399&gt;0)+01_Parametres!$B$6*(F1399&gt;0))),IF(01_Parametres!$B$8=0,"",(01_Parametres!$B$4*D1399+01_Parametres!$B$5*E1399+01_Parametres!$B$6*F1399)/01_Parametres!$B$8)))</x:f>
      </x:c>
      <x:c r="H1399">
        <x:f>IFERROR(VLOOKUP(C1399,02_Referentiels!$A$20:$D$99,3,FALSE),"")</x:f>
      </x:c>
      <x:c r="I1399">
        <x:f>IFERROR(VLOOKUP(B1399,02_Referentiels!$A$5:$C$16,2,FALSE),"")</x:f>
      </x:c>
      <x:c r="J1399">
        <x:f>IF(A1399="","",IF(OR(D1399="",E1399="",F1399=""),1,IF(OR(D1399&lt;0,D1399&gt;3,E1399&lt;0,E1399&gt;3,F1399&lt;0,F1399&gt;3),1,0)))</x:f>
      </x:c>
      <x:c r="K1399">
        <x:f>IF(A1399="","",IF(G1399="",1,0))</x:f>
      </x:c>
      <x:c r="L1399">
        <x:f>IF(A1399="","",IF(COUNTIFS($A$5:$A$2004,A1399,$C$5:$C$2004,C1399)&gt;1,1,0))</x:f>
      </x:c>
    </x:row>
    <x:row r="1400">
      <x:c r="A1400" s="8" t="n"/>
      <x:c r="B1400" s="8" t="n"/>
      <x:c r="C1400" s="8" t="n"/>
      <x:c r="D1400" s="8" t="n"/>
      <x:c r="E1400" s="8" t="n"/>
      <x:c r="F1400" s="8" t="n"/>
      <x:c r="G1400" s="7">
        <x:f>IF(A1400="","",IF(01_Parametres!$B$11="Oui",IF((01_Parametres!$B$4*(D1400&gt;0)+01_Parametres!$B$5*(E1400&gt;0)+01_Parametres!$B$6*(F1400&gt;0))=0,"",(01_Parametres!$B$4*IF(D1400&gt;0,D1400,0)+01_Parametres!$B$5*IF(E1400&gt;0,E1400,0)+01_Parametres!$B$6*IF(F1400&gt;0,F1400,0))/(01_Parametres!$B$4*(D1400&gt;0)+01_Parametres!$B$5*(E1400&gt;0)+01_Parametres!$B$6*(F1400&gt;0))),IF(01_Parametres!$B$8=0,"",(01_Parametres!$B$4*D1400+01_Parametres!$B$5*E1400+01_Parametres!$B$6*F1400)/01_Parametres!$B$8)))</x:f>
      </x:c>
      <x:c r="H1400">
        <x:f>IFERROR(VLOOKUP(C1400,02_Referentiels!$A$20:$D$99,3,FALSE),"")</x:f>
      </x:c>
      <x:c r="I1400">
        <x:f>IFERROR(VLOOKUP(B1400,02_Referentiels!$A$5:$C$16,2,FALSE),"")</x:f>
      </x:c>
      <x:c r="J1400">
        <x:f>IF(A1400="","",IF(OR(D1400="",E1400="",F1400=""),1,IF(OR(D1400&lt;0,D1400&gt;3,E1400&lt;0,E1400&gt;3,F1400&lt;0,F1400&gt;3),1,0)))</x:f>
      </x:c>
      <x:c r="K1400">
        <x:f>IF(A1400="","",IF(G1400="",1,0))</x:f>
      </x:c>
      <x:c r="L1400">
        <x:f>IF(A1400="","",IF(COUNTIFS($A$5:$A$2004,A1400,$C$5:$C$2004,C1400)&gt;1,1,0))</x:f>
      </x:c>
    </x:row>
    <x:row r="1401">
      <x:c r="A1401" s="8" t="n"/>
      <x:c r="B1401" s="8" t="n"/>
      <x:c r="C1401" s="8" t="n"/>
      <x:c r="D1401" s="8" t="n"/>
      <x:c r="E1401" s="8" t="n"/>
      <x:c r="F1401" s="8" t="n"/>
      <x:c r="G1401" s="7">
        <x:f>IF(A1401="","",IF(01_Parametres!$B$11="Oui",IF((01_Parametres!$B$4*(D1401&gt;0)+01_Parametres!$B$5*(E1401&gt;0)+01_Parametres!$B$6*(F1401&gt;0))=0,"",(01_Parametres!$B$4*IF(D1401&gt;0,D1401,0)+01_Parametres!$B$5*IF(E1401&gt;0,E1401,0)+01_Parametres!$B$6*IF(F1401&gt;0,F1401,0))/(01_Parametres!$B$4*(D1401&gt;0)+01_Parametres!$B$5*(E1401&gt;0)+01_Parametres!$B$6*(F1401&gt;0))),IF(01_Parametres!$B$8=0,"",(01_Parametres!$B$4*D1401+01_Parametres!$B$5*E1401+01_Parametres!$B$6*F1401)/01_Parametres!$B$8)))</x:f>
      </x:c>
      <x:c r="H1401">
        <x:f>IFERROR(VLOOKUP(C1401,02_Referentiels!$A$20:$D$99,3,FALSE),"")</x:f>
      </x:c>
      <x:c r="I1401">
        <x:f>IFERROR(VLOOKUP(B1401,02_Referentiels!$A$5:$C$16,2,FALSE),"")</x:f>
      </x:c>
      <x:c r="J1401">
        <x:f>IF(A1401="","",IF(OR(D1401="",E1401="",F1401=""),1,IF(OR(D1401&lt;0,D1401&gt;3,E1401&lt;0,E1401&gt;3,F1401&lt;0,F1401&gt;3),1,0)))</x:f>
      </x:c>
      <x:c r="K1401">
        <x:f>IF(A1401="","",IF(G1401="",1,0))</x:f>
      </x:c>
      <x:c r="L1401">
        <x:f>IF(A1401="","",IF(COUNTIFS($A$5:$A$2004,A1401,$C$5:$C$2004,C1401)&gt;1,1,0))</x:f>
      </x:c>
    </x:row>
    <x:row r="1402">
      <x:c r="A1402" s="8" t="n"/>
      <x:c r="B1402" s="8" t="n"/>
      <x:c r="C1402" s="8" t="n"/>
      <x:c r="D1402" s="8" t="n"/>
      <x:c r="E1402" s="8" t="n"/>
      <x:c r="F1402" s="8" t="n"/>
      <x:c r="G1402" s="7">
        <x:f>IF(A1402="","",IF(01_Parametres!$B$11="Oui",IF((01_Parametres!$B$4*(D1402&gt;0)+01_Parametres!$B$5*(E1402&gt;0)+01_Parametres!$B$6*(F1402&gt;0))=0,"",(01_Parametres!$B$4*IF(D1402&gt;0,D1402,0)+01_Parametres!$B$5*IF(E1402&gt;0,E1402,0)+01_Parametres!$B$6*IF(F1402&gt;0,F1402,0))/(01_Parametres!$B$4*(D1402&gt;0)+01_Parametres!$B$5*(E1402&gt;0)+01_Parametres!$B$6*(F1402&gt;0))),IF(01_Parametres!$B$8=0,"",(01_Parametres!$B$4*D1402+01_Parametres!$B$5*E1402+01_Parametres!$B$6*F1402)/01_Parametres!$B$8)))</x:f>
      </x:c>
      <x:c r="H1402">
        <x:f>IFERROR(VLOOKUP(C1402,02_Referentiels!$A$20:$D$99,3,FALSE),"")</x:f>
      </x:c>
      <x:c r="I1402">
        <x:f>IFERROR(VLOOKUP(B1402,02_Referentiels!$A$5:$C$16,2,FALSE),"")</x:f>
      </x:c>
      <x:c r="J1402">
        <x:f>IF(A1402="","",IF(OR(D1402="",E1402="",F1402=""),1,IF(OR(D1402&lt;0,D1402&gt;3,E1402&lt;0,E1402&gt;3,F1402&lt;0,F1402&gt;3),1,0)))</x:f>
      </x:c>
      <x:c r="K1402">
        <x:f>IF(A1402="","",IF(G1402="",1,0))</x:f>
      </x:c>
      <x:c r="L1402">
        <x:f>IF(A1402="","",IF(COUNTIFS($A$5:$A$2004,A1402,$C$5:$C$2004,C1402)&gt;1,1,0))</x:f>
      </x:c>
    </x:row>
    <x:row r="1403">
      <x:c r="A1403" s="8" t="n"/>
      <x:c r="B1403" s="8" t="n"/>
      <x:c r="C1403" s="8" t="n"/>
      <x:c r="D1403" s="8" t="n"/>
      <x:c r="E1403" s="8" t="n"/>
      <x:c r="F1403" s="8" t="n"/>
      <x:c r="G1403" s="7">
        <x:f>IF(A1403="","",IF(01_Parametres!$B$11="Oui",IF((01_Parametres!$B$4*(D1403&gt;0)+01_Parametres!$B$5*(E1403&gt;0)+01_Parametres!$B$6*(F1403&gt;0))=0,"",(01_Parametres!$B$4*IF(D1403&gt;0,D1403,0)+01_Parametres!$B$5*IF(E1403&gt;0,E1403,0)+01_Parametres!$B$6*IF(F1403&gt;0,F1403,0))/(01_Parametres!$B$4*(D1403&gt;0)+01_Parametres!$B$5*(E1403&gt;0)+01_Parametres!$B$6*(F1403&gt;0))),IF(01_Parametres!$B$8=0,"",(01_Parametres!$B$4*D1403+01_Parametres!$B$5*E1403+01_Parametres!$B$6*F1403)/01_Parametres!$B$8)))</x:f>
      </x:c>
      <x:c r="H1403">
        <x:f>IFERROR(VLOOKUP(C1403,02_Referentiels!$A$20:$D$99,3,FALSE),"")</x:f>
      </x:c>
      <x:c r="I1403">
        <x:f>IFERROR(VLOOKUP(B1403,02_Referentiels!$A$5:$C$16,2,FALSE),"")</x:f>
      </x:c>
      <x:c r="J1403">
        <x:f>IF(A1403="","",IF(OR(D1403="",E1403="",F1403=""),1,IF(OR(D1403&lt;0,D1403&gt;3,E1403&lt;0,E1403&gt;3,F1403&lt;0,F1403&gt;3),1,0)))</x:f>
      </x:c>
      <x:c r="K1403">
        <x:f>IF(A1403="","",IF(G1403="",1,0))</x:f>
      </x:c>
      <x:c r="L1403">
        <x:f>IF(A1403="","",IF(COUNTIFS($A$5:$A$2004,A1403,$C$5:$C$2004,C1403)&gt;1,1,0))</x:f>
      </x:c>
    </x:row>
    <x:row r="1404">
      <x:c r="A1404" s="8" t="n"/>
      <x:c r="B1404" s="8" t="n"/>
      <x:c r="C1404" s="8" t="n"/>
      <x:c r="D1404" s="8" t="n"/>
      <x:c r="E1404" s="8" t="n"/>
      <x:c r="F1404" s="8" t="n"/>
      <x:c r="G1404" s="7">
        <x:f>IF(A1404="","",IF(01_Parametres!$B$11="Oui",IF((01_Parametres!$B$4*(D1404&gt;0)+01_Parametres!$B$5*(E1404&gt;0)+01_Parametres!$B$6*(F1404&gt;0))=0,"",(01_Parametres!$B$4*IF(D1404&gt;0,D1404,0)+01_Parametres!$B$5*IF(E1404&gt;0,E1404,0)+01_Parametres!$B$6*IF(F1404&gt;0,F1404,0))/(01_Parametres!$B$4*(D1404&gt;0)+01_Parametres!$B$5*(E1404&gt;0)+01_Parametres!$B$6*(F1404&gt;0))),IF(01_Parametres!$B$8=0,"",(01_Parametres!$B$4*D1404+01_Parametres!$B$5*E1404+01_Parametres!$B$6*F1404)/01_Parametres!$B$8)))</x:f>
      </x:c>
      <x:c r="H1404">
        <x:f>IFERROR(VLOOKUP(C1404,02_Referentiels!$A$20:$D$99,3,FALSE),"")</x:f>
      </x:c>
      <x:c r="I1404">
        <x:f>IFERROR(VLOOKUP(B1404,02_Referentiels!$A$5:$C$16,2,FALSE),"")</x:f>
      </x:c>
      <x:c r="J1404">
        <x:f>IF(A1404="","",IF(OR(D1404="",E1404="",F1404=""),1,IF(OR(D1404&lt;0,D1404&gt;3,E1404&lt;0,E1404&gt;3,F1404&lt;0,F1404&gt;3),1,0)))</x:f>
      </x:c>
      <x:c r="K1404">
        <x:f>IF(A1404="","",IF(G1404="",1,0))</x:f>
      </x:c>
      <x:c r="L1404">
        <x:f>IF(A1404="","",IF(COUNTIFS($A$5:$A$2004,A1404,$C$5:$C$2004,C1404)&gt;1,1,0))</x:f>
      </x:c>
    </x:row>
    <x:row r="1405">
      <x:c r="A1405" s="8" t="n"/>
      <x:c r="B1405" s="8" t="n"/>
      <x:c r="C1405" s="8" t="n"/>
      <x:c r="D1405" s="8" t="n"/>
      <x:c r="E1405" s="8" t="n"/>
      <x:c r="F1405" s="8" t="n"/>
      <x:c r="G1405" s="7">
        <x:f>IF(A1405="","",IF(01_Parametres!$B$11="Oui",IF((01_Parametres!$B$4*(D1405&gt;0)+01_Parametres!$B$5*(E1405&gt;0)+01_Parametres!$B$6*(F1405&gt;0))=0,"",(01_Parametres!$B$4*IF(D1405&gt;0,D1405,0)+01_Parametres!$B$5*IF(E1405&gt;0,E1405,0)+01_Parametres!$B$6*IF(F1405&gt;0,F1405,0))/(01_Parametres!$B$4*(D1405&gt;0)+01_Parametres!$B$5*(E1405&gt;0)+01_Parametres!$B$6*(F1405&gt;0))),IF(01_Parametres!$B$8=0,"",(01_Parametres!$B$4*D1405+01_Parametres!$B$5*E1405+01_Parametres!$B$6*F1405)/01_Parametres!$B$8)))</x:f>
      </x:c>
      <x:c r="H1405">
        <x:f>IFERROR(VLOOKUP(C1405,02_Referentiels!$A$20:$D$99,3,FALSE),"")</x:f>
      </x:c>
      <x:c r="I1405">
        <x:f>IFERROR(VLOOKUP(B1405,02_Referentiels!$A$5:$C$16,2,FALSE),"")</x:f>
      </x:c>
      <x:c r="J1405">
        <x:f>IF(A1405="","",IF(OR(D1405="",E1405="",F1405=""),1,IF(OR(D1405&lt;0,D1405&gt;3,E1405&lt;0,E1405&gt;3,F1405&lt;0,F1405&gt;3),1,0)))</x:f>
      </x:c>
      <x:c r="K1405">
        <x:f>IF(A1405="","",IF(G1405="",1,0))</x:f>
      </x:c>
      <x:c r="L1405">
        <x:f>IF(A1405="","",IF(COUNTIFS($A$5:$A$2004,A1405,$C$5:$C$2004,C1405)&gt;1,1,0))</x:f>
      </x:c>
    </x:row>
    <x:row r="1406">
      <x:c r="A1406" s="8" t="n"/>
      <x:c r="B1406" s="8" t="n"/>
      <x:c r="C1406" s="8" t="n"/>
      <x:c r="D1406" s="8" t="n"/>
      <x:c r="E1406" s="8" t="n"/>
      <x:c r="F1406" s="8" t="n"/>
      <x:c r="G1406" s="7">
        <x:f>IF(A1406="","",IF(01_Parametres!$B$11="Oui",IF((01_Parametres!$B$4*(D1406&gt;0)+01_Parametres!$B$5*(E1406&gt;0)+01_Parametres!$B$6*(F1406&gt;0))=0,"",(01_Parametres!$B$4*IF(D1406&gt;0,D1406,0)+01_Parametres!$B$5*IF(E1406&gt;0,E1406,0)+01_Parametres!$B$6*IF(F1406&gt;0,F1406,0))/(01_Parametres!$B$4*(D1406&gt;0)+01_Parametres!$B$5*(E1406&gt;0)+01_Parametres!$B$6*(F1406&gt;0))),IF(01_Parametres!$B$8=0,"",(01_Parametres!$B$4*D1406+01_Parametres!$B$5*E1406+01_Parametres!$B$6*F1406)/01_Parametres!$B$8)))</x:f>
      </x:c>
      <x:c r="H1406">
        <x:f>IFERROR(VLOOKUP(C1406,02_Referentiels!$A$20:$D$99,3,FALSE),"")</x:f>
      </x:c>
      <x:c r="I1406">
        <x:f>IFERROR(VLOOKUP(B1406,02_Referentiels!$A$5:$C$16,2,FALSE),"")</x:f>
      </x:c>
      <x:c r="J1406">
        <x:f>IF(A1406="","",IF(OR(D1406="",E1406="",F1406=""),1,IF(OR(D1406&lt;0,D1406&gt;3,E1406&lt;0,E1406&gt;3,F1406&lt;0,F1406&gt;3),1,0)))</x:f>
      </x:c>
      <x:c r="K1406">
        <x:f>IF(A1406="","",IF(G1406="",1,0))</x:f>
      </x:c>
      <x:c r="L1406">
        <x:f>IF(A1406="","",IF(COUNTIFS($A$5:$A$2004,A1406,$C$5:$C$2004,C1406)&gt;1,1,0))</x:f>
      </x:c>
    </x:row>
    <x:row r="1407">
      <x:c r="A1407" s="8" t="n"/>
      <x:c r="B1407" s="8" t="n"/>
      <x:c r="C1407" s="8" t="n"/>
      <x:c r="D1407" s="8" t="n"/>
      <x:c r="E1407" s="8" t="n"/>
      <x:c r="F1407" s="8" t="n"/>
      <x:c r="G1407" s="7">
        <x:f>IF(A1407="","",IF(01_Parametres!$B$11="Oui",IF((01_Parametres!$B$4*(D1407&gt;0)+01_Parametres!$B$5*(E1407&gt;0)+01_Parametres!$B$6*(F1407&gt;0))=0,"",(01_Parametres!$B$4*IF(D1407&gt;0,D1407,0)+01_Parametres!$B$5*IF(E1407&gt;0,E1407,0)+01_Parametres!$B$6*IF(F1407&gt;0,F1407,0))/(01_Parametres!$B$4*(D1407&gt;0)+01_Parametres!$B$5*(E1407&gt;0)+01_Parametres!$B$6*(F1407&gt;0))),IF(01_Parametres!$B$8=0,"",(01_Parametres!$B$4*D1407+01_Parametres!$B$5*E1407+01_Parametres!$B$6*F1407)/01_Parametres!$B$8)))</x:f>
      </x:c>
      <x:c r="H1407">
        <x:f>IFERROR(VLOOKUP(C1407,02_Referentiels!$A$20:$D$99,3,FALSE),"")</x:f>
      </x:c>
      <x:c r="I1407">
        <x:f>IFERROR(VLOOKUP(B1407,02_Referentiels!$A$5:$C$16,2,FALSE),"")</x:f>
      </x:c>
      <x:c r="J1407">
        <x:f>IF(A1407="","",IF(OR(D1407="",E1407="",F1407=""),1,IF(OR(D1407&lt;0,D1407&gt;3,E1407&lt;0,E1407&gt;3,F1407&lt;0,F1407&gt;3),1,0)))</x:f>
      </x:c>
      <x:c r="K1407">
        <x:f>IF(A1407="","",IF(G1407="",1,0))</x:f>
      </x:c>
      <x:c r="L1407">
        <x:f>IF(A1407="","",IF(COUNTIFS($A$5:$A$2004,A1407,$C$5:$C$2004,C1407)&gt;1,1,0))</x:f>
      </x:c>
    </x:row>
    <x:row r="1408">
      <x:c r="A1408" s="8" t="n"/>
      <x:c r="B1408" s="8" t="n"/>
      <x:c r="C1408" s="8" t="n"/>
      <x:c r="D1408" s="8" t="n"/>
      <x:c r="E1408" s="8" t="n"/>
      <x:c r="F1408" s="8" t="n"/>
      <x:c r="G1408" s="7">
        <x:f>IF(A1408="","",IF(01_Parametres!$B$11="Oui",IF((01_Parametres!$B$4*(D1408&gt;0)+01_Parametres!$B$5*(E1408&gt;0)+01_Parametres!$B$6*(F1408&gt;0))=0,"",(01_Parametres!$B$4*IF(D1408&gt;0,D1408,0)+01_Parametres!$B$5*IF(E1408&gt;0,E1408,0)+01_Parametres!$B$6*IF(F1408&gt;0,F1408,0))/(01_Parametres!$B$4*(D1408&gt;0)+01_Parametres!$B$5*(E1408&gt;0)+01_Parametres!$B$6*(F1408&gt;0))),IF(01_Parametres!$B$8=0,"",(01_Parametres!$B$4*D1408+01_Parametres!$B$5*E1408+01_Parametres!$B$6*F1408)/01_Parametres!$B$8)))</x:f>
      </x:c>
      <x:c r="H1408">
        <x:f>IFERROR(VLOOKUP(C1408,02_Referentiels!$A$20:$D$99,3,FALSE),"")</x:f>
      </x:c>
      <x:c r="I1408">
        <x:f>IFERROR(VLOOKUP(B1408,02_Referentiels!$A$5:$C$16,2,FALSE),"")</x:f>
      </x:c>
      <x:c r="J1408">
        <x:f>IF(A1408="","",IF(OR(D1408="",E1408="",F1408=""),1,IF(OR(D1408&lt;0,D1408&gt;3,E1408&lt;0,E1408&gt;3,F1408&lt;0,F1408&gt;3),1,0)))</x:f>
      </x:c>
      <x:c r="K1408">
        <x:f>IF(A1408="","",IF(G1408="",1,0))</x:f>
      </x:c>
      <x:c r="L1408">
        <x:f>IF(A1408="","",IF(COUNTIFS($A$5:$A$2004,A1408,$C$5:$C$2004,C1408)&gt;1,1,0))</x:f>
      </x:c>
    </x:row>
    <x:row r="1409">
      <x:c r="A1409" s="8" t="n"/>
      <x:c r="B1409" s="8" t="n"/>
      <x:c r="C1409" s="8" t="n"/>
      <x:c r="D1409" s="8" t="n"/>
      <x:c r="E1409" s="8" t="n"/>
      <x:c r="F1409" s="8" t="n"/>
      <x:c r="G1409" s="7">
        <x:f>IF(A1409="","",IF(01_Parametres!$B$11="Oui",IF((01_Parametres!$B$4*(D1409&gt;0)+01_Parametres!$B$5*(E1409&gt;0)+01_Parametres!$B$6*(F1409&gt;0))=0,"",(01_Parametres!$B$4*IF(D1409&gt;0,D1409,0)+01_Parametres!$B$5*IF(E1409&gt;0,E1409,0)+01_Parametres!$B$6*IF(F1409&gt;0,F1409,0))/(01_Parametres!$B$4*(D1409&gt;0)+01_Parametres!$B$5*(E1409&gt;0)+01_Parametres!$B$6*(F1409&gt;0))),IF(01_Parametres!$B$8=0,"",(01_Parametres!$B$4*D1409+01_Parametres!$B$5*E1409+01_Parametres!$B$6*F1409)/01_Parametres!$B$8)))</x:f>
      </x:c>
      <x:c r="H1409">
        <x:f>IFERROR(VLOOKUP(C1409,02_Referentiels!$A$20:$D$99,3,FALSE),"")</x:f>
      </x:c>
      <x:c r="I1409">
        <x:f>IFERROR(VLOOKUP(B1409,02_Referentiels!$A$5:$C$16,2,FALSE),"")</x:f>
      </x:c>
      <x:c r="J1409">
        <x:f>IF(A1409="","",IF(OR(D1409="",E1409="",F1409=""),1,IF(OR(D1409&lt;0,D1409&gt;3,E1409&lt;0,E1409&gt;3,F1409&lt;0,F1409&gt;3),1,0)))</x:f>
      </x:c>
      <x:c r="K1409">
        <x:f>IF(A1409="","",IF(G1409="",1,0))</x:f>
      </x:c>
      <x:c r="L1409">
        <x:f>IF(A1409="","",IF(COUNTIFS($A$5:$A$2004,A1409,$C$5:$C$2004,C1409)&gt;1,1,0))</x:f>
      </x:c>
    </x:row>
    <x:row r="1410">
      <x:c r="A1410" s="8" t="n"/>
      <x:c r="B1410" s="8" t="n"/>
      <x:c r="C1410" s="8" t="n"/>
      <x:c r="D1410" s="8" t="n"/>
      <x:c r="E1410" s="8" t="n"/>
      <x:c r="F1410" s="8" t="n"/>
      <x:c r="G1410" s="7">
        <x:f>IF(A1410="","",IF(01_Parametres!$B$11="Oui",IF((01_Parametres!$B$4*(D1410&gt;0)+01_Parametres!$B$5*(E1410&gt;0)+01_Parametres!$B$6*(F1410&gt;0))=0,"",(01_Parametres!$B$4*IF(D1410&gt;0,D1410,0)+01_Parametres!$B$5*IF(E1410&gt;0,E1410,0)+01_Parametres!$B$6*IF(F1410&gt;0,F1410,0))/(01_Parametres!$B$4*(D1410&gt;0)+01_Parametres!$B$5*(E1410&gt;0)+01_Parametres!$B$6*(F1410&gt;0))),IF(01_Parametres!$B$8=0,"",(01_Parametres!$B$4*D1410+01_Parametres!$B$5*E1410+01_Parametres!$B$6*F1410)/01_Parametres!$B$8)))</x:f>
      </x:c>
      <x:c r="H1410">
        <x:f>IFERROR(VLOOKUP(C1410,02_Referentiels!$A$20:$D$99,3,FALSE),"")</x:f>
      </x:c>
      <x:c r="I1410">
        <x:f>IFERROR(VLOOKUP(B1410,02_Referentiels!$A$5:$C$16,2,FALSE),"")</x:f>
      </x:c>
      <x:c r="J1410">
        <x:f>IF(A1410="","",IF(OR(D1410="",E1410="",F1410=""),1,IF(OR(D1410&lt;0,D1410&gt;3,E1410&lt;0,E1410&gt;3,F1410&lt;0,F1410&gt;3),1,0)))</x:f>
      </x:c>
      <x:c r="K1410">
        <x:f>IF(A1410="","",IF(G1410="",1,0))</x:f>
      </x:c>
      <x:c r="L1410">
        <x:f>IF(A1410="","",IF(COUNTIFS($A$5:$A$2004,A1410,$C$5:$C$2004,C1410)&gt;1,1,0))</x:f>
      </x:c>
    </x:row>
    <x:row r="1411">
      <x:c r="A1411" s="8" t="n"/>
      <x:c r="B1411" s="8" t="n"/>
      <x:c r="C1411" s="8" t="n"/>
      <x:c r="D1411" s="8" t="n"/>
      <x:c r="E1411" s="8" t="n"/>
      <x:c r="F1411" s="8" t="n"/>
      <x:c r="G1411" s="7">
        <x:f>IF(A1411="","",IF(01_Parametres!$B$11="Oui",IF((01_Parametres!$B$4*(D1411&gt;0)+01_Parametres!$B$5*(E1411&gt;0)+01_Parametres!$B$6*(F1411&gt;0))=0,"",(01_Parametres!$B$4*IF(D1411&gt;0,D1411,0)+01_Parametres!$B$5*IF(E1411&gt;0,E1411,0)+01_Parametres!$B$6*IF(F1411&gt;0,F1411,0))/(01_Parametres!$B$4*(D1411&gt;0)+01_Parametres!$B$5*(E1411&gt;0)+01_Parametres!$B$6*(F1411&gt;0))),IF(01_Parametres!$B$8=0,"",(01_Parametres!$B$4*D1411+01_Parametres!$B$5*E1411+01_Parametres!$B$6*F1411)/01_Parametres!$B$8)))</x:f>
      </x:c>
      <x:c r="H1411">
        <x:f>IFERROR(VLOOKUP(C1411,02_Referentiels!$A$20:$D$99,3,FALSE),"")</x:f>
      </x:c>
      <x:c r="I1411">
        <x:f>IFERROR(VLOOKUP(B1411,02_Referentiels!$A$5:$C$16,2,FALSE),"")</x:f>
      </x:c>
      <x:c r="J1411">
        <x:f>IF(A1411="","",IF(OR(D1411="",E1411="",F1411=""),1,IF(OR(D1411&lt;0,D1411&gt;3,E1411&lt;0,E1411&gt;3,F1411&lt;0,F1411&gt;3),1,0)))</x:f>
      </x:c>
      <x:c r="K1411">
        <x:f>IF(A1411="","",IF(G1411="",1,0))</x:f>
      </x:c>
      <x:c r="L1411">
        <x:f>IF(A1411="","",IF(COUNTIFS($A$5:$A$2004,A1411,$C$5:$C$2004,C1411)&gt;1,1,0))</x:f>
      </x:c>
    </x:row>
    <x:row r="1412">
      <x:c r="A1412" s="8" t="n"/>
      <x:c r="B1412" s="8" t="n"/>
      <x:c r="C1412" s="8" t="n"/>
      <x:c r="D1412" s="8" t="n"/>
      <x:c r="E1412" s="8" t="n"/>
      <x:c r="F1412" s="8" t="n"/>
      <x:c r="G1412" s="7">
        <x:f>IF(A1412="","",IF(01_Parametres!$B$11="Oui",IF((01_Parametres!$B$4*(D1412&gt;0)+01_Parametres!$B$5*(E1412&gt;0)+01_Parametres!$B$6*(F1412&gt;0))=0,"",(01_Parametres!$B$4*IF(D1412&gt;0,D1412,0)+01_Parametres!$B$5*IF(E1412&gt;0,E1412,0)+01_Parametres!$B$6*IF(F1412&gt;0,F1412,0))/(01_Parametres!$B$4*(D1412&gt;0)+01_Parametres!$B$5*(E1412&gt;0)+01_Parametres!$B$6*(F1412&gt;0))),IF(01_Parametres!$B$8=0,"",(01_Parametres!$B$4*D1412+01_Parametres!$B$5*E1412+01_Parametres!$B$6*F1412)/01_Parametres!$B$8)))</x:f>
      </x:c>
      <x:c r="H1412">
        <x:f>IFERROR(VLOOKUP(C1412,02_Referentiels!$A$20:$D$99,3,FALSE),"")</x:f>
      </x:c>
      <x:c r="I1412">
        <x:f>IFERROR(VLOOKUP(B1412,02_Referentiels!$A$5:$C$16,2,FALSE),"")</x:f>
      </x:c>
      <x:c r="J1412">
        <x:f>IF(A1412="","",IF(OR(D1412="",E1412="",F1412=""),1,IF(OR(D1412&lt;0,D1412&gt;3,E1412&lt;0,E1412&gt;3,F1412&lt;0,F1412&gt;3),1,0)))</x:f>
      </x:c>
      <x:c r="K1412">
        <x:f>IF(A1412="","",IF(G1412="",1,0))</x:f>
      </x:c>
      <x:c r="L1412">
        <x:f>IF(A1412="","",IF(COUNTIFS($A$5:$A$2004,A1412,$C$5:$C$2004,C1412)&gt;1,1,0))</x:f>
      </x:c>
    </x:row>
    <x:row r="1413">
      <x:c r="A1413" s="8" t="n"/>
      <x:c r="B1413" s="8" t="n"/>
      <x:c r="C1413" s="8" t="n"/>
      <x:c r="D1413" s="8" t="n"/>
      <x:c r="E1413" s="8" t="n"/>
      <x:c r="F1413" s="8" t="n"/>
      <x:c r="G1413" s="7">
        <x:f>IF(A1413="","",IF(01_Parametres!$B$11="Oui",IF((01_Parametres!$B$4*(D1413&gt;0)+01_Parametres!$B$5*(E1413&gt;0)+01_Parametres!$B$6*(F1413&gt;0))=0,"",(01_Parametres!$B$4*IF(D1413&gt;0,D1413,0)+01_Parametres!$B$5*IF(E1413&gt;0,E1413,0)+01_Parametres!$B$6*IF(F1413&gt;0,F1413,0))/(01_Parametres!$B$4*(D1413&gt;0)+01_Parametres!$B$5*(E1413&gt;0)+01_Parametres!$B$6*(F1413&gt;0))),IF(01_Parametres!$B$8=0,"",(01_Parametres!$B$4*D1413+01_Parametres!$B$5*E1413+01_Parametres!$B$6*F1413)/01_Parametres!$B$8)))</x:f>
      </x:c>
      <x:c r="H1413">
        <x:f>IFERROR(VLOOKUP(C1413,02_Referentiels!$A$20:$D$99,3,FALSE),"")</x:f>
      </x:c>
      <x:c r="I1413">
        <x:f>IFERROR(VLOOKUP(B1413,02_Referentiels!$A$5:$C$16,2,FALSE),"")</x:f>
      </x:c>
      <x:c r="J1413">
        <x:f>IF(A1413="","",IF(OR(D1413="",E1413="",F1413=""),1,IF(OR(D1413&lt;0,D1413&gt;3,E1413&lt;0,E1413&gt;3,F1413&lt;0,F1413&gt;3),1,0)))</x:f>
      </x:c>
      <x:c r="K1413">
        <x:f>IF(A1413="","",IF(G1413="",1,0))</x:f>
      </x:c>
      <x:c r="L1413">
        <x:f>IF(A1413="","",IF(COUNTIFS($A$5:$A$2004,A1413,$C$5:$C$2004,C1413)&gt;1,1,0))</x:f>
      </x:c>
    </x:row>
    <x:row r="1414">
      <x:c r="A1414" s="8" t="n"/>
      <x:c r="B1414" s="8" t="n"/>
      <x:c r="C1414" s="8" t="n"/>
      <x:c r="D1414" s="8" t="n"/>
      <x:c r="E1414" s="8" t="n"/>
      <x:c r="F1414" s="8" t="n"/>
      <x:c r="G1414" s="7">
        <x:f>IF(A1414="","",IF(01_Parametres!$B$11="Oui",IF((01_Parametres!$B$4*(D1414&gt;0)+01_Parametres!$B$5*(E1414&gt;0)+01_Parametres!$B$6*(F1414&gt;0))=0,"",(01_Parametres!$B$4*IF(D1414&gt;0,D1414,0)+01_Parametres!$B$5*IF(E1414&gt;0,E1414,0)+01_Parametres!$B$6*IF(F1414&gt;0,F1414,0))/(01_Parametres!$B$4*(D1414&gt;0)+01_Parametres!$B$5*(E1414&gt;0)+01_Parametres!$B$6*(F1414&gt;0))),IF(01_Parametres!$B$8=0,"",(01_Parametres!$B$4*D1414+01_Parametres!$B$5*E1414+01_Parametres!$B$6*F1414)/01_Parametres!$B$8)))</x:f>
      </x:c>
      <x:c r="H1414">
        <x:f>IFERROR(VLOOKUP(C1414,02_Referentiels!$A$20:$D$99,3,FALSE),"")</x:f>
      </x:c>
      <x:c r="I1414">
        <x:f>IFERROR(VLOOKUP(B1414,02_Referentiels!$A$5:$C$16,2,FALSE),"")</x:f>
      </x:c>
      <x:c r="J1414">
        <x:f>IF(A1414="","",IF(OR(D1414="",E1414="",F1414=""),1,IF(OR(D1414&lt;0,D1414&gt;3,E1414&lt;0,E1414&gt;3,F1414&lt;0,F1414&gt;3),1,0)))</x:f>
      </x:c>
      <x:c r="K1414">
        <x:f>IF(A1414="","",IF(G1414="",1,0))</x:f>
      </x:c>
      <x:c r="L1414">
        <x:f>IF(A1414="","",IF(COUNTIFS($A$5:$A$2004,A1414,$C$5:$C$2004,C1414)&gt;1,1,0))</x:f>
      </x:c>
    </x:row>
    <x:row r="1415">
      <x:c r="A1415" s="8" t="n"/>
      <x:c r="B1415" s="8" t="n"/>
      <x:c r="C1415" s="8" t="n"/>
      <x:c r="D1415" s="8" t="n"/>
      <x:c r="E1415" s="8" t="n"/>
      <x:c r="F1415" s="8" t="n"/>
      <x:c r="G1415" s="7">
        <x:f>IF(A1415="","",IF(01_Parametres!$B$11="Oui",IF((01_Parametres!$B$4*(D1415&gt;0)+01_Parametres!$B$5*(E1415&gt;0)+01_Parametres!$B$6*(F1415&gt;0))=0,"",(01_Parametres!$B$4*IF(D1415&gt;0,D1415,0)+01_Parametres!$B$5*IF(E1415&gt;0,E1415,0)+01_Parametres!$B$6*IF(F1415&gt;0,F1415,0))/(01_Parametres!$B$4*(D1415&gt;0)+01_Parametres!$B$5*(E1415&gt;0)+01_Parametres!$B$6*(F1415&gt;0))),IF(01_Parametres!$B$8=0,"",(01_Parametres!$B$4*D1415+01_Parametres!$B$5*E1415+01_Parametres!$B$6*F1415)/01_Parametres!$B$8)))</x:f>
      </x:c>
      <x:c r="H1415">
        <x:f>IFERROR(VLOOKUP(C1415,02_Referentiels!$A$20:$D$99,3,FALSE),"")</x:f>
      </x:c>
      <x:c r="I1415">
        <x:f>IFERROR(VLOOKUP(B1415,02_Referentiels!$A$5:$C$16,2,FALSE),"")</x:f>
      </x:c>
      <x:c r="J1415">
        <x:f>IF(A1415="","",IF(OR(D1415="",E1415="",F1415=""),1,IF(OR(D1415&lt;0,D1415&gt;3,E1415&lt;0,E1415&gt;3,F1415&lt;0,F1415&gt;3),1,0)))</x:f>
      </x:c>
      <x:c r="K1415">
        <x:f>IF(A1415="","",IF(G1415="",1,0))</x:f>
      </x:c>
      <x:c r="L1415">
        <x:f>IF(A1415="","",IF(COUNTIFS($A$5:$A$2004,A1415,$C$5:$C$2004,C1415)&gt;1,1,0))</x:f>
      </x:c>
    </x:row>
    <x:row r="1416">
      <x:c r="A1416" s="8" t="n"/>
      <x:c r="B1416" s="8" t="n"/>
      <x:c r="C1416" s="8" t="n"/>
      <x:c r="D1416" s="8" t="n"/>
      <x:c r="E1416" s="8" t="n"/>
      <x:c r="F1416" s="8" t="n"/>
      <x:c r="G1416" s="7">
        <x:f>IF(A1416="","",IF(01_Parametres!$B$11="Oui",IF((01_Parametres!$B$4*(D1416&gt;0)+01_Parametres!$B$5*(E1416&gt;0)+01_Parametres!$B$6*(F1416&gt;0))=0,"",(01_Parametres!$B$4*IF(D1416&gt;0,D1416,0)+01_Parametres!$B$5*IF(E1416&gt;0,E1416,0)+01_Parametres!$B$6*IF(F1416&gt;0,F1416,0))/(01_Parametres!$B$4*(D1416&gt;0)+01_Parametres!$B$5*(E1416&gt;0)+01_Parametres!$B$6*(F1416&gt;0))),IF(01_Parametres!$B$8=0,"",(01_Parametres!$B$4*D1416+01_Parametres!$B$5*E1416+01_Parametres!$B$6*F1416)/01_Parametres!$B$8)))</x:f>
      </x:c>
      <x:c r="H1416">
        <x:f>IFERROR(VLOOKUP(C1416,02_Referentiels!$A$20:$D$99,3,FALSE),"")</x:f>
      </x:c>
      <x:c r="I1416">
        <x:f>IFERROR(VLOOKUP(B1416,02_Referentiels!$A$5:$C$16,2,FALSE),"")</x:f>
      </x:c>
      <x:c r="J1416">
        <x:f>IF(A1416="","",IF(OR(D1416="",E1416="",F1416=""),1,IF(OR(D1416&lt;0,D1416&gt;3,E1416&lt;0,E1416&gt;3,F1416&lt;0,F1416&gt;3),1,0)))</x:f>
      </x:c>
      <x:c r="K1416">
        <x:f>IF(A1416="","",IF(G1416="",1,0))</x:f>
      </x:c>
      <x:c r="L1416">
        <x:f>IF(A1416="","",IF(COUNTIFS($A$5:$A$2004,A1416,$C$5:$C$2004,C1416)&gt;1,1,0))</x:f>
      </x:c>
    </x:row>
    <x:row r="1417">
      <x:c r="A1417" s="8" t="n"/>
      <x:c r="B1417" s="8" t="n"/>
      <x:c r="C1417" s="8" t="n"/>
      <x:c r="D1417" s="8" t="n"/>
      <x:c r="E1417" s="8" t="n"/>
      <x:c r="F1417" s="8" t="n"/>
      <x:c r="G1417" s="7">
        <x:f>IF(A1417="","",IF(01_Parametres!$B$11="Oui",IF((01_Parametres!$B$4*(D1417&gt;0)+01_Parametres!$B$5*(E1417&gt;0)+01_Parametres!$B$6*(F1417&gt;0))=0,"",(01_Parametres!$B$4*IF(D1417&gt;0,D1417,0)+01_Parametres!$B$5*IF(E1417&gt;0,E1417,0)+01_Parametres!$B$6*IF(F1417&gt;0,F1417,0))/(01_Parametres!$B$4*(D1417&gt;0)+01_Parametres!$B$5*(E1417&gt;0)+01_Parametres!$B$6*(F1417&gt;0))),IF(01_Parametres!$B$8=0,"",(01_Parametres!$B$4*D1417+01_Parametres!$B$5*E1417+01_Parametres!$B$6*F1417)/01_Parametres!$B$8)))</x:f>
      </x:c>
      <x:c r="H1417">
        <x:f>IFERROR(VLOOKUP(C1417,02_Referentiels!$A$20:$D$99,3,FALSE),"")</x:f>
      </x:c>
      <x:c r="I1417">
        <x:f>IFERROR(VLOOKUP(B1417,02_Referentiels!$A$5:$C$16,2,FALSE),"")</x:f>
      </x:c>
      <x:c r="J1417">
        <x:f>IF(A1417="","",IF(OR(D1417="",E1417="",F1417=""),1,IF(OR(D1417&lt;0,D1417&gt;3,E1417&lt;0,E1417&gt;3,F1417&lt;0,F1417&gt;3),1,0)))</x:f>
      </x:c>
      <x:c r="K1417">
        <x:f>IF(A1417="","",IF(G1417="",1,0))</x:f>
      </x:c>
      <x:c r="L1417">
        <x:f>IF(A1417="","",IF(COUNTIFS($A$5:$A$2004,A1417,$C$5:$C$2004,C1417)&gt;1,1,0))</x:f>
      </x:c>
    </x:row>
    <x:row r="1418">
      <x:c r="A1418" s="8" t="n"/>
      <x:c r="B1418" s="8" t="n"/>
      <x:c r="C1418" s="8" t="n"/>
      <x:c r="D1418" s="8" t="n"/>
      <x:c r="E1418" s="8" t="n"/>
      <x:c r="F1418" s="8" t="n"/>
      <x:c r="G1418" s="7">
        <x:f>IF(A1418="","",IF(01_Parametres!$B$11="Oui",IF((01_Parametres!$B$4*(D1418&gt;0)+01_Parametres!$B$5*(E1418&gt;0)+01_Parametres!$B$6*(F1418&gt;0))=0,"",(01_Parametres!$B$4*IF(D1418&gt;0,D1418,0)+01_Parametres!$B$5*IF(E1418&gt;0,E1418,0)+01_Parametres!$B$6*IF(F1418&gt;0,F1418,0))/(01_Parametres!$B$4*(D1418&gt;0)+01_Parametres!$B$5*(E1418&gt;0)+01_Parametres!$B$6*(F1418&gt;0))),IF(01_Parametres!$B$8=0,"",(01_Parametres!$B$4*D1418+01_Parametres!$B$5*E1418+01_Parametres!$B$6*F1418)/01_Parametres!$B$8)))</x:f>
      </x:c>
      <x:c r="H1418">
        <x:f>IFERROR(VLOOKUP(C1418,02_Referentiels!$A$20:$D$99,3,FALSE),"")</x:f>
      </x:c>
      <x:c r="I1418">
        <x:f>IFERROR(VLOOKUP(B1418,02_Referentiels!$A$5:$C$16,2,FALSE),"")</x:f>
      </x:c>
      <x:c r="J1418">
        <x:f>IF(A1418="","",IF(OR(D1418="",E1418="",F1418=""),1,IF(OR(D1418&lt;0,D1418&gt;3,E1418&lt;0,E1418&gt;3,F1418&lt;0,F1418&gt;3),1,0)))</x:f>
      </x:c>
      <x:c r="K1418">
        <x:f>IF(A1418="","",IF(G1418="",1,0))</x:f>
      </x:c>
      <x:c r="L1418">
        <x:f>IF(A1418="","",IF(COUNTIFS($A$5:$A$2004,A1418,$C$5:$C$2004,C1418)&gt;1,1,0))</x:f>
      </x:c>
    </x:row>
    <x:row r="1419">
      <x:c r="A1419" s="8" t="n"/>
      <x:c r="B1419" s="8" t="n"/>
      <x:c r="C1419" s="8" t="n"/>
      <x:c r="D1419" s="8" t="n"/>
      <x:c r="E1419" s="8" t="n"/>
      <x:c r="F1419" s="8" t="n"/>
      <x:c r="G1419" s="7">
        <x:f>IF(A1419="","",IF(01_Parametres!$B$11="Oui",IF((01_Parametres!$B$4*(D1419&gt;0)+01_Parametres!$B$5*(E1419&gt;0)+01_Parametres!$B$6*(F1419&gt;0))=0,"",(01_Parametres!$B$4*IF(D1419&gt;0,D1419,0)+01_Parametres!$B$5*IF(E1419&gt;0,E1419,0)+01_Parametres!$B$6*IF(F1419&gt;0,F1419,0))/(01_Parametres!$B$4*(D1419&gt;0)+01_Parametres!$B$5*(E1419&gt;0)+01_Parametres!$B$6*(F1419&gt;0))),IF(01_Parametres!$B$8=0,"",(01_Parametres!$B$4*D1419+01_Parametres!$B$5*E1419+01_Parametres!$B$6*F1419)/01_Parametres!$B$8)))</x:f>
      </x:c>
      <x:c r="H1419">
        <x:f>IFERROR(VLOOKUP(C1419,02_Referentiels!$A$20:$D$99,3,FALSE),"")</x:f>
      </x:c>
      <x:c r="I1419">
        <x:f>IFERROR(VLOOKUP(B1419,02_Referentiels!$A$5:$C$16,2,FALSE),"")</x:f>
      </x:c>
      <x:c r="J1419">
        <x:f>IF(A1419="","",IF(OR(D1419="",E1419="",F1419=""),1,IF(OR(D1419&lt;0,D1419&gt;3,E1419&lt;0,E1419&gt;3,F1419&lt;0,F1419&gt;3),1,0)))</x:f>
      </x:c>
      <x:c r="K1419">
        <x:f>IF(A1419="","",IF(G1419="",1,0))</x:f>
      </x:c>
      <x:c r="L1419">
        <x:f>IF(A1419="","",IF(COUNTIFS($A$5:$A$2004,A1419,$C$5:$C$2004,C1419)&gt;1,1,0))</x:f>
      </x:c>
    </x:row>
    <x:row r="1420">
      <x:c r="A1420" s="8" t="n"/>
      <x:c r="B1420" s="8" t="n"/>
      <x:c r="C1420" s="8" t="n"/>
      <x:c r="D1420" s="8" t="n"/>
      <x:c r="E1420" s="8" t="n"/>
      <x:c r="F1420" s="8" t="n"/>
      <x:c r="G1420" s="7">
        <x:f>IF(A1420="","",IF(01_Parametres!$B$11="Oui",IF((01_Parametres!$B$4*(D1420&gt;0)+01_Parametres!$B$5*(E1420&gt;0)+01_Parametres!$B$6*(F1420&gt;0))=0,"",(01_Parametres!$B$4*IF(D1420&gt;0,D1420,0)+01_Parametres!$B$5*IF(E1420&gt;0,E1420,0)+01_Parametres!$B$6*IF(F1420&gt;0,F1420,0))/(01_Parametres!$B$4*(D1420&gt;0)+01_Parametres!$B$5*(E1420&gt;0)+01_Parametres!$B$6*(F1420&gt;0))),IF(01_Parametres!$B$8=0,"",(01_Parametres!$B$4*D1420+01_Parametres!$B$5*E1420+01_Parametres!$B$6*F1420)/01_Parametres!$B$8)))</x:f>
      </x:c>
      <x:c r="H1420">
        <x:f>IFERROR(VLOOKUP(C1420,02_Referentiels!$A$20:$D$99,3,FALSE),"")</x:f>
      </x:c>
      <x:c r="I1420">
        <x:f>IFERROR(VLOOKUP(B1420,02_Referentiels!$A$5:$C$16,2,FALSE),"")</x:f>
      </x:c>
      <x:c r="J1420">
        <x:f>IF(A1420="","",IF(OR(D1420="",E1420="",F1420=""),1,IF(OR(D1420&lt;0,D1420&gt;3,E1420&lt;0,E1420&gt;3,F1420&lt;0,F1420&gt;3),1,0)))</x:f>
      </x:c>
      <x:c r="K1420">
        <x:f>IF(A1420="","",IF(G1420="",1,0))</x:f>
      </x:c>
      <x:c r="L1420">
        <x:f>IF(A1420="","",IF(COUNTIFS($A$5:$A$2004,A1420,$C$5:$C$2004,C1420)&gt;1,1,0))</x:f>
      </x:c>
    </x:row>
    <x:row r="1421">
      <x:c r="A1421" s="8" t="n"/>
      <x:c r="B1421" s="8" t="n"/>
      <x:c r="C1421" s="8" t="n"/>
      <x:c r="D1421" s="8" t="n"/>
      <x:c r="E1421" s="8" t="n"/>
      <x:c r="F1421" s="8" t="n"/>
      <x:c r="G1421" s="7">
        <x:f>IF(A1421="","",IF(01_Parametres!$B$11="Oui",IF((01_Parametres!$B$4*(D1421&gt;0)+01_Parametres!$B$5*(E1421&gt;0)+01_Parametres!$B$6*(F1421&gt;0))=0,"",(01_Parametres!$B$4*IF(D1421&gt;0,D1421,0)+01_Parametres!$B$5*IF(E1421&gt;0,E1421,0)+01_Parametres!$B$6*IF(F1421&gt;0,F1421,0))/(01_Parametres!$B$4*(D1421&gt;0)+01_Parametres!$B$5*(E1421&gt;0)+01_Parametres!$B$6*(F1421&gt;0))),IF(01_Parametres!$B$8=0,"",(01_Parametres!$B$4*D1421+01_Parametres!$B$5*E1421+01_Parametres!$B$6*F1421)/01_Parametres!$B$8)))</x:f>
      </x:c>
      <x:c r="H1421">
        <x:f>IFERROR(VLOOKUP(C1421,02_Referentiels!$A$20:$D$99,3,FALSE),"")</x:f>
      </x:c>
      <x:c r="I1421">
        <x:f>IFERROR(VLOOKUP(B1421,02_Referentiels!$A$5:$C$16,2,FALSE),"")</x:f>
      </x:c>
      <x:c r="J1421">
        <x:f>IF(A1421="","",IF(OR(D1421="",E1421="",F1421=""),1,IF(OR(D1421&lt;0,D1421&gt;3,E1421&lt;0,E1421&gt;3,F1421&lt;0,F1421&gt;3),1,0)))</x:f>
      </x:c>
      <x:c r="K1421">
        <x:f>IF(A1421="","",IF(G1421="",1,0))</x:f>
      </x:c>
      <x:c r="L1421">
        <x:f>IF(A1421="","",IF(COUNTIFS($A$5:$A$2004,A1421,$C$5:$C$2004,C1421)&gt;1,1,0))</x:f>
      </x:c>
    </x:row>
    <x:row r="1422">
      <x:c r="A1422" s="8" t="n"/>
      <x:c r="B1422" s="8" t="n"/>
      <x:c r="C1422" s="8" t="n"/>
      <x:c r="D1422" s="8" t="n"/>
      <x:c r="E1422" s="8" t="n"/>
      <x:c r="F1422" s="8" t="n"/>
      <x:c r="G1422" s="7">
        <x:f>IF(A1422="","",IF(01_Parametres!$B$11="Oui",IF((01_Parametres!$B$4*(D1422&gt;0)+01_Parametres!$B$5*(E1422&gt;0)+01_Parametres!$B$6*(F1422&gt;0))=0,"",(01_Parametres!$B$4*IF(D1422&gt;0,D1422,0)+01_Parametres!$B$5*IF(E1422&gt;0,E1422,0)+01_Parametres!$B$6*IF(F1422&gt;0,F1422,0))/(01_Parametres!$B$4*(D1422&gt;0)+01_Parametres!$B$5*(E1422&gt;0)+01_Parametres!$B$6*(F1422&gt;0))),IF(01_Parametres!$B$8=0,"",(01_Parametres!$B$4*D1422+01_Parametres!$B$5*E1422+01_Parametres!$B$6*F1422)/01_Parametres!$B$8)))</x:f>
      </x:c>
      <x:c r="H1422">
        <x:f>IFERROR(VLOOKUP(C1422,02_Referentiels!$A$20:$D$99,3,FALSE),"")</x:f>
      </x:c>
      <x:c r="I1422">
        <x:f>IFERROR(VLOOKUP(B1422,02_Referentiels!$A$5:$C$16,2,FALSE),"")</x:f>
      </x:c>
      <x:c r="J1422">
        <x:f>IF(A1422="","",IF(OR(D1422="",E1422="",F1422=""),1,IF(OR(D1422&lt;0,D1422&gt;3,E1422&lt;0,E1422&gt;3,F1422&lt;0,F1422&gt;3),1,0)))</x:f>
      </x:c>
      <x:c r="K1422">
        <x:f>IF(A1422="","",IF(G1422="",1,0))</x:f>
      </x:c>
      <x:c r="L1422">
        <x:f>IF(A1422="","",IF(COUNTIFS($A$5:$A$2004,A1422,$C$5:$C$2004,C1422)&gt;1,1,0))</x:f>
      </x:c>
    </x:row>
    <x:row r="1423">
      <x:c r="A1423" s="8" t="n"/>
      <x:c r="B1423" s="8" t="n"/>
      <x:c r="C1423" s="8" t="n"/>
      <x:c r="D1423" s="8" t="n"/>
      <x:c r="E1423" s="8" t="n"/>
      <x:c r="F1423" s="8" t="n"/>
      <x:c r="G1423" s="7">
        <x:f>IF(A1423="","",IF(01_Parametres!$B$11="Oui",IF((01_Parametres!$B$4*(D1423&gt;0)+01_Parametres!$B$5*(E1423&gt;0)+01_Parametres!$B$6*(F1423&gt;0))=0,"",(01_Parametres!$B$4*IF(D1423&gt;0,D1423,0)+01_Parametres!$B$5*IF(E1423&gt;0,E1423,0)+01_Parametres!$B$6*IF(F1423&gt;0,F1423,0))/(01_Parametres!$B$4*(D1423&gt;0)+01_Parametres!$B$5*(E1423&gt;0)+01_Parametres!$B$6*(F1423&gt;0))),IF(01_Parametres!$B$8=0,"",(01_Parametres!$B$4*D1423+01_Parametres!$B$5*E1423+01_Parametres!$B$6*F1423)/01_Parametres!$B$8)))</x:f>
      </x:c>
      <x:c r="H1423">
        <x:f>IFERROR(VLOOKUP(C1423,02_Referentiels!$A$20:$D$99,3,FALSE),"")</x:f>
      </x:c>
      <x:c r="I1423">
        <x:f>IFERROR(VLOOKUP(B1423,02_Referentiels!$A$5:$C$16,2,FALSE),"")</x:f>
      </x:c>
      <x:c r="J1423">
        <x:f>IF(A1423="","",IF(OR(D1423="",E1423="",F1423=""),1,IF(OR(D1423&lt;0,D1423&gt;3,E1423&lt;0,E1423&gt;3,F1423&lt;0,F1423&gt;3),1,0)))</x:f>
      </x:c>
      <x:c r="K1423">
        <x:f>IF(A1423="","",IF(G1423="",1,0))</x:f>
      </x:c>
      <x:c r="L1423">
        <x:f>IF(A1423="","",IF(COUNTIFS($A$5:$A$2004,A1423,$C$5:$C$2004,C1423)&gt;1,1,0))</x:f>
      </x:c>
    </x:row>
    <x:row r="1424">
      <x:c r="A1424" s="8" t="n"/>
      <x:c r="B1424" s="8" t="n"/>
      <x:c r="C1424" s="8" t="n"/>
      <x:c r="D1424" s="8" t="n"/>
      <x:c r="E1424" s="8" t="n"/>
      <x:c r="F1424" s="8" t="n"/>
      <x:c r="G1424" s="7">
        <x:f>IF(A1424="","",IF(01_Parametres!$B$11="Oui",IF((01_Parametres!$B$4*(D1424&gt;0)+01_Parametres!$B$5*(E1424&gt;0)+01_Parametres!$B$6*(F1424&gt;0))=0,"",(01_Parametres!$B$4*IF(D1424&gt;0,D1424,0)+01_Parametres!$B$5*IF(E1424&gt;0,E1424,0)+01_Parametres!$B$6*IF(F1424&gt;0,F1424,0))/(01_Parametres!$B$4*(D1424&gt;0)+01_Parametres!$B$5*(E1424&gt;0)+01_Parametres!$B$6*(F1424&gt;0))),IF(01_Parametres!$B$8=0,"",(01_Parametres!$B$4*D1424+01_Parametres!$B$5*E1424+01_Parametres!$B$6*F1424)/01_Parametres!$B$8)))</x:f>
      </x:c>
      <x:c r="H1424">
        <x:f>IFERROR(VLOOKUP(C1424,02_Referentiels!$A$20:$D$99,3,FALSE),"")</x:f>
      </x:c>
      <x:c r="I1424">
        <x:f>IFERROR(VLOOKUP(B1424,02_Referentiels!$A$5:$C$16,2,FALSE),"")</x:f>
      </x:c>
      <x:c r="J1424">
        <x:f>IF(A1424="","",IF(OR(D1424="",E1424="",F1424=""),1,IF(OR(D1424&lt;0,D1424&gt;3,E1424&lt;0,E1424&gt;3,F1424&lt;0,F1424&gt;3),1,0)))</x:f>
      </x:c>
      <x:c r="K1424">
        <x:f>IF(A1424="","",IF(G1424="",1,0))</x:f>
      </x:c>
      <x:c r="L1424">
        <x:f>IF(A1424="","",IF(COUNTIFS($A$5:$A$2004,A1424,$C$5:$C$2004,C1424)&gt;1,1,0))</x:f>
      </x:c>
    </x:row>
    <x:row r="1425">
      <x:c r="A1425" s="8" t="n"/>
      <x:c r="B1425" s="8" t="n"/>
      <x:c r="C1425" s="8" t="n"/>
      <x:c r="D1425" s="8" t="n"/>
      <x:c r="E1425" s="8" t="n"/>
      <x:c r="F1425" s="8" t="n"/>
      <x:c r="G1425" s="7">
        <x:f>IF(A1425="","",IF(01_Parametres!$B$11="Oui",IF((01_Parametres!$B$4*(D1425&gt;0)+01_Parametres!$B$5*(E1425&gt;0)+01_Parametres!$B$6*(F1425&gt;0))=0,"",(01_Parametres!$B$4*IF(D1425&gt;0,D1425,0)+01_Parametres!$B$5*IF(E1425&gt;0,E1425,0)+01_Parametres!$B$6*IF(F1425&gt;0,F1425,0))/(01_Parametres!$B$4*(D1425&gt;0)+01_Parametres!$B$5*(E1425&gt;0)+01_Parametres!$B$6*(F1425&gt;0))),IF(01_Parametres!$B$8=0,"",(01_Parametres!$B$4*D1425+01_Parametres!$B$5*E1425+01_Parametres!$B$6*F1425)/01_Parametres!$B$8)))</x:f>
      </x:c>
      <x:c r="H1425">
        <x:f>IFERROR(VLOOKUP(C1425,02_Referentiels!$A$20:$D$99,3,FALSE),"")</x:f>
      </x:c>
      <x:c r="I1425">
        <x:f>IFERROR(VLOOKUP(B1425,02_Referentiels!$A$5:$C$16,2,FALSE),"")</x:f>
      </x:c>
      <x:c r="J1425">
        <x:f>IF(A1425="","",IF(OR(D1425="",E1425="",F1425=""),1,IF(OR(D1425&lt;0,D1425&gt;3,E1425&lt;0,E1425&gt;3,F1425&lt;0,F1425&gt;3),1,0)))</x:f>
      </x:c>
      <x:c r="K1425">
        <x:f>IF(A1425="","",IF(G1425="",1,0))</x:f>
      </x:c>
      <x:c r="L1425">
        <x:f>IF(A1425="","",IF(COUNTIFS($A$5:$A$2004,A1425,$C$5:$C$2004,C1425)&gt;1,1,0))</x:f>
      </x:c>
    </x:row>
    <x:row r="1426">
      <x:c r="A1426" s="8" t="n"/>
      <x:c r="B1426" s="8" t="n"/>
      <x:c r="C1426" s="8" t="n"/>
      <x:c r="D1426" s="8" t="n"/>
      <x:c r="E1426" s="8" t="n"/>
      <x:c r="F1426" s="8" t="n"/>
      <x:c r="G1426" s="7">
        <x:f>IF(A1426="","",IF(01_Parametres!$B$11="Oui",IF((01_Parametres!$B$4*(D1426&gt;0)+01_Parametres!$B$5*(E1426&gt;0)+01_Parametres!$B$6*(F1426&gt;0))=0,"",(01_Parametres!$B$4*IF(D1426&gt;0,D1426,0)+01_Parametres!$B$5*IF(E1426&gt;0,E1426,0)+01_Parametres!$B$6*IF(F1426&gt;0,F1426,0))/(01_Parametres!$B$4*(D1426&gt;0)+01_Parametres!$B$5*(E1426&gt;0)+01_Parametres!$B$6*(F1426&gt;0))),IF(01_Parametres!$B$8=0,"",(01_Parametres!$B$4*D1426+01_Parametres!$B$5*E1426+01_Parametres!$B$6*F1426)/01_Parametres!$B$8)))</x:f>
      </x:c>
      <x:c r="H1426">
        <x:f>IFERROR(VLOOKUP(C1426,02_Referentiels!$A$20:$D$99,3,FALSE),"")</x:f>
      </x:c>
      <x:c r="I1426">
        <x:f>IFERROR(VLOOKUP(B1426,02_Referentiels!$A$5:$C$16,2,FALSE),"")</x:f>
      </x:c>
      <x:c r="J1426">
        <x:f>IF(A1426="","",IF(OR(D1426="",E1426="",F1426=""),1,IF(OR(D1426&lt;0,D1426&gt;3,E1426&lt;0,E1426&gt;3,F1426&lt;0,F1426&gt;3),1,0)))</x:f>
      </x:c>
      <x:c r="K1426">
        <x:f>IF(A1426="","",IF(G1426="",1,0))</x:f>
      </x:c>
      <x:c r="L1426">
        <x:f>IF(A1426="","",IF(COUNTIFS($A$5:$A$2004,A1426,$C$5:$C$2004,C1426)&gt;1,1,0))</x:f>
      </x:c>
    </x:row>
    <x:row r="1427">
      <x:c r="A1427" s="8" t="n"/>
      <x:c r="B1427" s="8" t="n"/>
      <x:c r="C1427" s="8" t="n"/>
      <x:c r="D1427" s="8" t="n"/>
      <x:c r="E1427" s="8" t="n"/>
      <x:c r="F1427" s="8" t="n"/>
      <x:c r="G1427" s="7">
        <x:f>IF(A1427="","",IF(01_Parametres!$B$11="Oui",IF((01_Parametres!$B$4*(D1427&gt;0)+01_Parametres!$B$5*(E1427&gt;0)+01_Parametres!$B$6*(F1427&gt;0))=0,"",(01_Parametres!$B$4*IF(D1427&gt;0,D1427,0)+01_Parametres!$B$5*IF(E1427&gt;0,E1427,0)+01_Parametres!$B$6*IF(F1427&gt;0,F1427,0))/(01_Parametres!$B$4*(D1427&gt;0)+01_Parametres!$B$5*(E1427&gt;0)+01_Parametres!$B$6*(F1427&gt;0))),IF(01_Parametres!$B$8=0,"",(01_Parametres!$B$4*D1427+01_Parametres!$B$5*E1427+01_Parametres!$B$6*F1427)/01_Parametres!$B$8)))</x:f>
      </x:c>
      <x:c r="H1427">
        <x:f>IFERROR(VLOOKUP(C1427,02_Referentiels!$A$20:$D$99,3,FALSE),"")</x:f>
      </x:c>
      <x:c r="I1427">
        <x:f>IFERROR(VLOOKUP(B1427,02_Referentiels!$A$5:$C$16,2,FALSE),"")</x:f>
      </x:c>
      <x:c r="J1427">
        <x:f>IF(A1427="","",IF(OR(D1427="",E1427="",F1427=""),1,IF(OR(D1427&lt;0,D1427&gt;3,E1427&lt;0,E1427&gt;3,F1427&lt;0,F1427&gt;3),1,0)))</x:f>
      </x:c>
      <x:c r="K1427">
        <x:f>IF(A1427="","",IF(G1427="",1,0))</x:f>
      </x:c>
      <x:c r="L1427">
        <x:f>IF(A1427="","",IF(COUNTIFS($A$5:$A$2004,A1427,$C$5:$C$2004,C1427)&gt;1,1,0))</x:f>
      </x:c>
    </x:row>
    <x:row r="1428">
      <x:c r="A1428" s="8" t="n"/>
      <x:c r="B1428" s="8" t="n"/>
      <x:c r="C1428" s="8" t="n"/>
      <x:c r="D1428" s="8" t="n"/>
      <x:c r="E1428" s="8" t="n"/>
      <x:c r="F1428" s="8" t="n"/>
      <x:c r="G1428" s="7">
        <x:f>IF(A1428="","",IF(01_Parametres!$B$11="Oui",IF((01_Parametres!$B$4*(D1428&gt;0)+01_Parametres!$B$5*(E1428&gt;0)+01_Parametres!$B$6*(F1428&gt;0))=0,"",(01_Parametres!$B$4*IF(D1428&gt;0,D1428,0)+01_Parametres!$B$5*IF(E1428&gt;0,E1428,0)+01_Parametres!$B$6*IF(F1428&gt;0,F1428,0))/(01_Parametres!$B$4*(D1428&gt;0)+01_Parametres!$B$5*(E1428&gt;0)+01_Parametres!$B$6*(F1428&gt;0))),IF(01_Parametres!$B$8=0,"",(01_Parametres!$B$4*D1428+01_Parametres!$B$5*E1428+01_Parametres!$B$6*F1428)/01_Parametres!$B$8)))</x:f>
      </x:c>
      <x:c r="H1428">
        <x:f>IFERROR(VLOOKUP(C1428,02_Referentiels!$A$20:$D$99,3,FALSE),"")</x:f>
      </x:c>
      <x:c r="I1428">
        <x:f>IFERROR(VLOOKUP(B1428,02_Referentiels!$A$5:$C$16,2,FALSE),"")</x:f>
      </x:c>
      <x:c r="J1428">
        <x:f>IF(A1428="","",IF(OR(D1428="",E1428="",F1428=""),1,IF(OR(D1428&lt;0,D1428&gt;3,E1428&lt;0,E1428&gt;3,F1428&lt;0,F1428&gt;3),1,0)))</x:f>
      </x:c>
      <x:c r="K1428">
        <x:f>IF(A1428="","",IF(G1428="",1,0))</x:f>
      </x:c>
      <x:c r="L1428">
        <x:f>IF(A1428="","",IF(COUNTIFS($A$5:$A$2004,A1428,$C$5:$C$2004,C1428)&gt;1,1,0))</x:f>
      </x:c>
    </x:row>
    <x:row r="1429">
      <x:c r="A1429" s="8" t="n"/>
      <x:c r="B1429" s="8" t="n"/>
      <x:c r="C1429" s="8" t="n"/>
      <x:c r="D1429" s="8" t="n"/>
      <x:c r="E1429" s="8" t="n"/>
      <x:c r="F1429" s="8" t="n"/>
      <x:c r="G1429" s="7">
        <x:f>IF(A1429="","",IF(01_Parametres!$B$11="Oui",IF((01_Parametres!$B$4*(D1429&gt;0)+01_Parametres!$B$5*(E1429&gt;0)+01_Parametres!$B$6*(F1429&gt;0))=0,"",(01_Parametres!$B$4*IF(D1429&gt;0,D1429,0)+01_Parametres!$B$5*IF(E1429&gt;0,E1429,0)+01_Parametres!$B$6*IF(F1429&gt;0,F1429,0))/(01_Parametres!$B$4*(D1429&gt;0)+01_Parametres!$B$5*(E1429&gt;0)+01_Parametres!$B$6*(F1429&gt;0))),IF(01_Parametres!$B$8=0,"",(01_Parametres!$B$4*D1429+01_Parametres!$B$5*E1429+01_Parametres!$B$6*F1429)/01_Parametres!$B$8)))</x:f>
      </x:c>
      <x:c r="H1429">
        <x:f>IFERROR(VLOOKUP(C1429,02_Referentiels!$A$20:$D$99,3,FALSE),"")</x:f>
      </x:c>
      <x:c r="I1429">
        <x:f>IFERROR(VLOOKUP(B1429,02_Referentiels!$A$5:$C$16,2,FALSE),"")</x:f>
      </x:c>
      <x:c r="J1429">
        <x:f>IF(A1429="","",IF(OR(D1429="",E1429="",F1429=""),1,IF(OR(D1429&lt;0,D1429&gt;3,E1429&lt;0,E1429&gt;3,F1429&lt;0,F1429&gt;3),1,0)))</x:f>
      </x:c>
      <x:c r="K1429">
        <x:f>IF(A1429="","",IF(G1429="",1,0))</x:f>
      </x:c>
      <x:c r="L1429">
        <x:f>IF(A1429="","",IF(COUNTIFS($A$5:$A$2004,A1429,$C$5:$C$2004,C1429)&gt;1,1,0))</x:f>
      </x:c>
    </x:row>
    <x:row r="1430">
      <x:c r="A1430" s="8" t="n"/>
      <x:c r="B1430" s="8" t="n"/>
      <x:c r="C1430" s="8" t="n"/>
      <x:c r="D1430" s="8" t="n"/>
      <x:c r="E1430" s="8" t="n"/>
      <x:c r="F1430" s="8" t="n"/>
      <x:c r="G1430" s="7">
        <x:f>IF(A1430="","",IF(01_Parametres!$B$11="Oui",IF((01_Parametres!$B$4*(D1430&gt;0)+01_Parametres!$B$5*(E1430&gt;0)+01_Parametres!$B$6*(F1430&gt;0))=0,"",(01_Parametres!$B$4*IF(D1430&gt;0,D1430,0)+01_Parametres!$B$5*IF(E1430&gt;0,E1430,0)+01_Parametres!$B$6*IF(F1430&gt;0,F1430,0))/(01_Parametres!$B$4*(D1430&gt;0)+01_Parametres!$B$5*(E1430&gt;0)+01_Parametres!$B$6*(F1430&gt;0))),IF(01_Parametres!$B$8=0,"",(01_Parametres!$B$4*D1430+01_Parametres!$B$5*E1430+01_Parametres!$B$6*F1430)/01_Parametres!$B$8)))</x:f>
      </x:c>
      <x:c r="H1430">
        <x:f>IFERROR(VLOOKUP(C1430,02_Referentiels!$A$20:$D$99,3,FALSE),"")</x:f>
      </x:c>
      <x:c r="I1430">
        <x:f>IFERROR(VLOOKUP(B1430,02_Referentiels!$A$5:$C$16,2,FALSE),"")</x:f>
      </x:c>
      <x:c r="J1430">
        <x:f>IF(A1430="","",IF(OR(D1430="",E1430="",F1430=""),1,IF(OR(D1430&lt;0,D1430&gt;3,E1430&lt;0,E1430&gt;3,F1430&lt;0,F1430&gt;3),1,0)))</x:f>
      </x:c>
      <x:c r="K1430">
        <x:f>IF(A1430="","",IF(G1430="",1,0))</x:f>
      </x:c>
      <x:c r="L1430">
        <x:f>IF(A1430="","",IF(COUNTIFS($A$5:$A$2004,A1430,$C$5:$C$2004,C1430)&gt;1,1,0))</x:f>
      </x:c>
    </x:row>
    <x:row r="1431">
      <x:c r="A1431" s="8" t="n"/>
      <x:c r="B1431" s="8" t="n"/>
      <x:c r="C1431" s="8" t="n"/>
      <x:c r="D1431" s="8" t="n"/>
      <x:c r="E1431" s="8" t="n"/>
      <x:c r="F1431" s="8" t="n"/>
      <x:c r="G1431" s="7">
        <x:f>IF(A1431="","",IF(01_Parametres!$B$11="Oui",IF((01_Parametres!$B$4*(D1431&gt;0)+01_Parametres!$B$5*(E1431&gt;0)+01_Parametres!$B$6*(F1431&gt;0))=0,"",(01_Parametres!$B$4*IF(D1431&gt;0,D1431,0)+01_Parametres!$B$5*IF(E1431&gt;0,E1431,0)+01_Parametres!$B$6*IF(F1431&gt;0,F1431,0))/(01_Parametres!$B$4*(D1431&gt;0)+01_Parametres!$B$5*(E1431&gt;0)+01_Parametres!$B$6*(F1431&gt;0))),IF(01_Parametres!$B$8=0,"",(01_Parametres!$B$4*D1431+01_Parametres!$B$5*E1431+01_Parametres!$B$6*F1431)/01_Parametres!$B$8)))</x:f>
      </x:c>
      <x:c r="H1431">
        <x:f>IFERROR(VLOOKUP(C1431,02_Referentiels!$A$20:$D$99,3,FALSE),"")</x:f>
      </x:c>
      <x:c r="I1431">
        <x:f>IFERROR(VLOOKUP(B1431,02_Referentiels!$A$5:$C$16,2,FALSE),"")</x:f>
      </x:c>
      <x:c r="J1431">
        <x:f>IF(A1431="","",IF(OR(D1431="",E1431="",F1431=""),1,IF(OR(D1431&lt;0,D1431&gt;3,E1431&lt;0,E1431&gt;3,F1431&lt;0,F1431&gt;3),1,0)))</x:f>
      </x:c>
      <x:c r="K1431">
        <x:f>IF(A1431="","",IF(G1431="",1,0))</x:f>
      </x:c>
      <x:c r="L1431">
        <x:f>IF(A1431="","",IF(COUNTIFS($A$5:$A$2004,A1431,$C$5:$C$2004,C1431)&gt;1,1,0))</x:f>
      </x:c>
    </x:row>
    <x:row r="1432">
      <x:c r="A1432" s="8" t="n"/>
      <x:c r="B1432" s="8" t="n"/>
      <x:c r="C1432" s="8" t="n"/>
      <x:c r="D1432" s="8" t="n"/>
      <x:c r="E1432" s="8" t="n"/>
      <x:c r="F1432" s="8" t="n"/>
      <x:c r="G1432" s="7">
        <x:f>IF(A1432="","",IF(01_Parametres!$B$11="Oui",IF((01_Parametres!$B$4*(D1432&gt;0)+01_Parametres!$B$5*(E1432&gt;0)+01_Parametres!$B$6*(F1432&gt;0))=0,"",(01_Parametres!$B$4*IF(D1432&gt;0,D1432,0)+01_Parametres!$B$5*IF(E1432&gt;0,E1432,0)+01_Parametres!$B$6*IF(F1432&gt;0,F1432,0))/(01_Parametres!$B$4*(D1432&gt;0)+01_Parametres!$B$5*(E1432&gt;0)+01_Parametres!$B$6*(F1432&gt;0))),IF(01_Parametres!$B$8=0,"",(01_Parametres!$B$4*D1432+01_Parametres!$B$5*E1432+01_Parametres!$B$6*F1432)/01_Parametres!$B$8)))</x:f>
      </x:c>
      <x:c r="H1432">
        <x:f>IFERROR(VLOOKUP(C1432,02_Referentiels!$A$20:$D$99,3,FALSE),"")</x:f>
      </x:c>
      <x:c r="I1432">
        <x:f>IFERROR(VLOOKUP(B1432,02_Referentiels!$A$5:$C$16,2,FALSE),"")</x:f>
      </x:c>
      <x:c r="J1432">
        <x:f>IF(A1432="","",IF(OR(D1432="",E1432="",F1432=""),1,IF(OR(D1432&lt;0,D1432&gt;3,E1432&lt;0,E1432&gt;3,F1432&lt;0,F1432&gt;3),1,0)))</x:f>
      </x:c>
      <x:c r="K1432">
        <x:f>IF(A1432="","",IF(G1432="",1,0))</x:f>
      </x:c>
      <x:c r="L1432">
        <x:f>IF(A1432="","",IF(COUNTIFS($A$5:$A$2004,A1432,$C$5:$C$2004,C1432)&gt;1,1,0))</x:f>
      </x:c>
    </x:row>
    <x:row r="1433">
      <x:c r="A1433" s="8" t="n"/>
      <x:c r="B1433" s="8" t="n"/>
      <x:c r="C1433" s="8" t="n"/>
      <x:c r="D1433" s="8" t="n"/>
      <x:c r="E1433" s="8" t="n"/>
      <x:c r="F1433" s="8" t="n"/>
      <x:c r="G1433" s="7">
        <x:f>IF(A1433="","",IF(01_Parametres!$B$11="Oui",IF((01_Parametres!$B$4*(D1433&gt;0)+01_Parametres!$B$5*(E1433&gt;0)+01_Parametres!$B$6*(F1433&gt;0))=0,"",(01_Parametres!$B$4*IF(D1433&gt;0,D1433,0)+01_Parametres!$B$5*IF(E1433&gt;0,E1433,0)+01_Parametres!$B$6*IF(F1433&gt;0,F1433,0))/(01_Parametres!$B$4*(D1433&gt;0)+01_Parametres!$B$5*(E1433&gt;0)+01_Parametres!$B$6*(F1433&gt;0))),IF(01_Parametres!$B$8=0,"",(01_Parametres!$B$4*D1433+01_Parametres!$B$5*E1433+01_Parametres!$B$6*F1433)/01_Parametres!$B$8)))</x:f>
      </x:c>
      <x:c r="H1433">
        <x:f>IFERROR(VLOOKUP(C1433,02_Referentiels!$A$20:$D$99,3,FALSE),"")</x:f>
      </x:c>
      <x:c r="I1433">
        <x:f>IFERROR(VLOOKUP(B1433,02_Referentiels!$A$5:$C$16,2,FALSE),"")</x:f>
      </x:c>
      <x:c r="J1433">
        <x:f>IF(A1433="","",IF(OR(D1433="",E1433="",F1433=""),1,IF(OR(D1433&lt;0,D1433&gt;3,E1433&lt;0,E1433&gt;3,F1433&lt;0,F1433&gt;3),1,0)))</x:f>
      </x:c>
      <x:c r="K1433">
        <x:f>IF(A1433="","",IF(G1433="",1,0))</x:f>
      </x:c>
      <x:c r="L1433">
        <x:f>IF(A1433="","",IF(COUNTIFS($A$5:$A$2004,A1433,$C$5:$C$2004,C1433)&gt;1,1,0))</x:f>
      </x:c>
    </x:row>
    <x:row r="1434">
      <x:c r="A1434" s="8" t="n"/>
      <x:c r="B1434" s="8" t="n"/>
      <x:c r="C1434" s="8" t="n"/>
      <x:c r="D1434" s="8" t="n"/>
      <x:c r="E1434" s="8" t="n"/>
      <x:c r="F1434" s="8" t="n"/>
      <x:c r="G1434" s="7">
        <x:f>IF(A1434="","",IF(01_Parametres!$B$11="Oui",IF((01_Parametres!$B$4*(D1434&gt;0)+01_Parametres!$B$5*(E1434&gt;0)+01_Parametres!$B$6*(F1434&gt;0))=0,"",(01_Parametres!$B$4*IF(D1434&gt;0,D1434,0)+01_Parametres!$B$5*IF(E1434&gt;0,E1434,0)+01_Parametres!$B$6*IF(F1434&gt;0,F1434,0))/(01_Parametres!$B$4*(D1434&gt;0)+01_Parametres!$B$5*(E1434&gt;0)+01_Parametres!$B$6*(F1434&gt;0))),IF(01_Parametres!$B$8=0,"",(01_Parametres!$B$4*D1434+01_Parametres!$B$5*E1434+01_Parametres!$B$6*F1434)/01_Parametres!$B$8)))</x:f>
      </x:c>
      <x:c r="H1434">
        <x:f>IFERROR(VLOOKUP(C1434,02_Referentiels!$A$20:$D$99,3,FALSE),"")</x:f>
      </x:c>
      <x:c r="I1434">
        <x:f>IFERROR(VLOOKUP(B1434,02_Referentiels!$A$5:$C$16,2,FALSE),"")</x:f>
      </x:c>
      <x:c r="J1434">
        <x:f>IF(A1434="","",IF(OR(D1434="",E1434="",F1434=""),1,IF(OR(D1434&lt;0,D1434&gt;3,E1434&lt;0,E1434&gt;3,F1434&lt;0,F1434&gt;3),1,0)))</x:f>
      </x:c>
      <x:c r="K1434">
        <x:f>IF(A1434="","",IF(G1434="",1,0))</x:f>
      </x:c>
      <x:c r="L1434">
        <x:f>IF(A1434="","",IF(COUNTIFS($A$5:$A$2004,A1434,$C$5:$C$2004,C1434)&gt;1,1,0))</x:f>
      </x:c>
    </x:row>
    <x:row r="1435">
      <x:c r="A1435" s="8" t="n"/>
      <x:c r="B1435" s="8" t="n"/>
      <x:c r="C1435" s="8" t="n"/>
      <x:c r="D1435" s="8" t="n"/>
      <x:c r="E1435" s="8" t="n"/>
      <x:c r="F1435" s="8" t="n"/>
      <x:c r="G1435" s="7">
        <x:f>IF(A1435="","",IF(01_Parametres!$B$11="Oui",IF((01_Parametres!$B$4*(D1435&gt;0)+01_Parametres!$B$5*(E1435&gt;0)+01_Parametres!$B$6*(F1435&gt;0))=0,"",(01_Parametres!$B$4*IF(D1435&gt;0,D1435,0)+01_Parametres!$B$5*IF(E1435&gt;0,E1435,0)+01_Parametres!$B$6*IF(F1435&gt;0,F1435,0))/(01_Parametres!$B$4*(D1435&gt;0)+01_Parametres!$B$5*(E1435&gt;0)+01_Parametres!$B$6*(F1435&gt;0))),IF(01_Parametres!$B$8=0,"",(01_Parametres!$B$4*D1435+01_Parametres!$B$5*E1435+01_Parametres!$B$6*F1435)/01_Parametres!$B$8)))</x:f>
      </x:c>
      <x:c r="H1435">
        <x:f>IFERROR(VLOOKUP(C1435,02_Referentiels!$A$20:$D$99,3,FALSE),"")</x:f>
      </x:c>
      <x:c r="I1435">
        <x:f>IFERROR(VLOOKUP(B1435,02_Referentiels!$A$5:$C$16,2,FALSE),"")</x:f>
      </x:c>
      <x:c r="J1435">
        <x:f>IF(A1435="","",IF(OR(D1435="",E1435="",F1435=""),1,IF(OR(D1435&lt;0,D1435&gt;3,E1435&lt;0,E1435&gt;3,F1435&lt;0,F1435&gt;3),1,0)))</x:f>
      </x:c>
      <x:c r="K1435">
        <x:f>IF(A1435="","",IF(G1435="",1,0))</x:f>
      </x:c>
      <x:c r="L1435">
        <x:f>IF(A1435="","",IF(COUNTIFS($A$5:$A$2004,A1435,$C$5:$C$2004,C1435)&gt;1,1,0))</x:f>
      </x:c>
    </x:row>
    <x:row r="1436">
      <x:c r="A1436" s="8" t="n"/>
      <x:c r="B1436" s="8" t="n"/>
      <x:c r="C1436" s="8" t="n"/>
      <x:c r="D1436" s="8" t="n"/>
      <x:c r="E1436" s="8" t="n"/>
      <x:c r="F1436" s="8" t="n"/>
      <x:c r="G1436" s="7">
        <x:f>IF(A1436="","",IF(01_Parametres!$B$11="Oui",IF((01_Parametres!$B$4*(D1436&gt;0)+01_Parametres!$B$5*(E1436&gt;0)+01_Parametres!$B$6*(F1436&gt;0))=0,"",(01_Parametres!$B$4*IF(D1436&gt;0,D1436,0)+01_Parametres!$B$5*IF(E1436&gt;0,E1436,0)+01_Parametres!$B$6*IF(F1436&gt;0,F1436,0))/(01_Parametres!$B$4*(D1436&gt;0)+01_Parametres!$B$5*(E1436&gt;0)+01_Parametres!$B$6*(F1436&gt;0))),IF(01_Parametres!$B$8=0,"",(01_Parametres!$B$4*D1436+01_Parametres!$B$5*E1436+01_Parametres!$B$6*F1436)/01_Parametres!$B$8)))</x:f>
      </x:c>
      <x:c r="H1436">
        <x:f>IFERROR(VLOOKUP(C1436,02_Referentiels!$A$20:$D$99,3,FALSE),"")</x:f>
      </x:c>
      <x:c r="I1436">
        <x:f>IFERROR(VLOOKUP(B1436,02_Referentiels!$A$5:$C$16,2,FALSE),"")</x:f>
      </x:c>
      <x:c r="J1436">
        <x:f>IF(A1436="","",IF(OR(D1436="",E1436="",F1436=""),1,IF(OR(D1436&lt;0,D1436&gt;3,E1436&lt;0,E1436&gt;3,F1436&lt;0,F1436&gt;3),1,0)))</x:f>
      </x:c>
      <x:c r="K1436">
        <x:f>IF(A1436="","",IF(G1436="",1,0))</x:f>
      </x:c>
      <x:c r="L1436">
        <x:f>IF(A1436="","",IF(COUNTIFS($A$5:$A$2004,A1436,$C$5:$C$2004,C1436)&gt;1,1,0))</x:f>
      </x:c>
    </x:row>
    <x:row r="1437">
      <x:c r="A1437" s="8" t="n"/>
      <x:c r="B1437" s="8" t="n"/>
      <x:c r="C1437" s="8" t="n"/>
      <x:c r="D1437" s="8" t="n"/>
      <x:c r="E1437" s="8" t="n"/>
      <x:c r="F1437" s="8" t="n"/>
      <x:c r="G1437" s="7">
        <x:f>IF(A1437="","",IF(01_Parametres!$B$11="Oui",IF((01_Parametres!$B$4*(D1437&gt;0)+01_Parametres!$B$5*(E1437&gt;0)+01_Parametres!$B$6*(F1437&gt;0))=0,"",(01_Parametres!$B$4*IF(D1437&gt;0,D1437,0)+01_Parametres!$B$5*IF(E1437&gt;0,E1437,0)+01_Parametres!$B$6*IF(F1437&gt;0,F1437,0))/(01_Parametres!$B$4*(D1437&gt;0)+01_Parametres!$B$5*(E1437&gt;0)+01_Parametres!$B$6*(F1437&gt;0))),IF(01_Parametres!$B$8=0,"",(01_Parametres!$B$4*D1437+01_Parametres!$B$5*E1437+01_Parametres!$B$6*F1437)/01_Parametres!$B$8)))</x:f>
      </x:c>
      <x:c r="H1437">
        <x:f>IFERROR(VLOOKUP(C1437,02_Referentiels!$A$20:$D$99,3,FALSE),"")</x:f>
      </x:c>
      <x:c r="I1437">
        <x:f>IFERROR(VLOOKUP(B1437,02_Referentiels!$A$5:$C$16,2,FALSE),"")</x:f>
      </x:c>
      <x:c r="J1437">
        <x:f>IF(A1437="","",IF(OR(D1437="",E1437="",F1437=""),1,IF(OR(D1437&lt;0,D1437&gt;3,E1437&lt;0,E1437&gt;3,F1437&lt;0,F1437&gt;3),1,0)))</x:f>
      </x:c>
      <x:c r="K1437">
        <x:f>IF(A1437="","",IF(G1437="",1,0))</x:f>
      </x:c>
      <x:c r="L1437">
        <x:f>IF(A1437="","",IF(COUNTIFS($A$5:$A$2004,A1437,$C$5:$C$2004,C1437)&gt;1,1,0))</x:f>
      </x:c>
    </x:row>
    <x:row r="1438">
      <x:c r="A1438" s="8" t="n"/>
      <x:c r="B1438" s="8" t="n"/>
      <x:c r="C1438" s="8" t="n"/>
      <x:c r="D1438" s="8" t="n"/>
      <x:c r="E1438" s="8" t="n"/>
      <x:c r="F1438" s="8" t="n"/>
      <x:c r="G1438" s="7">
        <x:f>IF(A1438="","",IF(01_Parametres!$B$11="Oui",IF((01_Parametres!$B$4*(D1438&gt;0)+01_Parametres!$B$5*(E1438&gt;0)+01_Parametres!$B$6*(F1438&gt;0))=0,"",(01_Parametres!$B$4*IF(D1438&gt;0,D1438,0)+01_Parametres!$B$5*IF(E1438&gt;0,E1438,0)+01_Parametres!$B$6*IF(F1438&gt;0,F1438,0))/(01_Parametres!$B$4*(D1438&gt;0)+01_Parametres!$B$5*(E1438&gt;0)+01_Parametres!$B$6*(F1438&gt;0))),IF(01_Parametres!$B$8=0,"",(01_Parametres!$B$4*D1438+01_Parametres!$B$5*E1438+01_Parametres!$B$6*F1438)/01_Parametres!$B$8)))</x:f>
      </x:c>
      <x:c r="H1438">
        <x:f>IFERROR(VLOOKUP(C1438,02_Referentiels!$A$20:$D$99,3,FALSE),"")</x:f>
      </x:c>
      <x:c r="I1438">
        <x:f>IFERROR(VLOOKUP(B1438,02_Referentiels!$A$5:$C$16,2,FALSE),"")</x:f>
      </x:c>
      <x:c r="J1438">
        <x:f>IF(A1438="","",IF(OR(D1438="",E1438="",F1438=""),1,IF(OR(D1438&lt;0,D1438&gt;3,E1438&lt;0,E1438&gt;3,F1438&lt;0,F1438&gt;3),1,0)))</x:f>
      </x:c>
      <x:c r="K1438">
        <x:f>IF(A1438="","",IF(G1438="",1,0))</x:f>
      </x:c>
      <x:c r="L1438">
        <x:f>IF(A1438="","",IF(COUNTIFS($A$5:$A$2004,A1438,$C$5:$C$2004,C1438)&gt;1,1,0))</x:f>
      </x:c>
    </x:row>
    <x:row r="1439">
      <x:c r="A1439" s="8" t="n"/>
      <x:c r="B1439" s="8" t="n"/>
      <x:c r="C1439" s="8" t="n"/>
      <x:c r="D1439" s="8" t="n"/>
      <x:c r="E1439" s="8" t="n"/>
      <x:c r="F1439" s="8" t="n"/>
      <x:c r="G1439" s="7">
        <x:f>IF(A1439="","",IF(01_Parametres!$B$11="Oui",IF((01_Parametres!$B$4*(D1439&gt;0)+01_Parametres!$B$5*(E1439&gt;0)+01_Parametres!$B$6*(F1439&gt;0))=0,"",(01_Parametres!$B$4*IF(D1439&gt;0,D1439,0)+01_Parametres!$B$5*IF(E1439&gt;0,E1439,0)+01_Parametres!$B$6*IF(F1439&gt;0,F1439,0))/(01_Parametres!$B$4*(D1439&gt;0)+01_Parametres!$B$5*(E1439&gt;0)+01_Parametres!$B$6*(F1439&gt;0))),IF(01_Parametres!$B$8=0,"",(01_Parametres!$B$4*D1439+01_Parametres!$B$5*E1439+01_Parametres!$B$6*F1439)/01_Parametres!$B$8)))</x:f>
      </x:c>
      <x:c r="H1439">
        <x:f>IFERROR(VLOOKUP(C1439,02_Referentiels!$A$20:$D$99,3,FALSE),"")</x:f>
      </x:c>
      <x:c r="I1439">
        <x:f>IFERROR(VLOOKUP(B1439,02_Referentiels!$A$5:$C$16,2,FALSE),"")</x:f>
      </x:c>
      <x:c r="J1439">
        <x:f>IF(A1439="","",IF(OR(D1439="",E1439="",F1439=""),1,IF(OR(D1439&lt;0,D1439&gt;3,E1439&lt;0,E1439&gt;3,F1439&lt;0,F1439&gt;3),1,0)))</x:f>
      </x:c>
      <x:c r="K1439">
        <x:f>IF(A1439="","",IF(G1439="",1,0))</x:f>
      </x:c>
      <x:c r="L1439">
        <x:f>IF(A1439="","",IF(COUNTIFS($A$5:$A$2004,A1439,$C$5:$C$2004,C1439)&gt;1,1,0))</x:f>
      </x:c>
    </x:row>
    <x:row r="1440">
      <x:c r="A1440" s="8" t="n"/>
      <x:c r="B1440" s="8" t="n"/>
      <x:c r="C1440" s="8" t="n"/>
      <x:c r="D1440" s="8" t="n"/>
      <x:c r="E1440" s="8" t="n"/>
      <x:c r="F1440" s="8" t="n"/>
      <x:c r="G1440" s="7">
        <x:f>IF(A1440="","",IF(01_Parametres!$B$11="Oui",IF((01_Parametres!$B$4*(D1440&gt;0)+01_Parametres!$B$5*(E1440&gt;0)+01_Parametres!$B$6*(F1440&gt;0))=0,"",(01_Parametres!$B$4*IF(D1440&gt;0,D1440,0)+01_Parametres!$B$5*IF(E1440&gt;0,E1440,0)+01_Parametres!$B$6*IF(F1440&gt;0,F1440,0))/(01_Parametres!$B$4*(D1440&gt;0)+01_Parametres!$B$5*(E1440&gt;0)+01_Parametres!$B$6*(F1440&gt;0))),IF(01_Parametres!$B$8=0,"",(01_Parametres!$B$4*D1440+01_Parametres!$B$5*E1440+01_Parametres!$B$6*F1440)/01_Parametres!$B$8)))</x:f>
      </x:c>
      <x:c r="H1440">
        <x:f>IFERROR(VLOOKUP(C1440,02_Referentiels!$A$20:$D$99,3,FALSE),"")</x:f>
      </x:c>
      <x:c r="I1440">
        <x:f>IFERROR(VLOOKUP(B1440,02_Referentiels!$A$5:$C$16,2,FALSE),"")</x:f>
      </x:c>
      <x:c r="J1440">
        <x:f>IF(A1440="","",IF(OR(D1440="",E1440="",F1440=""),1,IF(OR(D1440&lt;0,D1440&gt;3,E1440&lt;0,E1440&gt;3,F1440&lt;0,F1440&gt;3),1,0)))</x:f>
      </x:c>
      <x:c r="K1440">
        <x:f>IF(A1440="","",IF(G1440="",1,0))</x:f>
      </x:c>
      <x:c r="L1440">
        <x:f>IF(A1440="","",IF(COUNTIFS($A$5:$A$2004,A1440,$C$5:$C$2004,C1440)&gt;1,1,0))</x:f>
      </x:c>
    </x:row>
    <x:row r="1441">
      <x:c r="A1441" s="8" t="n"/>
      <x:c r="B1441" s="8" t="n"/>
      <x:c r="C1441" s="8" t="n"/>
      <x:c r="D1441" s="8" t="n"/>
      <x:c r="E1441" s="8" t="n"/>
      <x:c r="F1441" s="8" t="n"/>
      <x:c r="G1441" s="7">
        <x:f>IF(A1441="","",IF(01_Parametres!$B$11="Oui",IF((01_Parametres!$B$4*(D1441&gt;0)+01_Parametres!$B$5*(E1441&gt;0)+01_Parametres!$B$6*(F1441&gt;0))=0,"",(01_Parametres!$B$4*IF(D1441&gt;0,D1441,0)+01_Parametres!$B$5*IF(E1441&gt;0,E1441,0)+01_Parametres!$B$6*IF(F1441&gt;0,F1441,0))/(01_Parametres!$B$4*(D1441&gt;0)+01_Parametres!$B$5*(E1441&gt;0)+01_Parametres!$B$6*(F1441&gt;0))),IF(01_Parametres!$B$8=0,"",(01_Parametres!$B$4*D1441+01_Parametres!$B$5*E1441+01_Parametres!$B$6*F1441)/01_Parametres!$B$8)))</x:f>
      </x:c>
      <x:c r="H1441">
        <x:f>IFERROR(VLOOKUP(C1441,02_Referentiels!$A$20:$D$99,3,FALSE),"")</x:f>
      </x:c>
      <x:c r="I1441">
        <x:f>IFERROR(VLOOKUP(B1441,02_Referentiels!$A$5:$C$16,2,FALSE),"")</x:f>
      </x:c>
      <x:c r="J1441">
        <x:f>IF(A1441="","",IF(OR(D1441="",E1441="",F1441=""),1,IF(OR(D1441&lt;0,D1441&gt;3,E1441&lt;0,E1441&gt;3,F1441&lt;0,F1441&gt;3),1,0)))</x:f>
      </x:c>
      <x:c r="K1441">
        <x:f>IF(A1441="","",IF(G1441="",1,0))</x:f>
      </x:c>
      <x:c r="L1441">
        <x:f>IF(A1441="","",IF(COUNTIFS($A$5:$A$2004,A1441,$C$5:$C$2004,C1441)&gt;1,1,0))</x:f>
      </x:c>
    </x:row>
    <x:row r="1442">
      <x:c r="A1442" s="8" t="n"/>
      <x:c r="B1442" s="8" t="n"/>
      <x:c r="C1442" s="8" t="n"/>
      <x:c r="D1442" s="8" t="n"/>
      <x:c r="E1442" s="8" t="n"/>
      <x:c r="F1442" s="8" t="n"/>
      <x:c r="G1442" s="7">
        <x:f>IF(A1442="","",IF(01_Parametres!$B$11="Oui",IF((01_Parametres!$B$4*(D1442&gt;0)+01_Parametres!$B$5*(E1442&gt;0)+01_Parametres!$B$6*(F1442&gt;0))=0,"",(01_Parametres!$B$4*IF(D1442&gt;0,D1442,0)+01_Parametres!$B$5*IF(E1442&gt;0,E1442,0)+01_Parametres!$B$6*IF(F1442&gt;0,F1442,0))/(01_Parametres!$B$4*(D1442&gt;0)+01_Parametres!$B$5*(E1442&gt;0)+01_Parametres!$B$6*(F1442&gt;0))),IF(01_Parametres!$B$8=0,"",(01_Parametres!$B$4*D1442+01_Parametres!$B$5*E1442+01_Parametres!$B$6*F1442)/01_Parametres!$B$8)))</x:f>
      </x:c>
      <x:c r="H1442">
        <x:f>IFERROR(VLOOKUP(C1442,02_Referentiels!$A$20:$D$99,3,FALSE),"")</x:f>
      </x:c>
      <x:c r="I1442">
        <x:f>IFERROR(VLOOKUP(B1442,02_Referentiels!$A$5:$C$16,2,FALSE),"")</x:f>
      </x:c>
      <x:c r="J1442">
        <x:f>IF(A1442="","",IF(OR(D1442="",E1442="",F1442=""),1,IF(OR(D1442&lt;0,D1442&gt;3,E1442&lt;0,E1442&gt;3,F1442&lt;0,F1442&gt;3),1,0)))</x:f>
      </x:c>
      <x:c r="K1442">
        <x:f>IF(A1442="","",IF(G1442="",1,0))</x:f>
      </x:c>
      <x:c r="L1442">
        <x:f>IF(A1442="","",IF(COUNTIFS($A$5:$A$2004,A1442,$C$5:$C$2004,C1442)&gt;1,1,0))</x:f>
      </x:c>
    </x:row>
    <x:row r="1443">
      <x:c r="A1443" s="8" t="n"/>
      <x:c r="B1443" s="8" t="n"/>
      <x:c r="C1443" s="8" t="n"/>
      <x:c r="D1443" s="8" t="n"/>
      <x:c r="E1443" s="8" t="n"/>
      <x:c r="F1443" s="8" t="n"/>
      <x:c r="G1443" s="7">
        <x:f>IF(A1443="","",IF(01_Parametres!$B$11="Oui",IF((01_Parametres!$B$4*(D1443&gt;0)+01_Parametres!$B$5*(E1443&gt;0)+01_Parametres!$B$6*(F1443&gt;0))=0,"",(01_Parametres!$B$4*IF(D1443&gt;0,D1443,0)+01_Parametres!$B$5*IF(E1443&gt;0,E1443,0)+01_Parametres!$B$6*IF(F1443&gt;0,F1443,0))/(01_Parametres!$B$4*(D1443&gt;0)+01_Parametres!$B$5*(E1443&gt;0)+01_Parametres!$B$6*(F1443&gt;0))),IF(01_Parametres!$B$8=0,"",(01_Parametres!$B$4*D1443+01_Parametres!$B$5*E1443+01_Parametres!$B$6*F1443)/01_Parametres!$B$8)))</x:f>
      </x:c>
      <x:c r="H1443">
        <x:f>IFERROR(VLOOKUP(C1443,02_Referentiels!$A$20:$D$99,3,FALSE),"")</x:f>
      </x:c>
      <x:c r="I1443">
        <x:f>IFERROR(VLOOKUP(B1443,02_Referentiels!$A$5:$C$16,2,FALSE),"")</x:f>
      </x:c>
      <x:c r="J1443">
        <x:f>IF(A1443="","",IF(OR(D1443="",E1443="",F1443=""),1,IF(OR(D1443&lt;0,D1443&gt;3,E1443&lt;0,E1443&gt;3,F1443&lt;0,F1443&gt;3),1,0)))</x:f>
      </x:c>
      <x:c r="K1443">
        <x:f>IF(A1443="","",IF(G1443="",1,0))</x:f>
      </x:c>
      <x:c r="L1443">
        <x:f>IF(A1443="","",IF(COUNTIFS($A$5:$A$2004,A1443,$C$5:$C$2004,C1443)&gt;1,1,0))</x:f>
      </x:c>
    </x:row>
    <x:row r="1444">
      <x:c r="A1444" s="8" t="n"/>
      <x:c r="B1444" s="8" t="n"/>
      <x:c r="C1444" s="8" t="n"/>
      <x:c r="D1444" s="8" t="n"/>
      <x:c r="E1444" s="8" t="n"/>
      <x:c r="F1444" s="8" t="n"/>
      <x:c r="G1444" s="7">
        <x:f>IF(A1444="","",IF(01_Parametres!$B$11="Oui",IF((01_Parametres!$B$4*(D1444&gt;0)+01_Parametres!$B$5*(E1444&gt;0)+01_Parametres!$B$6*(F1444&gt;0))=0,"",(01_Parametres!$B$4*IF(D1444&gt;0,D1444,0)+01_Parametres!$B$5*IF(E1444&gt;0,E1444,0)+01_Parametres!$B$6*IF(F1444&gt;0,F1444,0))/(01_Parametres!$B$4*(D1444&gt;0)+01_Parametres!$B$5*(E1444&gt;0)+01_Parametres!$B$6*(F1444&gt;0))),IF(01_Parametres!$B$8=0,"",(01_Parametres!$B$4*D1444+01_Parametres!$B$5*E1444+01_Parametres!$B$6*F1444)/01_Parametres!$B$8)))</x:f>
      </x:c>
      <x:c r="H1444">
        <x:f>IFERROR(VLOOKUP(C1444,02_Referentiels!$A$20:$D$99,3,FALSE),"")</x:f>
      </x:c>
      <x:c r="I1444">
        <x:f>IFERROR(VLOOKUP(B1444,02_Referentiels!$A$5:$C$16,2,FALSE),"")</x:f>
      </x:c>
      <x:c r="J1444">
        <x:f>IF(A1444="","",IF(OR(D1444="",E1444="",F1444=""),1,IF(OR(D1444&lt;0,D1444&gt;3,E1444&lt;0,E1444&gt;3,F1444&lt;0,F1444&gt;3),1,0)))</x:f>
      </x:c>
      <x:c r="K1444">
        <x:f>IF(A1444="","",IF(G1444="",1,0))</x:f>
      </x:c>
      <x:c r="L1444">
        <x:f>IF(A1444="","",IF(COUNTIFS($A$5:$A$2004,A1444,$C$5:$C$2004,C1444)&gt;1,1,0))</x:f>
      </x:c>
    </x:row>
    <x:row r="1445">
      <x:c r="A1445" s="8" t="n"/>
      <x:c r="B1445" s="8" t="n"/>
      <x:c r="C1445" s="8" t="n"/>
      <x:c r="D1445" s="8" t="n"/>
      <x:c r="E1445" s="8" t="n"/>
      <x:c r="F1445" s="8" t="n"/>
      <x:c r="G1445" s="7">
        <x:f>IF(A1445="","",IF(01_Parametres!$B$11="Oui",IF((01_Parametres!$B$4*(D1445&gt;0)+01_Parametres!$B$5*(E1445&gt;0)+01_Parametres!$B$6*(F1445&gt;0))=0,"",(01_Parametres!$B$4*IF(D1445&gt;0,D1445,0)+01_Parametres!$B$5*IF(E1445&gt;0,E1445,0)+01_Parametres!$B$6*IF(F1445&gt;0,F1445,0))/(01_Parametres!$B$4*(D1445&gt;0)+01_Parametres!$B$5*(E1445&gt;0)+01_Parametres!$B$6*(F1445&gt;0))),IF(01_Parametres!$B$8=0,"",(01_Parametres!$B$4*D1445+01_Parametres!$B$5*E1445+01_Parametres!$B$6*F1445)/01_Parametres!$B$8)))</x:f>
      </x:c>
      <x:c r="H1445">
        <x:f>IFERROR(VLOOKUP(C1445,02_Referentiels!$A$20:$D$99,3,FALSE),"")</x:f>
      </x:c>
      <x:c r="I1445">
        <x:f>IFERROR(VLOOKUP(B1445,02_Referentiels!$A$5:$C$16,2,FALSE),"")</x:f>
      </x:c>
      <x:c r="J1445">
        <x:f>IF(A1445="","",IF(OR(D1445="",E1445="",F1445=""),1,IF(OR(D1445&lt;0,D1445&gt;3,E1445&lt;0,E1445&gt;3,F1445&lt;0,F1445&gt;3),1,0)))</x:f>
      </x:c>
      <x:c r="K1445">
        <x:f>IF(A1445="","",IF(G1445="",1,0))</x:f>
      </x:c>
      <x:c r="L1445">
        <x:f>IF(A1445="","",IF(COUNTIFS($A$5:$A$2004,A1445,$C$5:$C$2004,C1445)&gt;1,1,0))</x:f>
      </x:c>
    </x:row>
    <x:row r="1446">
      <x:c r="A1446" s="8" t="n"/>
      <x:c r="B1446" s="8" t="n"/>
      <x:c r="C1446" s="8" t="n"/>
      <x:c r="D1446" s="8" t="n"/>
      <x:c r="E1446" s="8" t="n"/>
      <x:c r="F1446" s="8" t="n"/>
      <x:c r="G1446" s="7">
        <x:f>IF(A1446="","",IF(01_Parametres!$B$11="Oui",IF((01_Parametres!$B$4*(D1446&gt;0)+01_Parametres!$B$5*(E1446&gt;0)+01_Parametres!$B$6*(F1446&gt;0))=0,"",(01_Parametres!$B$4*IF(D1446&gt;0,D1446,0)+01_Parametres!$B$5*IF(E1446&gt;0,E1446,0)+01_Parametres!$B$6*IF(F1446&gt;0,F1446,0))/(01_Parametres!$B$4*(D1446&gt;0)+01_Parametres!$B$5*(E1446&gt;0)+01_Parametres!$B$6*(F1446&gt;0))),IF(01_Parametres!$B$8=0,"",(01_Parametres!$B$4*D1446+01_Parametres!$B$5*E1446+01_Parametres!$B$6*F1446)/01_Parametres!$B$8)))</x:f>
      </x:c>
      <x:c r="H1446">
        <x:f>IFERROR(VLOOKUP(C1446,02_Referentiels!$A$20:$D$99,3,FALSE),"")</x:f>
      </x:c>
      <x:c r="I1446">
        <x:f>IFERROR(VLOOKUP(B1446,02_Referentiels!$A$5:$C$16,2,FALSE),"")</x:f>
      </x:c>
      <x:c r="J1446">
        <x:f>IF(A1446="","",IF(OR(D1446="",E1446="",F1446=""),1,IF(OR(D1446&lt;0,D1446&gt;3,E1446&lt;0,E1446&gt;3,F1446&lt;0,F1446&gt;3),1,0)))</x:f>
      </x:c>
      <x:c r="K1446">
        <x:f>IF(A1446="","",IF(G1446="",1,0))</x:f>
      </x:c>
      <x:c r="L1446">
        <x:f>IF(A1446="","",IF(COUNTIFS($A$5:$A$2004,A1446,$C$5:$C$2004,C1446)&gt;1,1,0))</x:f>
      </x:c>
    </x:row>
    <x:row r="1447">
      <x:c r="A1447" s="8" t="n"/>
      <x:c r="B1447" s="8" t="n"/>
      <x:c r="C1447" s="8" t="n"/>
      <x:c r="D1447" s="8" t="n"/>
      <x:c r="E1447" s="8" t="n"/>
      <x:c r="F1447" s="8" t="n"/>
      <x:c r="G1447" s="7">
        <x:f>IF(A1447="","",IF(01_Parametres!$B$11="Oui",IF((01_Parametres!$B$4*(D1447&gt;0)+01_Parametres!$B$5*(E1447&gt;0)+01_Parametres!$B$6*(F1447&gt;0))=0,"",(01_Parametres!$B$4*IF(D1447&gt;0,D1447,0)+01_Parametres!$B$5*IF(E1447&gt;0,E1447,0)+01_Parametres!$B$6*IF(F1447&gt;0,F1447,0))/(01_Parametres!$B$4*(D1447&gt;0)+01_Parametres!$B$5*(E1447&gt;0)+01_Parametres!$B$6*(F1447&gt;0))),IF(01_Parametres!$B$8=0,"",(01_Parametres!$B$4*D1447+01_Parametres!$B$5*E1447+01_Parametres!$B$6*F1447)/01_Parametres!$B$8)))</x:f>
      </x:c>
      <x:c r="H1447">
        <x:f>IFERROR(VLOOKUP(C1447,02_Referentiels!$A$20:$D$99,3,FALSE),"")</x:f>
      </x:c>
      <x:c r="I1447">
        <x:f>IFERROR(VLOOKUP(B1447,02_Referentiels!$A$5:$C$16,2,FALSE),"")</x:f>
      </x:c>
      <x:c r="J1447">
        <x:f>IF(A1447="","",IF(OR(D1447="",E1447="",F1447=""),1,IF(OR(D1447&lt;0,D1447&gt;3,E1447&lt;0,E1447&gt;3,F1447&lt;0,F1447&gt;3),1,0)))</x:f>
      </x:c>
      <x:c r="K1447">
        <x:f>IF(A1447="","",IF(G1447="",1,0))</x:f>
      </x:c>
      <x:c r="L1447">
        <x:f>IF(A1447="","",IF(COUNTIFS($A$5:$A$2004,A1447,$C$5:$C$2004,C1447)&gt;1,1,0))</x:f>
      </x:c>
    </x:row>
    <x:row r="1448">
      <x:c r="A1448" s="8" t="n"/>
      <x:c r="B1448" s="8" t="n"/>
      <x:c r="C1448" s="8" t="n"/>
      <x:c r="D1448" s="8" t="n"/>
      <x:c r="E1448" s="8" t="n"/>
      <x:c r="F1448" s="8" t="n"/>
      <x:c r="G1448" s="7">
        <x:f>IF(A1448="","",IF(01_Parametres!$B$11="Oui",IF((01_Parametres!$B$4*(D1448&gt;0)+01_Parametres!$B$5*(E1448&gt;0)+01_Parametres!$B$6*(F1448&gt;0))=0,"",(01_Parametres!$B$4*IF(D1448&gt;0,D1448,0)+01_Parametres!$B$5*IF(E1448&gt;0,E1448,0)+01_Parametres!$B$6*IF(F1448&gt;0,F1448,0))/(01_Parametres!$B$4*(D1448&gt;0)+01_Parametres!$B$5*(E1448&gt;0)+01_Parametres!$B$6*(F1448&gt;0))),IF(01_Parametres!$B$8=0,"",(01_Parametres!$B$4*D1448+01_Parametres!$B$5*E1448+01_Parametres!$B$6*F1448)/01_Parametres!$B$8)))</x:f>
      </x:c>
      <x:c r="H1448">
        <x:f>IFERROR(VLOOKUP(C1448,02_Referentiels!$A$20:$D$99,3,FALSE),"")</x:f>
      </x:c>
      <x:c r="I1448">
        <x:f>IFERROR(VLOOKUP(B1448,02_Referentiels!$A$5:$C$16,2,FALSE),"")</x:f>
      </x:c>
      <x:c r="J1448">
        <x:f>IF(A1448="","",IF(OR(D1448="",E1448="",F1448=""),1,IF(OR(D1448&lt;0,D1448&gt;3,E1448&lt;0,E1448&gt;3,F1448&lt;0,F1448&gt;3),1,0)))</x:f>
      </x:c>
      <x:c r="K1448">
        <x:f>IF(A1448="","",IF(G1448="",1,0))</x:f>
      </x:c>
      <x:c r="L1448">
        <x:f>IF(A1448="","",IF(COUNTIFS($A$5:$A$2004,A1448,$C$5:$C$2004,C1448)&gt;1,1,0))</x:f>
      </x:c>
    </x:row>
    <x:row r="1449">
      <x:c r="A1449" s="8" t="n"/>
      <x:c r="B1449" s="8" t="n"/>
      <x:c r="C1449" s="8" t="n"/>
      <x:c r="D1449" s="8" t="n"/>
      <x:c r="E1449" s="8" t="n"/>
      <x:c r="F1449" s="8" t="n"/>
      <x:c r="G1449" s="7">
        <x:f>IF(A1449="","",IF(01_Parametres!$B$11="Oui",IF((01_Parametres!$B$4*(D1449&gt;0)+01_Parametres!$B$5*(E1449&gt;0)+01_Parametres!$B$6*(F1449&gt;0))=0,"",(01_Parametres!$B$4*IF(D1449&gt;0,D1449,0)+01_Parametres!$B$5*IF(E1449&gt;0,E1449,0)+01_Parametres!$B$6*IF(F1449&gt;0,F1449,0))/(01_Parametres!$B$4*(D1449&gt;0)+01_Parametres!$B$5*(E1449&gt;0)+01_Parametres!$B$6*(F1449&gt;0))),IF(01_Parametres!$B$8=0,"",(01_Parametres!$B$4*D1449+01_Parametres!$B$5*E1449+01_Parametres!$B$6*F1449)/01_Parametres!$B$8)))</x:f>
      </x:c>
      <x:c r="H1449">
        <x:f>IFERROR(VLOOKUP(C1449,02_Referentiels!$A$20:$D$99,3,FALSE),"")</x:f>
      </x:c>
      <x:c r="I1449">
        <x:f>IFERROR(VLOOKUP(B1449,02_Referentiels!$A$5:$C$16,2,FALSE),"")</x:f>
      </x:c>
      <x:c r="J1449">
        <x:f>IF(A1449="","",IF(OR(D1449="",E1449="",F1449=""),1,IF(OR(D1449&lt;0,D1449&gt;3,E1449&lt;0,E1449&gt;3,F1449&lt;0,F1449&gt;3),1,0)))</x:f>
      </x:c>
      <x:c r="K1449">
        <x:f>IF(A1449="","",IF(G1449="",1,0))</x:f>
      </x:c>
      <x:c r="L1449">
        <x:f>IF(A1449="","",IF(COUNTIFS($A$5:$A$2004,A1449,$C$5:$C$2004,C1449)&gt;1,1,0))</x:f>
      </x:c>
    </x:row>
    <x:row r="1450">
      <x:c r="A1450" s="8" t="n"/>
      <x:c r="B1450" s="8" t="n"/>
      <x:c r="C1450" s="8" t="n"/>
      <x:c r="D1450" s="8" t="n"/>
      <x:c r="E1450" s="8" t="n"/>
      <x:c r="F1450" s="8" t="n"/>
      <x:c r="G1450" s="7">
        <x:f>IF(A1450="","",IF(01_Parametres!$B$11="Oui",IF((01_Parametres!$B$4*(D1450&gt;0)+01_Parametres!$B$5*(E1450&gt;0)+01_Parametres!$B$6*(F1450&gt;0))=0,"",(01_Parametres!$B$4*IF(D1450&gt;0,D1450,0)+01_Parametres!$B$5*IF(E1450&gt;0,E1450,0)+01_Parametres!$B$6*IF(F1450&gt;0,F1450,0))/(01_Parametres!$B$4*(D1450&gt;0)+01_Parametres!$B$5*(E1450&gt;0)+01_Parametres!$B$6*(F1450&gt;0))),IF(01_Parametres!$B$8=0,"",(01_Parametres!$B$4*D1450+01_Parametres!$B$5*E1450+01_Parametres!$B$6*F1450)/01_Parametres!$B$8)))</x:f>
      </x:c>
      <x:c r="H1450">
        <x:f>IFERROR(VLOOKUP(C1450,02_Referentiels!$A$20:$D$99,3,FALSE),"")</x:f>
      </x:c>
      <x:c r="I1450">
        <x:f>IFERROR(VLOOKUP(B1450,02_Referentiels!$A$5:$C$16,2,FALSE),"")</x:f>
      </x:c>
      <x:c r="J1450">
        <x:f>IF(A1450="","",IF(OR(D1450="",E1450="",F1450=""),1,IF(OR(D1450&lt;0,D1450&gt;3,E1450&lt;0,E1450&gt;3,F1450&lt;0,F1450&gt;3),1,0)))</x:f>
      </x:c>
      <x:c r="K1450">
        <x:f>IF(A1450="","",IF(G1450="",1,0))</x:f>
      </x:c>
      <x:c r="L1450">
        <x:f>IF(A1450="","",IF(COUNTIFS($A$5:$A$2004,A1450,$C$5:$C$2004,C1450)&gt;1,1,0))</x:f>
      </x:c>
    </x:row>
    <x:row r="1451">
      <x:c r="A1451" s="8" t="n"/>
      <x:c r="B1451" s="8" t="n"/>
      <x:c r="C1451" s="8" t="n"/>
      <x:c r="D1451" s="8" t="n"/>
      <x:c r="E1451" s="8" t="n"/>
      <x:c r="F1451" s="8" t="n"/>
      <x:c r="G1451" s="7">
        <x:f>IF(A1451="","",IF(01_Parametres!$B$11="Oui",IF((01_Parametres!$B$4*(D1451&gt;0)+01_Parametres!$B$5*(E1451&gt;0)+01_Parametres!$B$6*(F1451&gt;0))=0,"",(01_Parametres!$B$4*IF(D1451&gt;0,D1451,0)+01_Parametres!$B$5*IF(E1451&gt;0,E1451,0)+01_Parametres!$B$6*IF(F1451&gt;0,F1451,0))/(01_Parametres!$B$4*(D1451&gt;0)+01_Parametres!$B$5*(E1451&gt;0)+01_Parametres!$B$6*(F1451&gt;0))),IF(01_Parametres!$B$8=0,"",(01_Parametres!$B$4*D1451+01_Parametres!$B$5*E1451+01_Parametres!$B$6*F1451)/01_Parametres!$B$8)))</x:f>
      </x:c>
      <x:c r="H1451">
        <x:f>IFERROR(VLOOKUP(C1451,02_Referentiels!$A$20:$D$99,3,FALSE),"")</x:f>
      </x:c>
      <x:c r="I1451">
        <x:f>IFERROR(VLOOKUP(B1451,02_Referentiels!$A$5:$C$16,2,FALSE),"")</x:f>
      </x:c>
      <x:c r="J1451">
        <x:f>IF(A1451="","",IF(OR(D1451="",E1451="",F1451=""),1,IF(OR(D1451&lt;0,D1451&gt;3,E1451&lt;0,E1451&gt;3,F1451&lt;0,F1451&gt;3),1,0)))</x:f>
      </x:c>
      <x:c r="K1451">
        <x:f>IF(A1451="","",IF(G1451="",1,0))</x:f>
      </x:c>
      <x:c r="L1451">
        <x:f>IF(A1451="","",IF(COUNTIFS($A$5:$A$2004,A1451,$C$5:$C$2004,C1451)&gt;1,1,0))</x:f>
      </x:c>
    </x:row>
    <x:row r="1452">
      <x:c r="A1452" s="8" t="n"/>
      <x:c r="B1452" s="8" t="n"/>
      <x:c r="C1452" s="8" t="n"/>
      <x:c r="D1452" s="8" t="n"/>
      <x:c r="E1452" s="8" t="n"/>
      <x:c r="F1452" s="8" t="n"/>
      <x:c r="G1452" s="7">
        <x:f>IF(A1452="","",IF(01_Parametres!$B$11="Oui",IF((01_Parametres!$B$4*(D1452&gt;0)+01_Parametres!$B$5*(E1452&gt;0)+01_Parametres!$B$6*(F1452&gt;0))=0,"",(01_Parametres!$B$4*IF(D1452&gt;0,D1452,0)+01_Parametres!$B$5*IF(E1452&gt;0,E1452,0)+01_Parametres!$B$6*IF(F1452&gt;0,F1452,0))/(01_Parametres!$B$4*(D1452&gt;0)+01_Parametres!$B$5*(E1452&gt;0)+01_Parametres!$B$6*(F1452&gt;0))),IF(01_Parametres!$B$8=0,"",(01_Parametres!$B$4*D1452+01_Parametres!$B$5*E1452+01_Parametres!$B$6*F1452)/01_Parametres!$B$8)))</x:f>
      </x:c>
      <x:c r="H1452">
        <x:f>IFERROR(VLOOKUP(C1452,02_Referentiels!$A$20:$D$99,3,FALSE),"")</x:f>
      </x:c>
      <x:c r="I1452">
        <x:f>IFERROR(VLOOKUP(B1452,02_Referentiels!$A$5:$C$16,2,FALSE),"")</x:f>
      </x:c>
      <x:c r="J1452">
        <x:f>IF(A1452="","",IF(OR(D1452="",E1452="",F1452=""),1,IF(OR(D1452&lt;0,D1452&gt;3,E1452&lt;0,E1452&gt;3,F1452&lt;0,F1452&gt;3),1,0)))</x:f>
      </x:c>
      <x:c r="K1452">
        <x:f>IF(A1452="","",IF(G1452="",1,0))</x:f>
      </x:c>
      <x:c r="L1452">
        <x:f>IF(A1452="","",IF(COUNTIFS($A$5:$A$2004,A1452,$C$5:$C$2004,C1452)&gt;1,1,0))</x:f>
      </x:c>
    </x:row>
    <x:row r="1453">
      <x:c r="A1453" s="8" t="n"/>
      <x:c r="B1453" s="8" t="n"/>
      <x:c r="C1453" s="8" t="n"/>
      <x:c r="D1453" s="8" t="n"/>
      <x:c r="E1453" s="8" t="n"/>
      <x:c r="F1453" s="8" t="n"/>
      <x:c r="G1453" s="7">
        <x:f>IF(A1453="","",IF(01_Parametres!$B$11="Oui",IF((01_Parametres!$B$4*(D1453&gt;0)+01_Parametres!$B$5*(E1453&gt;0)+01_Parametres!$B$6*(F1453&gt;0))=0,"",(01_Parametres!$B$4*IF(D1453&gt;0,D1453,0)+01_Parametres!$B$5*IF(E1453&gt;0,E1453,0)+01_Parametres!$B$6*IF(F1453&gt;0,F1453,0))/(01_Parametres!$B$4*(D1453&gt;0)+01_Parametres!$B$5*(E1453&gt;0)+01_Parametres!$B$6*(F1453&gt;0))),IF(01_Parametres!$B$8=0,"",(01_Parametres!$B$4*D1453+01_Parametres!$B$5*E1453+01_Parametres!$B$6*F1453)/01_Parametres!$B$8)))</x:f>
      </x:c>
      <x:c r="H1453">
        <x:f>IFERROR(VLOOKUP(C1453,02_Referentiels!$A$20:$D$99,3,FALSE),"")</x:f>
      </x:c>
      <x:c r="I1453">
        <x:f>IFERROR(VLOOKUP(B1453,02_Referentiels!$A$5:$C$16,2,FALSE),"")</x:f>
      </x:c>
      <x:c r="J1453">
        <x:f>IF(A1453="","",IF(OR(D1453="",E1453="",F1453=""),1,IF(OR(D1453&lt;0,D1453&gt;3,E1453&lt;0,E1453&gt;3,F1453&lt;0,F1453&gt;3),1,0)))</x:f>
      </x:c>
      <x:c r="K1453">
        <x:f>IF(A1453="","",IF(G1453="",1,0))</x:f>
      </x:c>
      <x:c r="L1453">
        <x:f>IF(A1453="","",IF(COUNTIFS($A$5:$A$2004,A1453,$C$5:$C$2004,C1453)&gt;1,1,0))</x:f>
      </x:c>
    </x:row>
    <x:row r="1454">
      <x:c r="A1454" s="8" t="n"/>
      <x:c r="B1454" s="8" t="n"/>
      <x:c r="C1454" s="8" t="n"/>
      <x:c r="D1454" s="8" t="n"/>
      <x:c r="E1454" s="8" t="n"/>
      <x:c r="F1454" s="8" t="n"/>
      <x:c r="G1454" s="7">
        <x:f>IF(A1454="","",IF(01_Parametres!$B$11="Oui",IF((01_Parametres!$B$4*(D1454&gt;0)+01_Parametres!$B$5*(E1454&gt;0)+01_Parametres!$B$6*(F1454&gt;0))=0,"",(01_Parametres!$B$4*IF(D1454&gt;0,D1454,0)+01_Parametres!$B$5*IF(E1454&gt;0,E1454,0)+01_Parametres!$B$6*IF(F1454&gt;0,F1454,0))/(01_Parametres!$B$4*(D1454&gt;0)+01_Parametres!$B$5*(E1454&gt;0)+01_Parametres!$B$6*(F1454&gt;0))),IF(01_Parametres!$B$8=0,"",(01_Parametres!$B$4*D1454+01_Parametres!$B$5*E1454+01_Parametres!$B$6*F1454)/01_Parametres!$B$8)))</x:f>
      </x:c>
      <x:c r="H1454">
        <x:f>IFERROR(VLOOKUP(C1454,02_Referentiels!$A$20:$D$99,3,FALSE),"")</x:f>
      </x:c>
      <x:c r="I1454">
        <x:f>IFERROR(VLOOKUP(B1454,02_Referentiels!$A$5:$C$16,2,FALSE),"")</x:f>
      </x:c>
      <x:c r="J1454">
        <x:f>IF(A1454="","",IF(OR(D1454="",E1454="",F1454=""),1,IF(OR(D1454&lt;0,D1454&gt;3,E1454&lt;0,E1454&gt;3,F1454&lt;0,F1454&gt;3),1,0)))</x:f>
      </x:c>
      <x:c r="K1454">
        <x:f>IF(A1454="","",IF(G1454="",1,0))</x:f>
      </x:c>
      <x:c r="L1454">
        <x:f>IF(A1454="","",IF(COUNTIFS($A$5:$A$2004,A1454,$C$5:$C$2004,C1454)&gt;1,1,0))</x:f>
      </x:c>
    </x:row>
    <x:row r="1455">
      <x:c r="A1455" s="8" t="n"/>
      <x:c r="B1455" s="8" t="n"/>
      <x:c r="C1455" s="8" t="n"/>
      <x:c r="D1455" s="8" t="n"/>
      <x:c r="E1455" s="8" t="n"/>
      <x:c r="F1455" s="8" t="n"/>
      <x:c r="G1455" s="7">
        <x:f>IF(A1455="","",IF(01_Parametres!$B$11="Oui",IF((01_Parametres!$B$4*(D1455&gt;0)+01_Parametres!$B$5*(E1455&gt;0)+01_Parametres!$B$6*(F1455&gt;0))=0,"",(01_Parametres!$B$4*IF(D1455&gt;0,D1455,0)+01_Parametres!$B$5*IF(E1455&gt;0,E1455,0)+01_Parametres!$B$6*IF(F1455&gt;0,F1455,0))/(01_Parametres!$B$4*(D1455&gt;0)+01_Parametres!$B$5*(E1455&gt;0)+01_Parametres!$B$6*(F1455&gt;0))),IF(01_Parametres!$B$8=0,"",(01_Parametres!$B$4*D1455+01_Parametres!$B$5*E1455+01_Parametres!$B$6*F1455)/01_Parametres!$B$8)))</x:f>
      </x:c>
      <x:c r="H1455">
        <x:f>IFERROR(VLOOKUP(C1455,02_Referentiels!$A$20:$D$99,3,FALSE),"")</x:f>
      </x:c>
      <x:c r="I1455">
        <x:f>IFERROR(VLOOKUP(B1455,02_Referentiels!$A$5:$C$16,2,FALSE),"")</x:f>
      </x:c>
      <x:c r="J1455">
        <x:f>IF(A1455="","",IF(OR(D1455="",E1455="",F1455=""),1,IF(OR(D1455&lt;0,D1455&gt;3,E1455&lt;0,E1455&gt;3,F1455&lt;0,F1455&gt;3),1,0)))</x:f>
      </x:c>
      <x:c r="K1455">
        <x:f>IF(A1455="","",IF(G1455="",1,0))</x:f>
      </x:c>
      <x:c r="L1455">
        <x:f>IF(A1455="","",IF(COUNTIFS($A$5:$A$2004,A1455,$C$5:$C$2004,C1455)&gt;1,1,0))</x:f>
      </x:c>
    </x:row>
    <x:row r="1456">
      <x:c r="A1456" s="8" t="n"/>
      <x:c r="B1456" s="8" t="n"/>
      <x:c r="C1456" s="8" t="n"/>
      <x:c r="D1456" s="8" t="n"/>
      <x:c r="E1456" s="8" t="n"/>
      <x:c r="F1456" s="8" t="n"/>
      <x:c r="G1456" s="7">
        <x:f>IF(A1456="","",IF(01_Parametres!$B$11="Oui",IF((01_Parametres!$B$4*(D1456&gt;0)+01_Parametres!$B$5*(E1456&gt;0)+01_Parametres!$B$6*(F1456&gt;0))=0,"",(01_Parametres!$B$4*IF(D1456&gt;0,D1456,0)+01_Parametres!$B$5*IF(E1456&gt;0,E1456,0)+01_Parametres!$B$6*IF(F1456&gt;0,F1456,0))/(01_Parametres!$B$4*(D1456&gt;0)+01_Parametres!$B$5*(E1456&gt;0)+01_Parametres!$B$6*(F1456&gt;0))),IF(01_Parametres!$B$8=0,"",(01_Parametres!$B$4*D1456+01_Parametres!$B$5*E1456+01_Parametres!$B$6*F1456)/01_Parametres!$B$8)))</x:f>
      </x:c>
      <x:c r="H1456">
        <x:f>IFERROR(VLOOKUP(C1456,02_Referentiels!$A$20:$D$99,3,FALSE),"")</x:f>
      </x:c>
      <x:c r="I1456">
        <x:f>IFERROR(VLOOKUP(B1456,02_Referentiels!$A$5:$C$16,2,FALSE),"")</x:f>
      </x:c>
      <x:c r="J1456">
        <x:f>IF(A1456="","",IF(OR(D1456="",E1456="",F1456=""),1,IF(OR(D1456&lt;0,D1456&gt;3,E1456&lt;0,E1456&gt;3,F1456&lt;0,F1456&gt;3),1,0)))</x:f>
      </x:c>
      <x:c r="K1456">
        <x:f>IF(A1456="","",IF(G1456="",1,0))</x:f>
      </x:c>
      <x:c r="L1456">
        <x:f>IF(A1456="","",IF(COUNTIFS($A$5:$A$2004,A1456,$C$5:$C$2004,C1456)&gt;1,1,0))</x:f>
      </x:c>
    </x:row>
    <x:row r="1457">
      <x:c r="A1457" s="8" t="n"/>
      <x:c r="B1457" s="8" t="n"/>
      <x:c r="C1457" s="8" t="n"/>
      <x:c r="D1457" s="8" t="n"/>
      <x:c r="E1457" s="8" t="n"/>
      <x:c r="F1457" s="8" t="n"/>
      <x:c r="G1457" s="7">
        <x:f>IF(A1457="","",IF(01_Parametres!$B$11="Oui",IF((01_Parametres!$B$4*(D1457&gt;0)+01_Parametres!$B$5*(E1457&gt;0)+01_Parametres!$B$6*(F1457&gt;0))=0,"",(01_Parametres!$B$4*IF(D1457&gt;0,D1457,0)+01_Parametres!$B$5*IF(E1457&gt;0,E1457,0)+01_Parametres!$B$6*IF(F1457&gt;0,F1457,0))/(01_Parametres!$B$4*(D1457&gt;0)+01_Parametres!$B$5*(E1457&gt;0)+01_Parametres!$B$6*(F1457&gt;0))),IF(01_Parametres!$B$8=0,"",(01_Parametres!$B$4*D1457+01_Parametres!$B$5*E1457+01_Parametres!$B$6*F1457)/01_Parametres!$B$8)))</x:f>
      </x:c>
      <x:c r="H1457">
        <x:f>IFERROR(VLOOKUP(C1457,02_Referentiels!$A$20:$D$99,3,FALSE),"")</x:f>
      </x:c>
      <x:c r="I1457">
        <x:f>IFERROR(VLOOKUP(B1457,02_Referentiels!$A$5:$C$16,2,FALSE),"")</x:f>
      </x:c>
      <x:c r="J1457">
        <x:f>IF(A1457="","",IF(OR(D1457="",E1457="",F1457=""),1,IF(OR(D1457&lt;0,D1457&gt;3,E1457&lt;0,E1457&gt;3,F1457&lt;0,F1457&gt;3),1,0)))</x:f>
      </x:c>
      <x:c r="K1457">
        <x:f>IF(A1457="","",IF(G1457="",1,0))</x:f>
      </x:c>
      <x:c r="L1457">
        <x:f>IF(A1457="","",IF(COUNTIFS($A$5:$A$2004,A1457,$C$5:$C$2004,C1457)&gt;1,1,0))</x:f>
      </x:c>
    </x:row>
    <x:row r="1458">
      <x:c r="A1458" s="8" t="n"/>
      <x:c r="B1458" s="8" t="n"/>
      <x:c r="C1458" s="8" t="n"/>
      <x:c r="D1458" s="8" t="n"/>
      <x:c r="E1458" s="8" t="n"/>
      <x:c r="F1458" s="8" t="n"/>
      <x:c r="G1458" s="7">
        <x:f>IF(A1458="","",IF(01_Parametres!$B$11="Oui",IF((01_Parametres!$B$4*(D1458&gt;0)+01_Parametres!$B$5*(E1458&gt;0)+01_Parametres!$B$6*(F1458&gt;0))=0,"",(01_Parametres!$B$4*IF(D1458&gt;0,D1458,0)+01_Parametres!$B$5*IF(E1458&gt;0,E1458,0)+01_Parametres!$B$6*IF(F1458&gt;0,F1458,0))/(01_Parametres!$B$4*(D1458&gt;0)+01_Parametres!$B$5*(E1458&gt;0)+01_Parametres!$B$6*(F1458&gt;0))),IF(01_Parametres!$B$8=0,"",(01_Parametres!$B$4*D1458+01_Parametres!$B$5*E1458+01_Parametres!$B$6*F1458)/01_Parametres!$B$8)))</x:f>
      </x:c>
      <x:c r="H1458">
        <x:f>IFERROR(VLOOKUP(C1458,02_Referentiels!$A$20:$D$99,3,FALSE),"")</x:f>
      </x:c>
      <x:c r="I1458">
        <x:f>IFERROR(VLOOKUP(B1458,02_Referentiels!$A$5:$C$16,2,FALSE),"")</x:f>
      </x:c>
      <x:c r="J1458">
        <x:f>IF(A1458="","",IF(OR(D1458="",E1458="",F1458=""),1,IF(OR(D1458&lt;0,D1458&gt;3,E1458&lt;0,E1458&gt;3,F1458&lt;0,F1458&gt;3),1,0)))</x:f>
      </x:c>
      <x:c r="K1458">
        <x:f>IF(A1458="","",IF(G1458="",1,0))</x:f>
      </x:c>
      <x:c r="L1458">
        <x:f>IF(A1458="","",IF(COUNTIFS($A$5:$A$2004,A1458,$C$5:$C$2004,C1458)&gt;1,1,0))</x:f>
      </x:c>
    </x:row>
    <x:row r="1459">
      <x:c r="A1459" s="8" t="n"/>
      <x:c r="B1459" s="8" t="n"/>
      <x:c r="C1459" s="8" t="n"/>
      <x:c r="D1459" s="8" t="n"/>
      <x:c r="E1459" s="8" t="n"/>
      <x:c r="F1459" s="8" t="n"/>
      <x:c r="G1459" s="7">
        <x:f>IF(A1459="","",IF(01_Parametres!$B$11="Oui",IF((01_Parametres!$B$4*(D1459&gt;0)+01_Parametres!$B$5*(E1459&gt;0)+01_Parametres!$B$6*(F1459&gt;0))=0,"",(01_Parametres!$B$4*IF(D1459&gt;0,D1459,0)+01_Parametres!$B$5*IF(E1459&gt;0,E1459,0)+01_Parametres!$B$6*IF(F1459&gt;0,F1459,0))/(01_Parametres!$B$4*(D1459&gt;0)+01_Parametres!$B$5*(E1459&gt;0)+01_Parametres!$B$6*(F1459&gt;0))),IF(01_Parametres!$B$8=0,"",(01_Parametres!$B$4*D1459+01_Parametres!$B$5*E1459+01_Parametres!$B$6*F1459)/01_Parametres!$B$8)))</x:f>
      </x:c>
      <x:c r="H1459">
        <x:f>IFERROR(VLOOKUP(C1459,02_Referentiels!$A$20:$D$99,3,FALSE),"")</x:f>
      </x:c>
      <x:c r="I1459">
        <x:f>IFERROR(VLOOKUP(B1459,02_Referentiels!$A$5:$C$16,2,FALSE),"")</x:f>
      </x:c>
      <x:c r="J1459">
        <x:f>IF(A1459="","",IF(OR(D1459="",E1459="",F1459=""),1,IF(OR(D1459&lt;0,D1459&gt;3,E1459&lt;0,E1459&gt;3,F1459&lt;0,F1459&gt;3),1,0)))</x:f>
      </x:c>
      <x:c r="K1459">
        <x:f>IF(A1459="","",IF(G1459="",1,0))</x:f>
      </x:c>
      <x:c r="L1459">
        <x:f>IF(A1459="","",IF(COUNTIFS($A$5:$A$2004,A1459,$C$5:$C$2004,C1459)&gt;1,1,0))</x:f>
      </x:c>
    </x:row>
    <x:row r="1460">
      <x:c r="A1460" s="8" t="n"/>
      <x:c r="B1460" s="8" t="n"/>
      <x:c r="C1460" s="8" t="n"/>
      <x:c r="D1460" s="8" t="n"/>
      <x:c r="E1460" s="8" t="n"/>
      <x:c r="F1460" s="8" t="n"/>
      <x:c r="G1460" s="7">
        <x:f>IF(A1460="","",IF(01_Parametres!$B$11="Oui",IF((01_Parametres!$B$4*(D1460&gt;0)+01_Parametres!$B$5*(E1460&gt;0)+01_Parametres!$B$6*(F1460&gt;0))=0,"",(01_Parametres!$B$4*IF(D1460&gt;0,D1460,0)+01_Parametres!$B$5*IF(E1460&gt;0,E1460,0)+01_Parametres!$B$6*IF(F1460&gt;0,F1460,0))/(01_Parametres!$B$4*(D1460&gt;0)+01_Parametres!$B$5*(E1460&gt;0)+01_Parametres!$B$6*(F1460&gt;0))),IF(01_Parametres!$B$8=0,"",(01_Parametres!$B$4*D1460+01_Parametres!$B$5*E1460+01_Parametres!$B$6*F1460)/01_Parametres!$B$8)))</x:f>
      </x:c>
      <x:c r="H1460">
        <x:f>IFERROR(VLOOKUP(C1460,02_Referentiels!$A$20:$D$99,3,FALSE),"")</x:f>
      </x:c>
      <x:c r="I1460">
        <x:f>IFERROR(VLOOKUP(B1460,02_Referentiels!$A$5:$C$16,2,FALSE),"")</x:f>
      </x:c>
      <x:c r="J1460">
        <x:f>IF(A1460="","",IF(OR(D1460="",E1460="",F1460=""),1,IF(OR(D1460&lt;0,D1460&gt;3,E1460&lt;0,E1460&gt;3,F1460&lt;0,F1460&gt;3),1,0)))</x:f>
      </x:c>
      <x:c r="K1460">
        <x:f>IF(A1460="","",IF(G1460="",1,0))</x:f>
      </x:c>
      <x:c r="L1460">
        <x:f>IF(A1460="","",IF(COUNTIFS($A$5:$A$2004,A1460,$C$5:$C$2004,C1460)&gt;1,1,0))</x:f>
      </x:c>
    </x:row>
    <x:row r="1461">
      <x:c r="A1461" s="8" t="n"/>
      <x:c r="B1461" s="8" t="n"/>
      <x:c r="C1461" s="8" t="n"/>
      <x:c r="D1461" s="8" t="n"/>
      <x:c r="E1461" s="8" t="n"/>
      <x:c r="F1461" s="8" t="n"/>
      <x:c r="G1461" s="7">
        <x:f>IF(A1461="","",IF(01_Parametres!$B$11="Oui",IF((01_Parametres!$B$4*(D1461&gt;0)+01_Parametres!$B$5*(E1461&gt;0)+01_Parametres!$B$6*(F1461&gt;0))=0,"",(01_Parametres!$B$4*IF(D1461&gt;0,D1461,0)+01_Parametres!$B$5*IF(E1461&gt;0,E1461,0)+01_Parametres!$B$6*IF(F1461&gt;0,F1461,0))/(01_Parametres!$B$4*(D1461&gt;0)+01_Parametres!$B$5*(E1461&gt;0)+01_Parametres!$B$6*(F1461&gt;0))),IF(01_Parametres!$B$8=0,"",(01_Parametres!$B$4*D1461+01_Parametres!$B$5*E1461+01_Parametres!$B$6*F1461)/01_Parametres!$B$8)))</x:f>
      </x:c>
      <x:c r="H1461">
        <x:f>IFERROR(VLOOKUP(C1461,02_Referentiels!$A$20:$D$99,3,FALSE),"")</x:f>
      </x:c>
      <x:c r="I1461">
        <x:f>IFERROR(VLOOKUP(B1461,02_Referentiels!$A$5:$C$16,2,FALSE),"")</x:f>
      </x:c>
      <x:c r="J1461">
        <x:f>IF(A1461="","",IF(OR(D1461="",E1461="",F1461=""),1,IF(OR(D1461&lt;0,D1461&gt;3,E1461&lt;0,E1461&gt;3,F1461&lt;0,F1461&gt;3),1,0)))</x:f>
      </x:c>
      <x:c r="K1461">
        <x:f>IF(A1461="","",IF(G1461="",1,0))</x:f>
      </x:c>
      <x:c r="L1461">
        <x:f>IF(A1461="","",IF(COUNTIFS($A$5:$A$2004,A1461,$C$5:$C$2004,C1461)&gt;1,1,0))</x:f>
      </x:c>
    </x:row>
    <x:row r="1462">
      <x:c r="A1462" s="8" t="n"/>
      <x:c r="B1462" s="8" t="n"/>
      <x:c r="C1462" s="8" t="n"/>
      <x:c r="D1462" s="8" t="n"/>
      <x:c r="E1462" s="8" t="n"/>
      <x:c r="F1462" s="8" t="n"/>
      <x:c r="G1462" s="7">
        <x:f>IF(A1462="","",IF(01_Parametres!$B$11="Oui",IF((01_Parametres!$B$4*(D1462&gt;0)+01_Parametres!$B$5*(E1462&gt;0)+01_Parametres!$B$6*(F1462&gt;0))=0,"",(01_Parametres!$B$4*IF(D1462&gt;0,D1462,0)+01_Parametres!$B$5*IF(E1462&gt;0,E1462,0)+01_Parametres!$B$6*IF(F1462&gt;0,F1462,0))/(01_Parametres!$B$4*(D1462&gt;0)+01_Parametres!$B$5*(E1462&gt;0)+01_Parametres!$B$6*(F1462&gt;0))),IF(01_Parametres!$B$8=0,"",(01_Parametres!$B$4*D1462+01_Parametres!$B$5*E1462+01_Parametres!$B$6*F1462)/01_Parametres!$B$8)))</x:f>
      </x:c>
      <x:c r="H1462">
        <x:f>IFERROR(VLOOKUP(C1462,02_Referentiels!$A$20:$D$99,3,FALSE),"")</x:f>
      </x:c>
      <x:c r="I1462">
        <x:f>IFERROR(VLOOKUP(B1462,02_Referentiels!$A$5:$C$16,2,FALSE),"")</x:f>
      </x:c>
      <x:c r="J1462">
        <x:f>IF(A1462="","",IF(OR(D1462="",E1462="",F1462=""),1,IF(OR(D1462&lt;0,D1462&gt;3,E1462&lt;0,E1462&gt;3,F1462&lt;0,F1462&gt;3),1,0)))</x:f>
      </x:c>
      <x:c r="K1462">
        <x:f>IF(A1462="","",IF(G1462="",1,0))</x:f>
      </x:c>
      <x:c r="L1462">
        <x:f>IF(A1462="","",IF(COUNTIFS($A$5:$A$2004,A1462,$C$5:$C$2004,C1462)&gt;1,1,0))</x:f>
      </x:c>
    </x:row>
    <x:row r="1463">
      <x:c r="A1463" s="8" t="n"/>
      <x:c r="B1463" s="8" t="n"/>
      <x:c r="C1463" s="8" t="n"/>
      <x:c r="D1463" s="8" t="n"/>
      <x:c r="E1463" s="8" t="n"/>
      <x:c r="F1463" s="8" t="n"/>
      <x:c r="G1463" s="7">
        <x:f>IF(A1463="","",IF(01_Parametres!$B$11="Oui",IF((01_Parametres!$B$4*(D1463&gt;0)+01_Parametres!$B$5*(E1463&gt;0)+01_Parametres!$B$6*(F1463&gt;0))=0,"",(01_Parametres!$B$4*IF(D1463&gt;0,D1463,0)+01_Parametres!$B$5*IF(E1463&gt;0,E1463,0)+01_Parametres!$B$6*IF(F1463&gt;0,F1463,0))/(01_Parametres!$B$4*(D1463&gt;0)+01_Parametres!$B$5*(E1463&gt;0)+01_Parametres!$B$6*(F1463&gt;0))),IF(01_Parametres!$B$8=0,"",(01_Parametres!$B$4*D1463+01_Parametres!$B$5*E1463+01_Parametres!$B$6*F1463)/01_Parametres!$B$8)))</x:f>
      </x:c>
      <x:c r="H1463">
        <x:f>IFERROR(VLOOKUP(C1463,02_Referentiels!$A$20:$D$99,3,FALSE),"")</x:f>
      </x:c>
      <x:c r="I1463">
        <x:f>IFERROR(VLOOKUP(B1463,02_Referentiels!$A$5:$C$16,2,FALSE),"")</x:f>
      </x:c>
      <x:c r="J1463">
        <x:f>IF(A1463="","",IF(OR(D1463="",E1463="",F1463=""),1,IF(OR(D1463&lt;0,D1463&gt;3,E1463&lt;0,E1463&gt;3,F1463&lt;0,F1463&gt;3),1,0)))</x:f>
      </x:c>
      <x:c r="K1463">
        <x:f>IF(A1463="","",IF(G1463="",1,0))</x:f>
      </x:c>
      <x:c r="L1463">
        <x:f>IF(A1463="","",IF(COUNTIFS($A$5:$A$2004,A1463,$C$5:$C$2004,C1463)&gt;1,1,0))</x:f>
      </x:c>
    </x:row>
    <x:row r="1464">
      <x:c r="A1464" s="8" t="n"/>
      <x:c r="B1464" s="8" t="n"/>
      <x:c r="C1464" s="8" t="n"/>
      <x:c r="D1464" s="8" t="n"/>
      <x:c r="E1464" s="8" t="n"/>
      <x:c r="F1464" s="8" t="n"/>
      <x:c r="G1464" s="7">
        <x:f>IF(A1464="","",IF(01_Parametres!$B$11="Oui",IF((01_Parametres!$B$4*(D1464&gt;0)+01_Parametres!$B$5*(E1464&gt;0)+01_Parametres!$B$6*(F1464&gt;0))=0,"",(01_Parametres!$B$4*IF(D1464&gt;0,D1464,0)+01_Parametres!$B$5*IF(E1464&gt;0,E1464,0)+01_Parametres!$B$6*IF(F1464&gt;0,F1464,0))/(01_Parametres!$B$4*(D1464&gt;0)+01_Parametres!$B$5*(E1464&gt;0)+01_Parametres!$B$6*(F1464&gt;0))),IF(01_Parametres!$B$8=0,"",(01_Parametres!$B$4*D1464+01_Parametres!$B$5*E1464+01_Parametres!$B$6*F1464)/01_Parametres!$B$8)))</x:f>
      </x:c>
      <x:c r="H1464">
        <x:f>IFERROR(VLOOKUP(C1464,02_Referentiels!$A$20:$D$99,3,FALSE),"")</x:f>
      </x:c>
      <x:c r="I1464">
        <x:f>IFERROR(VLOOKUP(B1464,02_Referentiels!$A$5:$C$16,2,FALSE),"")</x:f>
      </x:c>
      <x:c r="J1464">
        <x:f>IF(A1464="","",IF(OR(D1464="",E1464="",F1464=""),1,IF(OR(D1464&lt;0,D1464&gt;3,E1464&lt;0,E1464&gt;3,F1464&lt;0,F1464&gt;3),1,0)))</x:f>
      </x:c>
      <x:c r="K1464">
        <x:f>IF(A1464="","",IF(G1464="",1,0))</x:f>
      </x:c>
      <x:c r="L1464">
        <x:f>IF(A1464="","",IF(COUNTIFS($A$5:$A$2004,A1464,$C$5:$C$2004,C1464)&gt;1,1,0))</x:f>
      </x:c>
    </x:row>
    <x:row r="1465">
      <x:c r="A1465" s="8" t="n"/>
      <x:c r="B1465" s="8" t="n"/>
      <x:c r="C1465" s="8" t="n"/>
      <x:c r="D1465" s="8" t="n"/>
      <x:c r="E1465" s="8" t="n"/>
      <x:c r="F1465" s="8" t="n"/>
      <x:c r="G1465" s="7">
        <x:f>IF(A1465="","",IF(01_Parametres!$B$11="Oui",IF((01_Parametres!$B$4*(D1465&gt;0)+01_Parametres!$B$5*(E1465&gt;0)+01_Parametres!$B$6*(F1465&gt;0))=0,"",(01_Parametres!$B$4*IF(D1465&gt;0,D1465,0)+01_Parametres!$B$5*IF(E1465&gt;0,E1465,0)+01_Parametres!$B$6*IF(F1465&gt;0,F1465,0))/(01_Parametres!$B$4*(D1465&gt;0)+01_Parametres!$B$5*(E1465&gt;0)+01_Parametres!$B$6*(F1465&gt;0))),IF(01_Parametres!$B$8=0,"",(01_Parametres!$B$4*D1465+01_Parametres!$B$5*E1465+01_Parametres!$B$6*F1465)/01_Parametres!$B$8)))</x:f>
      </x:c>
      <x:c r="H1465">
        <x:f>IFERROR(VLOOKUP(C1465,02_Referentiels!$A$20:$D$99,3,FALSE),"")</x:f>
      </x:c>
      <x:c r="I1465">
        <x:f>IFERROR(VLOOKUP(B1465,02_Referentiels!$A$5:$C$16,2,FALSE),"")</x:f>
      </x:c>
      <x:c r="J1465">
        <x:f>IF(A1465="","",IF(OR(D1465="",E1465="",F1465=""),1,IF(OR(D1465&lt;0,D1465&gt;3,E1465&lt;0,E1465&gt;3,F1465&lt;0,F1465&gt;3),1,0)))</x:f>
      </x:c>
      <x:c r="K1465">
        <x:f>IF(A1465="","",IF(G1465="",1,0))</x:f>
      </x:c>
      <x:c r="L1465">
        <x:f>IF(A1465="","",IF(COUNTIFS($A$5:$A$2004,A1465,$C$5:$C$2004,C1465)&gt;1,1,0))</x:f>
      </x:c>
    </x:row>
    <x:row r="1466">
      <x:c r="A1466" s="8" t="n"/>
      <x:c r="B1466" s="8" t="n"/>
      <x:c r="C1466" s="8" t="n"/>
      <x:c r="D1466" s="8" t="n"/>
      <x:c r="E1466" s="8" t="n"/>
      <x:c r="F1466" s="8" t="n"/>
      <x:c r="G1466" s="7">
        <x:f>IF(A1466="","",IF(01_Parametres!$B$11="Oui",IF((01_Parametres!$B$4*(D1466&gt;0)+01_Parametres!$B$5*(E1466&gt;0)+01_Parametres!$B$6*(F1466&gt;0))=0,"",(01_Parametres!$B$4*IF(D1466&gt;0,D1466,0)+01_Parametres!$B$5*IF(E1466&gt;0,E1466,0)+01_Parametres!$B$6*IF(F1466&gt;0,F1466,0))/(01_Parametres!$B$4*(D1466&gt;0)+01_Parametres!$B$5*(E1466&gt;0)+01_Parametres!$B$6*(F1466&gt;0))),IF(01_Parametres!$B$8=0,"",(01_Parametres!$B$4*D1466+01_Parametres!$B$5*E1466+01_Parametres!$B$6*F1466)/01_Parametres!$B$8)))</x:f>
      </x:c>
      <x:c r="H1466">
        <x:f>IFERROR(VLOOKUP(C1466,02_Referentiels!$A$20:$D$99,3,FALSE),"")</x:f>
      </x:c>
      <x:c r="I1466">
        <x:f>IFERROR(VLOOKUP(B1466,02_Referentiels!$A$5:$C$16,2,FALSE),"")</x:f>
      </x:c>
      <x:c r="J1466">
        <x:f>IF(A1466="","",IF(OR(D1466="",E1466="",F1466=""),1,IF(OR(D1466&lt;0,D1466&gt;3,E1466&lt;0,E1466&gt;3,F1466&lt;0,F1466&gt;3),1,0)))</x:f>
      </x:c>
      <x:c r="K1466">
        <x:f>IF(A1466="","",IF(G1466="",1,0))</x:f>
      </x:c>
      <x:c r="L1466">
        <x:f>IF(A1466="","",IF(COUNTIFS($A$5:$A$2004,A1466,$C$5:$C$2004,C1466)&gt;1,1,0))</x:f>
      </x:c>
    </x:row>
    <x:row r="1467">
      <x:c r="A1467" s="8" t="n"/>
      <x:c r="B1467" s="8" t="n"/>
      <x:c r="C1467" s="8" t="n"/>
      <x:c r="D1467" s="8" t="n"/>
      <x:c r="E1467" s="8" t="n"/>
      <x:c r="F1467" s="8" t="n"/>
      <x:c r="G1467" s="7">
        <x:f>IF(A1467="","",IF(01_Parametres!$B$11="Oui",IF((01_Parametres!$B$4*(D1467&gt;0)+01_Parametres!$B$5*(E1467&gt;0)+01_Parametres!$B$6*(F1467&gt;0))=0,"",(01_Parametres!$B$4*IF(D1467&gt;0,D1467,0)+01_Parametres!$B$5*IF(E1467&gt;0,E1467,0)+01_Parametres!$B$6*IF(F1467&gt;0,F1467,0))/(01_Parametres!$B$4*(D1467&gt;0)+01_Parametres!$B$5*(E1467&gt;0)+01_Parametres!$B$6*(F1467&gt;0))),IF(01_Parametres!$B$8=0,"",(01_Parametres!$B$4*D1467+01_Parametres!$B$5*E1467+01_Parametres!$B$6*F1467)/01_Parametres!$B$8)))</x:f>
      </x:c>
      <x:c r="H1467">
        <x:f>IFERROR(VLOOKUP(C1467,02_Referentiels!$A$20:$D$99,3,FALSE),"")</x:f>
      </x:c>
      <x:c r="I1467">
        <x:f>IFERROR(VLOOKUP(B1467,02_Referentiels!$A$5:$C$16,2,FALSE),"")</x:f>
      </x:c>
      <x:c r="J1467">
        <x:f>IF(A1467="","",IF(OR(D1467="",E1467="",F1467=""),1,IF(OR(D1467&lt;0,D1467&gt;3,E1467&lt;0,E1467&gt;3,F1467&lt;0,F1467&gt;3),1,0)))</x:f>
      </x:c>
      <x:c r="K1467">
        <x:f>IF(A1467="","",IF(G1467="",1,0))</x:f>
      </x:c>
      <x:c r="L1467">
        <x:f>IF(A1467="","",IF(COUNTIFS($A$5:$A$2004,A1467,$C$5:$C$2004,C1467)&gt;1,1,0))</x:f>
      </x:c>
    </x:row>
    <x:row r="1468">
      <x:c r="A1468" s="8" t="n"/>
      <x:c r="B1468" s="8" t="n"/>
      <x:c r="C1468" s="8" t="n"/>
      <x:c r="D1468" s="8" t="n"/>
      <x:c r="E1468" s="8" t="n"/>
      <x:c r="F1468" s="8" t="n"/>
      <x:c r="G1468" s="7">
        <x:f>IF(A1468="","",IF(01_Parametres!$B$11="Oui",IF((01_Parametres!$B$4*(D1468&gt;0)+01_Parametres!$B$5*(E1468&gt;0)+01_Parametres!$B$6*(F1468&gt;0))=0,"",(01_Parametres!$B$4*IF(D1468&gt;0,D1468,0)+01_Parametres!$B$5*IF(E1468&gt;0,E1468,0)+01_Parametres!$B$6*IF(F1468&gt;0,F1468,0))/(01_Parametres!$B$4*(D1468&gt;0)+01_Parametres!$B$5*(E1468&gt;0)+01_Parametres!$B$6*(F1468&gt;0))),IF(01_Parametres!$B$8=0,"",(01_Parametres!$B$4*D1468+01_Parametres!$B$5*E1468+01_Parametres!$B$6*F1468)/01_Parametres!$B$8)))</x:f>
      </x:c>
      <x:c r="H1468">
        <x:f>IFERROR(VLOOKUP(C1468,02_Referentiels!$A$20:$D$99,3,FALSE),"")</x:f>
      </x:c>
      <x:c r="I1468">
        <x:f>IFERROR(VLOOKUP(B1468,02_Referentiels!$A$5:$C$16,2,FALSE),"")</x:f>
      </x:c>
      <x:c r="J1468">
        <x:f>IF(A1468="","",IF(OR(D1468="",E1468="",F1468=""),1,IF(OR(D1468&lt;0,D1468&gt;3,E1468&lt;0,E1468&gt;3,F1468&lt;0,F1468&gt;3),1,0)))</x:f>
      </x:c>
      <x:c r="K1468">
        <x:f>IF(A1468="","",IF(G1468="",1,0))</x:f>
      </x:c>
      <x:c r="L1468">
        <x:f>IF(A1468="","",IF(COUNTIFS($A$5:$A$2004,A1468,$C$5:$C$2004,C1468)&gt;1,1,0))</x:f>
      </x:c>
    </x:row>
    <x:row r="1469">
      <x:c r="A1469" s="8" t="n"/>
      <x:c r="B1469" s="8" t="n"/>
      <x:c r="C1469" s="8" t="n"/>
      <x:c r="D1469" s="8" t="n"/>
      <x:c r="E1469" s="8" t="n"/>
      <x:c r="F1469" s="8" t="n"/>
      <x:c r="G1469" s="7">
        <x:f>IF(A1469="","",IF(01_Parametres!$B$11="Oui",IF((01_Parametres!$B$4*(D1469&gt;0)+01_Parametres!$B$5*(E1469&gt;0)+01_Parametres!$B$6*(F1469&gt;0))=0,"",(01_Parametres!$B$4*IF(D1469&gt;0,D1469,0)+01_Parametres!$B$5*IF(E1469&gt;0,E1469,0)+01_Parametres!$B$6*IF(F1469&gt;0,F1469,0))/(01_Parametres!$B$4*(D1469&gt;0)+01_Parametres!$B$5*(E1469&gt;0)+01_Parametres!$B$6*(F1469&gt;0))),IF(01_Parametres!$B$8=0,"",(01_Parametres!$B$4*D1469+01_Parametres!$B$5*E1469+01_Parametres!$B$6*F1469)/01_Parametres!$B$8)))</x:f>
      </x:c>
      <x:c r="H1469">
        <x:f>IFERROR(VLOOKUP(C1469,02_Referentiels!$A$20:$D$99,3,FALSE),"")</x:f>
      </x:c>
      <x:c r="I1469">
        <x:f>IFERROR(VLOOKUP(B1469,02_Referentiels!$A$5:$C$16,2,FALSE),"")</x:f>
      </x:c>
      <x:c r="J1469">
        <x:f>IF(A1469="","",IF(OR(D1469="",E1469="",F1469=""),1,IF(OR(D1469&lt;0,D1469&gt;3,E1469&lt;0,E1469&gt;3,F1469&lt;0,F1469&gt;3),1,0)))</x:f>
      </x:c>
      <x:c r="K1469">
        <x:f>IF(A1469="","",IF(G1469="",1,0))</x:f>
      </x:c>
      <x:c r="L1469">
        <x:f>IF(A1469="","",IF(COUNTIFS($A$5:$A$2004,A1469,$C$5:$C$2004,C1469)&gt;1,1,0))</x:f>
      </x:c>
    </x:row>
    <x:row r="1470">
      <x:c r="A1470" s="8" t="n"/>
      <x:c r="B1470" s="8" t="n"/>
      <x:c r="C1470" s="8" t="n"/>
      <x:c r="D1470" s="8" t="n"/>
      <x:c r="E1470" s="8" t="n"/>
      <x:c r="F1470" s="8" t="n"/>
      <x:c r="G1470" s="7">
        <x:f>IF(A1470="","",IF(01_Parametres!$B$11="Oui",IF((01_Parametres!$B$4*(D1470&gt;0)+01_Parametres!$B$5*(E1470&gt;0)+01_Parametres!$B$6*(F1470&gt;0))=0,"",(01_Parametres!$B$4*IF(D1470&gt;0,D1470,0)+01_Parametres!$B$5*IF(E1470&gt;0,E1470,0)+01_Parametres!$B$6*IF(F1470&gt;0,F1470,0))/(01_Parametres!$B$4*(D1470&gt;0)+01_Parametres!$B$5*(E1470&gt;0)+01_Parametres!$B$6*(F1470&gt;0))),IF(01_Parametres!$B$8=0,"",(01_Parametres!$B$4*D1470+01_Parametres!$B$5*E1470+01_Parametres!$B$6*F1470)/01_Parametres!$B$8)))</x:f>
      </x:c>
      <x:c r="H1470">
        <x:f>IFERROR(VLOOKUP(C1470,02_Referentiels!$A$20:$D$99,3,FALSE),"")</x:f>
      </x:c>
      <x:c r="I1470">
        <x:f>IFERROR(VLOOKUP(B1470,02_Referentiels!$A$5:$C$16,2,FALSE),"")</x:f>
      </x:c>
      <x:c r="J1470">
        <x:f>IF(A1470="","",IF(OR(D1470="",E1470="",F1470=""),1,IF(OR(D1470&lt;0,D1470&gt;3,E1470&lt;0,E1470&gt;3,F1470&lt;0,F1470&gt;3),1,0)))</x:f>
      </x:c>
      <x:c r="K1470">
        <x:f>IF(A1470="","",IF(G1470="",1,0))</x:f>
      </x:c>
      <x:c r="L1470">
        <x:f>IF(A1470="","",IF(COUNTIFS($A$5:$A$2004,A1470,$C$5:$C$2004,C1470)&gt;1,1,0))</x:f>
      </x:c>
    </x:row>
    <x:row r="1471">
      <x:c r="A1471" s="8" t="n"/>
      <x:c r="B1471" s="8" t="n"/>
      <x:c r="C1471" s="8" t="n"/>
      <x:c r="D1471" s="8" t="n"/>
      <x:c r="E1471" s="8" t="n"/>
      <x:c r="F1471" s="8" t="n"/>
      <x:c r="G1471" s="7">
        <x:f>IF(A1471="","",IF(01_Parametres!$B$11="Oui",IF((01_Parametres!$B$4*(D1471&gt;0)+01_Parametres!$B$5*(E1471&gt;0)+01_Parametres!$B$6*(F1471&gt;0))=0,"",(01_Parametres!$B$4*IF(D1471&gt;0,D1471,0)+01_Parametres!$B$5*IF(E1471&gt;0,E1471,0)+01_Parametres!$B$6*IF(F1471&gt;0,F1471,0))/(01_Parametres!$B$4*(D1471&gt;0)+01_Parametres!$B$5*(E1471&gt;0)+01_Parametres!$B$6*(F1471&gt;0))),IF(01_Parametres!$B$8=0,"",(01_Parametres!$B$4*D1471+01_Parametres!$B$5*E1471+01_Parametres!$B$6*F1471)/01_Parametres!$B$8)))</x:f>
      </x:c>
      <x:c r="H1471">
        <x:f>IFERROR(VLOOKUP(C1471,02_Referentiels!$A$20:$D$99,3,FALSE),"")</x:f>
      </x:c>
      <x:c r="I1471">
        <x:f>IFERROR(VLOOKUP(B1471,02_Referentiels!$A$5:$C$16,2,FALSE),"")</x:f>
      </x:c>
      <x:c r="J1471">
        <x:f>IF(A1471="","",IF(OR(D1471="",E1471="",F1471=""),1,IF(OR(D1471&lt;0,D1471&gt;3,E1471&lt;0,E1471&gt;3,F1471&lt;0,F1471&gt;3),1,0)))</x:f>
      </x:c>
      <x:c r="K1471">
        <x:f>IF(A1471="","",IF(G1471="",1,0))</x:f>
      </x:c>
      <x:c r="L1471">
        <x:f>IF(A1471="","",IF(COUNTIFS($A$5:$A$2004,A1471,$C$5:$C$2004,C1471)&gt;1,1,0))</x:f>
      </x:c>
    </x:row>
    <x:row r="1472">
      <x:c r="A1472" s="8" t="n"/>
      <x:c r="B1472" s="8" t="n"/>
      <x:c r="C1472" s="8" t="n"/>
      <x:c r="D1472" s="8" t="n"/>
      <x:c r="E1472" s="8" t="n"/>
      <x:c r="F1472" s="8" t="n"/>
      <x:c r="G1472" s="7">
        <x:f>IF(A1472="","",IF(01_Parametres!$B$11="Oui",IF((01_Parametres!$B$4*(D1472&gt;0)+01_Parametres!$B$5*(E1472&gt;0)+01_Parametres!$B$6*(F1472&gt;0))=0,"",(01_Parametres!$B$4*IF(D1472&gt;0,D1472,0)+01_Parametres!$B$5*IF(E1472&gt;0,E1472,0)+01_Parametres!$B$6*IF(F1472&gt;0,F1472,0))/(01_Parametres!$B$4*(D1472&gt;0)+01_Parametres!$B$5*(E1472&gt;0)+01_Parametres!$B$6*(F1472&gt;0))),IF(01_Parametres!$B$8=0,"",(01_Parametres!$B$4*D1472+01_Parametres!$B$5*E1472+01_Parametres!$B$6*F1472)/01_Parametres!$B$8)))</x:f>
      </x:c>
      <x:c r="H1472">
        <x:f>IFERROR(VLOOKUP(C1472,02_Referentiels!$A$20:$D$99,3,FALSE),"")</x:f>
      </x:c>
      <x:c r="I1472">
        <x:f>IFERROR(VLOOKUP(B1472,02_Referentiels!$A$5:$C$16,2,FALSE),"")</x:f>
      </x:c>
      <x:c r="J1472">
        <x:f>IF(A1472="","",IF(OR(D1472="",E1472="",F1472=""),1,IF(OR(D1472&lt;0,D1472&gt;3,E1472&lt;0,E1472&gt;3,F1472&lt;0,F1472&gt;3),1,0)))</x:f>
      </x:c>
      <x:c r="K1472">
        <x:f>IF(A1472="","",IF(G1472="",1,0))</x:f>
      </x:c>
      <x:c r="L1472">
        <x:f>IF(A1472="","",IF(COUNTIFS($A$5:$A$2004,A1472,$C$5:$C$2004,C1472)&gt;1,1,0))</x:f>
      </x:c>
    </x:row>
    <x:row r="1473">
      <x:c r="A1473" s="8" t="n"/>
      <x:c r="B1473" s="8" t="n"/>
      <x:c r="C1473" s="8" t="n"/>
      <x:c r="D1473" s="8" t="n"/>
      <x:c r="E1473" s="8" t="n"/>
      <x:c r="F1473" s="8" t="n"/>
      <x:c r="G1473" s="7">
        <x:f>IF(A1473="","",IF(01_Parametres!$B$11="Oui",IF((01_Parametres!$B$4*(D1473&gt;0)+01_Parametres!$B$5*(E1473&gt;0)+01_Parametres!$B$6*(F1473&gt;0))=0,"",(01_Parametres!$B$4*IF(D1473&gt;0,D1473,0)+01_Parametres!$B$5*IF(E1473&gt;0,E1473,0)+01_Parametres!$B$6*IF(F1473&gt;0,F1473,0))/(01_Parametres!$B$4*(D1473&gt;0)+01_Parametres!$B$5*(E1473&gt;0)+01_Parametres!$B$6*(F1473&gt;0))),IF(01_Parametres!$B$8=0,"",(01_Parametres!$B$4*D1473+01_Parametres!$B$5*E1473+01_Parametres!$B$6*F1473)/01_Parametres!$B$8)))</x:f>
      </x:c>
      <x:c r="H1473">
        <x:f>IFERROR(VLOOKUP(C1473,02_Referentiels!$A$20:$D$99,3,FALSE),"")</x:f>
      </x:c>
      <x:c r="I1473">
        <x:f>IFERROR(VLOOKUP(B1473,02_Referentiels!$A$5:$C$16,2,FALSE),"")</x:f>
      </x:c>
      <x:c r="J1473">
        <x:f>IF(A1473="","",IF(OR(D1473="",E1473="",F1473=""),1,IF(OR(D1473&lt;0,D1473&gt;3,E1473&lt;0,E1473&gt;3,F1473&lt;0,F1473&gt;3),1,0)))</x:f>
      </x:c>
      <x:c r="K1473">
        <x:f>IF(A1473="","",IF(G1473="",1,0))</x:f>
      </x:c>
      <x:c r="L1473">
        <x:f>IF(A1473="","",IF(COUNTIFS($A$5:$A$2004,A1473,$C$5:$C$2004,C1473)&gt;1,1,0))</x:f>
      </x:c>
    </x:row>
    <x:row r="1474">
      <x:c r="A1474" s="8" t="n"/>
      <x:c r="B1474" s="8" t="n"/>
      <x:c r="C1474" s="8" t="n"/>
      <x:c r="D1474" s="8" t="n"/>
      <x:c r="E1474" s="8" t="n"/>
      <x:c r="F1474" s="8" t="n"/>
      <x:c r="G1474" s="7">
        <x:f>IF(A1474="","",IF(01_Parametres!$B$11="Oui",IF((01_Parametres!$B$4*(D1474&gt;0)+01_Parametres!$B$5*(E1474&gt;0)+01_Parametres!$B$6*(F1474&gt;0))=0,"",(01_Parametres!$B$4*IF(D1474&gt;0,D1474,0)+01_Parametres!$B$5*IF(E1474&gt;0,E1474,0)+01_Parametres!$B$6*IF(F1474&gt;0,F1474,0))/(01_Parametres!$B$4*(D1474&gt;0)+01_Parametres!$B$5*(E1474&gt;0)+01_Parametres!$B$6*(F1474&gt;0))),IF(01_Parametres!$B$8=0,"",(01_Parametres!$B$4*D1474+01_Parametres!$B$5*E1474+01_Parametres!$B$6*F1474)/01_Parametres!$B$8)))</x:f>
      </x:c>
      <x:c r="H1474">
        <x:f>IFERROR(VLOOKUP(C1474,02_Referentiels!$A$20:$D$99,3,FALSE),"")</x:f>
      </x:c>
      <x:c r="I1474">
        <x:f>IFERROR(VLOOKUP(B1474,02_Referentiels!$A$5:$C$16,2,FALSE),"")</x:f>
      </x:c>
      <x:c r="J1474">
        <x:f>IF(A1474="","",IF(OR(D1474="",E1474="",F1474=""),1,IF(OR(D1474&lt;0,D1474&gt;3,E1474&lt;0,E1474&gt;3,F1474&lt;0,F1474&gt;3),1,0)))</x:f>
      </x:c>
      <x:c r="K1474">
        <x:f>IF(A1474="","",IF(G1474="",1,0))</x:f>
      </x:c>
      <x:c r="L1474">
        <x:f>IF(A1474="","",IF(COUNTIFS($A$5:$A$2004,A1474,$C$5:$C$2004,C1474)&gt;1,1,0))</x:f>
      </x:c>
    </x:row>
    <x:row r="1475">
      <x:c r="A1475" s="8" t="n"/>
      <x:c r="B1475" s="8" t="n"/>
      <x:c r="C1475" s="8" t="n"/>
      <x:c r="D1475" s="8" t="n"/>
      <x:c r="E1475" s="8" t="n"/>
      <x:c r="F1475" s="8" t="n"/>
      <x:c r="G1475" s="7">
        <x:f>IF(A1475="","",IF(01_Parametres!$B$11="Oui",IF((01_Parametres!$B$4*(D1475&gt;0)+01_Parametres!$B$5*(E1475&gt;0)+01_Parametres!$B$6*(F1475&gt;0))=0,"",(01_Parametres!$B$4*IF(D1475&gt;0,D1475,0)+01_Parametres!$B$5*IF(E1475&gt;0,E1475,0)+01_Parametres!$B$6*IF(F1475&gt;0,F1475,0))/(01_Parametres!$B$4*(D1475&gt;0)+01_Parametres!$B$5*(E1475&gt;0)+01_Parametres!$B$6*(F1475&gt;0))),IF(01_Parametres!$B$8=0,"",(01_Parametres!$B$4*D1475+01_Parametres!$B$5*E1475+01_Parametres!$B$6*F1475)/01_Parametres!$B$8)))</x:f>
      </x:c>
      <x:c r="H1475">
        <x:f>IFERROR(VLOOKUP(C1475,02_Referentiels!$A$20:$D$99,3,FALSE),"")</x:f>
      </x:c>
      <x:c r="I1475">
        <x:f>IFERROR(VLOOKUP(B1475,02_Referentiels!$A$5:$C$16,2,FALSE),"")</x:f>
      </x:c>
      <x:c r="J1475">
        <x:f>IF(A1475="","",IF(OR(D1475="",E1475="",F1475=""),1,IF(OR(D1475&lt;0,D1475&gt;3,E1475&lt;0,E1475&gt;3,F1475&lt;0,F1475&gt;3),1,0)))</x:f>
      </x:c>
      <x:c r="K1475">
        <x:f>IF(A1475="","",IF(G1475="",1,0))</x:f>
      </x:c>
      <x:c r="L1475">
        <x:f>IF(A1475="","",IF(COUNTIFS($A$5:$A$2004,A1475,$C$5:$C$2004,C1475)&gt;1,1,0))</x:f>
      </x:c>
    </x:row>
    <x:row r="1476">
      <x:c r="A1476" s="8" t="n"/>
      <x:c r="B1476" s="8" t="n"/>
      <x:c r="C1476" s="8" t="n"/>
      <x:c r="D1476" s="8" t="n"/>
      <x:c r="E1476" s="8" t="n"/>
      <x:c r="F1476" s="8" t="n"/>
      <x:c r="G1476" s="7">
        <x:f>IF(A1476="","",IF(01_Parametres!$B$11="Oui",IF((01_Parametres!$B$4*(D1476&gt;0)+01_Parametres!$B$5*(E1476&gt;0)+01_Parametres!$B$6*(F1476&gt;0))=0,"",(01_Parametres!$B$4*IF(D1476&gt;0,D1476,0)+01_Parametres!$B$5*IF(E1476&gt;0,E1476,0)+01_Parametres!$B$6*IF(F1476&gt;0,F1476,0))/(01_Parametres!$B$4*(D1476&gt;0)+01_Parametres!$B$5*(E1476&gt;0)+01_Parametres!$B$6*(F1476&gt;0))),IF(01_Parametres!$B$8=0,"",(01_Parametres!$B$4*D1476+01_Parametres!$B$5*E1476+01_Parametres!$B$6*F1476)/01_Parametres!$B$8)))</x:f>
      </x:c>
      <x:c r="H1476">
        <x:f>IFERROR(VLOOKUP(C1476,02_Referentiels!$A$20:$D$99,3,FALSE),"")</x:f>
      </x:c>
      <x:c r="I1476">
        <x:f>IFERROR(VLOOKUP(B1476,02_Referentiels!$A$5:$C$16,2,FALSE),"")</x:f>
      </x:c>
      <x:c r="J1476">
        <x:f>IF(A1476="","",IF(OR(D1476="",E1476="",F1476=""),1,IF(OR(D1476&lt;0,D1476&gt;3,E1476&lt;0,E1476&gt;3,F1476&lt;0,F1476&gt;3),1,0)))</x:f>
      </x:c>
      <x:c r="K1476">
        <x:f>IF(A1476="","",IF(G1476="",1,0))</x:f>
      </x:c>
      <x:c r="L1476">
        <x:f>IF(A1476="","",IF(COUNTIFS($A$5:$A$2004,A1476,$C$5:$C$2004,C1476)&gt;1,1,0))</x:f>
      </x:c>
    </x:row>
    <x:row r="1477">
      <x:c r="A1477" s="8" t="n"/>
      <x:c r="B1477" s="8" t="n"/>
      <x:c r="C1477" s="8" t="n"/>
      <x:c r="D1477" s="8" t="n"/>
      <x:c r="E1477" s="8" t="n"/>
      <x:c r="F1477" s="8" t="n"/>
      <x:c r="G1477" s="7">
        <x:f>IF(A1477="","",IF(01_Parametres!$B$11="Oui",IF((01_Parametres!$B$4*(D1477&gt;0)+01_Parametres!$B$5*(E1477&gt;0)+01_Parametres!$B$6*(F1477&gt;0))=0,"",(01_Parametres!$B$4*IF(D1477&gt;0,D1477,0)+01_Parametres!$B$5*IF(E1477&gt;0,E1477,0)+01_Parametres!$B$6*IF(F1477&gt;0,F1477,0))/(01_Parametres!$B$4*(D1477&gt;0)+01_Parametres!$B$5*(E1477&gt;0)+01_Parametres!$B$6*(F1477&gt;0))),IF(01_Parametres!$B$8=0,"",(01_Parametres!$B$4*D1477+01_Parametres!$B$5*E1477+01_Parametres!$B$6*F1477)/01_Parametres!$B$8)))</x:f>
      </x:c>
      <x:c r="H1477">
        <x:f>IFERROR(VLOOKUP(C1477,02_Referentiels!$A$20:$D$99,3,FALSE),"")</x:f>
      </x:c>
      <x:c r="I1477">
        <x:f>IFERROR(VLOOKUP(B1477,02_Referentiels!$A$5:$C$16,2,FALSE),"")</x:f>
      </x:c>
      <x:c r="J1477">
        <x:f>IF(A1477="","",IF(OR(D1477="",E1477="",F1477=""),1,IF(OR(D1477&lt;0,D1477&gt;3,E1477&lt;0,E1477&gt;3,F1477&lt;0,F1477&gt;3),1,0)))</x:f>
      </x:c>
      <x:c r="K1477">
        <x:f>IF(A1477="","",IF(G1477="",1,0))</x:f>
      </x:c>
      <x:c r="L1477">
        <x:f>IF(A1477="","",IF(COUNTIFS($A$5:$A$2004,A1477,$C$5:$C$2004,C1477)&gt;1,1,0))</x:f>
      </x:c>
    </x:row>
    <x:row r="1478">
      <x:c r="A1478" s="8" t="n"/>
      <x:c r="B1478" s="8" t="n"/>
      <x:c r="C1478" s="8" t="n"/>
      <x:c r="D1478" s="8" t="n"/>
      <x:c r="E1478" s="8" t="n"/>
      <x:c r="F1478" s="8" t="n"/>
      <x:c r="G1478" s="7">
        <x:f>IF(A1478="","",IF(01_Parametres!$B$11="Oui",IF((01_Parametres!$B$4*(D1478&gt;0)+01_Parametres!$B$5*(E1478&gt;0)+01_Parametres!$B$6*(F1478&gt;0))=0,"",(01_Parametres!$B$4*IF(D1478&gt;0,D1478,0)+01_Parametres!$B$5*IF(E1478&gt;0,E1478,0)+01_Parametres!$B$6*IF(F1478&gt;0,F1478,0))/(01_Parametres!$B$4*(D1478&gt;0)+01_Parametres!$B$5*(E1478&gt;0)+01_Parametres!$B$6*(F1478&gt;0))),IF(01_Parametres!$B$8=0,"",(01_Parametres!$B$4*D1478+01_Parametres!$B$5*E1478+01_Parametres!$B$6*F1478)/01_Parametres!$B$8)))</x:f>
      </x:c>
      <x:c r="H1478">
        <x:f>IFERROR(VLOOKUP(C1478,02_Referentiels!$A$20:$D$99,3,FALSE),"")</x:f>
      </x:c>
      <x:c r="I1478">
        <x:f>IFERROR(VLOOKUP(B1478,02_Referentiels!$A$5:$C$16,2,FALSE),"")</x:f>
      </x:c>
      <x:c r="J1478">
        <x:f>IF(A1478="","",IF(OR(D1478="",E1478="",F1478=""),1,IF(OR(D1478&lt;0,D1478&gt;3,E1478&lt;0,E1478&gt;3,F1478&lt;0,F1478&gt;3),1,0)))</x:f>
      </x:c>
      <x:c r="K1478">
        <x:f>IF(A1478="","",IF(G1478="",1,0))</x:f>
      </x:c>
      <x:c r="L1478">
        <x:f>IF(A1478="","",IF(COUNTIFS($A$5:$A$2004,A1478,$C$5:$C$2004,C1478)&gt;1,1,0))</x:f>
      </x:c>
    </x:row>
    <x:row r="1479">
      <x:c r="A1479" s="8" t="n"/>
      <x:c r="B1479" s="8" t="n"/>
      <x:c r="C1479" s="8" t="n"/>
      <x:c r="D1479" s="8" t="n"/>
      <x:c r="E1479" s="8" t="n"/>
      <x:c r="F1479" s="8" t="n"/>
      <x:c r="G1479" s="7">
        <x:f>IF(A1479="","",IF(01_Parametres!$B$11="Oui",IF((01_Parametres!$B$4*(D1479&gt;0)+01_Parametres!$B$5*(E1479&gt;0)+01_Parametres!$B$6*(F1479&gt;0))=0,"",(01_Parametres!$B$4*IF(D1479&gt;0,D1479,0)+01_Parametres!$B$5*IF(E1479&gt;0,E1479,0)+01_Parametres!$B$6*IF(F1479&gt;0,F1479,0))/(01_Parametres!$B$4*(D1479&gt;0)+01_Parametres!$B$5*(E1479&gt;0)+01_Parametres!$B$6*(F1479&gt;0))),IF(01_Parametres!$B$8=0,"",(01_Parametres!$B$4*D1479+01_Parametres!$B$5*E1479+01_Parametres!$B$6*F1479)/01_Parametres!$B$8)))</x:f>
      </x:c>
      <x:c r="H1479">
        <x:f>IFERROR(VLOOKUP(C1479,02_Referentiels!$A$20:$D$99,3,FALSE),"")</x:f>
      </x:c>
      <x:c r="I1479">
        <x:f>IFERROR(VLOOKUP(B1479,02_Referentiels!$A$5:$C$16,2,FALSE),"")</x:f>
      </x:c>
      <x:c r="J1479">
        <x:f>IF(A1479="","",IF(OR(D1479="",E1479="",F1479=""),1,IF(OR(D1479&lt;0,D1479&gt;3,E1479&lt;0,E1479&gt;3,F1479&lt;0,F1479&gt;3),1,0)))</x:f>
      </x:c>
      <x:c r="K1479">
        <x:f>IF(A1479="","",IF(G1479="",1,0))</x:f>
      </x:c>
      <x:c r="L1479">
        <x:f>IF(A1479="","",IF(COUNTIFS($A$5:$A$2004,A1479,$C$5:$C$2004,C1479)&gt;1,1,0))</x:f>
      </x:c>
    </x:row>
    <x:row r="1480">
      <x:c r="A1480" s="8" t="n"/>
      <x:c r="B1480" s="8" t="n"/>
      <x:c r="C1480" s="8" t="n"/>
      <x:c r="D1480" s="8" t="n"/>
      <x:c r="E1480" s="8" t="n"/>
      <x:c r="F1480" s="8" t="n"/>
      <x:c r="G1480" s="7">
        <x:f>IF(A1480="","",IF(01_Parametres!$B$11="Oui",IF((01_Parametres!$B$4*(D1480&gt;0)+01_Parametres!$B$5*(E1480&gt;0)+01_Parametres!$B$6*(F1480&gt;0))=0,"",(01_Parametres!$B$4*IF(D1480&gt;0,D1480,0)+01_Parametres!$B$5*IF(E1480&gt;0,E1480,0)+01_Parametres!$B$6*IF(F1480&gt;0,F1480,0))/(01_Parametres!$B$4*(D1480&gt;0)+01_Parametres!$B$5*(E1480&gt;0)+01_Parametres!$B$6*(F1480&gt;0))),IF(01_Parametres!$B$8=0,"",(01_Parametres!$B$4*D1480+01_Parametres!$B$5*E1480+01_Parametres!$B$6*F1480)/01_Parametres!$B$8)))</x:f>
      </x:c>
      <x:c r="H1480">
        <x:f>IFERROR(VLOOKUP(C1480,02_Referentiels!$A$20:$D$99,3,FALSE),"")</x:f>
      </x:c>
      <x:c r="I1480">
        <x:f>IFERROR(VLOOKUP(B1480,02_Referentiels!$A$5:$C$16,2,FALSE),"")</x:f>
      </x:c>
      <x:c r="J1480">
        <x:f>IF(A1480="","",IF(OR(D1480="",E1480="",F1480=""),1,IF(OR(D1480&lt;0,D1480&gt;3,E1480&lt;0,E1480&gt;3,F1480&lt;0,F1480&gt;3),1,0)))</x:f>
      </x:c>
      <x:c r="K1480">
        <x:f>IF(A1480="","",IF(G1480="",1,0))</x:f>
      </x:c>
      <x:c r="L1480">
        <x:f>IF(A1480="","",IF(COUNTIFS($A$5:$A$2004,A1480,$C$5:$C$2004,C1480)&gt;1,1,0))</x:f>
      </x:c>
    </x:row>
    <x:row r="1481">
      <x:c r="A1481" s="8" t="n"/>
      <x:c r="B1481" s="8" t="n"/>
      <x:c r="C1481" s="8" t="n"/>
      <x:c r="D1481" s="8" t="n"/>
      <x:c r="E1481" s="8" t="n"/>
      <x:c r="F1481" s="8" t="n"/>
      <x:c r="G1481" s="7">
        <x:f>IF(A1481="","",IF(01_Parametres!$B$11="Oui",IF((01_Parametres!$B$4*(D1481&gt;0)+01_Parametres!$B$5*(E1481&gt;0)+01_Parametres!$B$6*(F1481&gt;0))=0,"",(01_Parametres!$B$4*IF(D1481&gt;0,D1481,0)+01_Parametres!$B$5*IF(E1481&gt;0,E1481,0)+01_Parametres!$B$6*IF(F1481&gt;0,F1481,0))/(01_Parametres!$B$4*(D1481&gt;0)+01_Parametres!$B$5*(E1481&gt;0)+01_Parametres!$B$6*(F1481&gt;0))),IF(01_Parametres!$B$8=0,"",(01_Parametres!$B$4*D1481+01_Parametres!$B$5*E1481+01_Parametres!$B$6*F1481)/01_Parametres!$B$8)))</x:f>
      </x:c>
      <x:c r="H1481">
        <x:f>IFERROR(VLOOKUP(C1481,02_Referentiels!$A$20:$D$99,3,FALSE),"")</x:f>
      </x:c>
      <x:c r="I1481">
        <x:f>IFERROR(VLOOKUP(B1481,02_Referentiels!$A$5:$C$16,2,FALSE),"")</x:f>
      </x:c>
      <x:c r="J1481">
        <x:f>IF(A1481="","",IF(OR(D1481="",E1481="",F1481=""),1,IF(OR(D1481&lt;0,D1481&gt;3,E1481&lt;0,E1481&gt;3,F1481&lt;0,F1481&gt;3),1,0)))</x:f>
      </x:c>
      <x:c r="K1481">
        <x:f>IF(A1481="","",IF(G1481="",1,0))</x:f>
      </x:c>
      <x:c r="L1481">
        <x:f>IF(A1481="","",IF(COUNTIFS($A$5:$A$2004,A1481,$C$5:$C$2004,C1481)&gt;1,1,0))</x:f>
      </x:c>
    </x:row>
    <x:row r="1482">
      <x:c r="A1482" s="8" t="n"/>
      <x:c r="B1482" s="8" t="n"/>
      <x:c r="C1482" s="8" t="n"/>
      <x:c r="D1482" s="8" t="n"/>
      <x:c r="E1482" s="8" t="n"/>
      <x:c r="F1482" s="8" t="n"/>
      <x:c r="G1482" s="7">
        <x:f>IF(A1482="","",IF(01_Parametres!$B$11="Oui",IF((01_Parametres!$B$4*(D1482&gt;0)+01_Parametres!$B$5*(E1482&gt;0)+01_Parametres!$B$6*(F1482&gt;0))=0,"",(01_Parametres!$B$4*IF(D1482&gt;0,D1482,0)+01_Parametres!$B$5*IF(E1482&gt;0,E1482,0)+01_Parametres!$B$6*IF(F1482&gt;0,F1482,0))/(01_Parametres!$B$4*(D1482&gt;0)+01_Parametres!$B$5*(E1482&gt;0)+01_Parametres!$B$6*(F1482&gt;0))),IF(01_Parametres!$B$8=0,"",(01_Parametres!$B$4*D1482+01_Parametres!$B$5*E1482+01_Parametres!$B$6*F1482)/01_Parametres!$B$8)))</x:f>
      </x:c>
      <x:c r="H1482">
        <x:f>IFERROR(VLOOKUP(C1482,02_Referentiels!$A$20:$D$99,3,FALSE),"")</x:f>
      </x:c>
      <x:c r="I1482">
        <x:f>IFERROR(VLOOKUP(B1482,02_Referentiels!$A$5:$C$16,2,FALSE),"")</x:f>
      </x:c>
      <x:c r="J1482">
        <x:f>IF(A1482="","",IF(OR(D1482="",E1482="",F1482=""),1,IF(OR(D1482&lt;0,D1482&gt;3,E1482&lt;0,E1482&gt;3,F1482&lt;0,F1482&gt;3),1,0)))</x:f>
      </x:c>
      <x:c r="K1482">
        <x:f>IF(A1482="","",IF(G1482="",1,0))</x:f>
      </x:c>
      <x:c r="L1482">
        <x:f>IF(A1482="","",IF(COUNTIFS($A$5:$A$2004,A1482,$C$5:$C$2004,C1482)&gt;1,1,0))</x:f>
      </x:c>
    </x:row>
    <x:row r="1483">
      <x:c r="A1483" s="8" t="n"/>
      <x:c r="B1483" s="8" t="n"/>
      <x:c r="C1483" s="8" t="n"/>
      <x:c r="D1483" s="8" t="n"/>
      <x:c r="E1483" s="8" t="n"/>
      <x:c r="F1483" s="8" t="n"/>
      <x:c r="G1483" s="7">
        <x:f>IF(A1483="","",IF(01_Parametres!$B$11="Oui",IF((01_Parametres!$B$4*(D1483&gt;0)+01_Parametres!$B$5*(E1483&gt;0)+01_Parametres!$B$6*(F1483&gt;0))=0,"",(01_Parametres!$B$4*IF(D1483&gt;0,D1483,0)+01_Parametres!$B$5*IF(E1483&gt;0,E1483,0)+01_Parametres!$B$6*IF(F1483&gt;0,F1483,0))/(01_Parametres!$B$4*(D1483&gt;0)+01_Parametres!$B$5*(E1483&gt;0)+01_Parametres!$B$6*(F1483&gt;0))),IF(01_Parametres!$B$8=0,"",(01_Parametres!$B$4*D1483+01_Parametres!$B$5*E1483+01_Parametres!$B$6*F1483)/01_Parametres!$B$8)))</x:f>
      </x:c>
      <x:c r="H1483">
        <x:f>IFERROR(VLOOKUP(C1483,02_Referentiels!$A$20:$D$99,3,FALSE),"")</x:f>
      </x:c>
      <x:c r="I1483">
        <x:f>IFERROR(VLOOKUP(B1483,02_Referentiels!$A$5:$C$16,2,FALSE),"")</x:f>
      </x:c>
      <x:c r="J1483">
        <x:f>IF(A1483="","",IF(OR(D1483="",E1483="",F1483=""),1,IF(OR(D1483&lt;0,D1483&gt;3,E1483&lt;0,E1483&gt;3,F1483&lt;0,F1483&gt;3),1,0)))</x:f>
      </x:c>
      <x:c r="K1483">
        <x:f>IF(A1483="","",IF(G1483="",1,0))</x:f>
      </x:c>
      <x:c r="L1483">
        <x:f>IF(A1483="","",IF(COUNTIFS($A$5:$A$2004,A1483,$C$5:$C$2004,C1483)&gt;1,1,0))</x:f>
      </x:c>
    </x:row>
    <x:row r="1484">
      <x:c r="A1484" s="8" t="n"/>
      <x:c r="B1484" s="8" t="n"/>
      <x:c r="C1484" s="8" t="n"/>
      <x:c r="D1484" s="8" t="n"/>
      <x:c r="E1484" s="8" t="n"/>
      <x:c r="F1484" s="8" t="n"/>
      <x:c r="G1484" s="7">
        <x:f>IF(A1484="","",IF(01_Parametres!$B$11="Oui",IF((01_Parametres!$B$4*(D1484&gt;0)+01_Parametres!$B$5*(E1484&gt;0)+01_Parametres!$B$6*(F1484&gt;0))=0,"",(01_Parametres!$B$4*IF(D1484&gt;0,D1484,0)+01_Parametres!$B$5*IF(E1484&gt;0,E1484,0)+01_Parametres!$B$6*IF(F1484&gt;0,F1484,0))/(01_Parametres!$B$4*(D1484&gt;0)+01_Parametres!$B$5*(E1484&gt;0)+01_Parametres!$B$6*(F1484&gt;0))),IF(01_Parametres!$B$8=0,"",(01_Parametres!$B$4*D1484+01_Parametres!$B$5*E1484+01_Parametres!$B$6*F1484)/01_Parametres!$B$8)))</x:f>
      </x:c>
      <x:c r="H1484">
        <x:f>IFERROR(VLOOKUP(C1484,02_Referentiels!$A$20:$D$99,3,FALSE),"")</x:f>
      </x:c>
      <x:c r="I1484">
        <x:f>IFERROR(VLOOKUP(B1484,02_Referentiels!$A$5:$C$16,2,FALSE),"")</x:f>
      </x:c>
      <x:c r="J1484">
        <x:f>IF(A1484="","",IF(OR(D1484="",E1484="",F1484=""),1,IF(OR(D1484&lt;0,D1484&gt;3,E1484&lt;0,E1484&gt;3,F1484&lt;0,F1484&gt;3),1,0)))</x:f>
      </x:c>
      <x:c r="K1484">
        <x:f>IF(A1484="","",IF(G1484="",1,0))</x:f>
      </x:c>
      <x:c r="L1484">
        <x:f>IF(A1484="","",IF(COUNTIFS($A$5:$A$2004,A1484,$C$5:$C$2004,C1484)&gt;1,1,0))</x:f>
      </x:c>
    </x:row>
    <x:row r="1485">
      <x:c r="A1485" s="8" t="n"/>
      <x:c r="B1485" s="8" t="n"/>
      <x:c r="C1485" s="8" t="n"/>
      <x:c r="D1485" s="8" t="n"/>
      <x:c r="E1485" s="8" t="n"/>
      <x:c r="F1485" s="8" t="n"/>
      <x:c r="G1485" s="7">
        <x:f>IF(A1485="","",IF(01_Parametres!$B$11="Oui",IF((01_Parametres!$B$4*(D1485&gt;0)+01_Parametres!$B$5*(E1485&gt;0)+01_Parametres!$B$6*(F1485&gt;0))=0,"",(01_Parametres!$B$4*IF(D1485&gt;0,D1485,0)+01_Parametres!$B$5*IF(E1485&gt;0,E1485,0)+01_Parametres!$B$6*IF(F1485&gt;0,F1485,0))/(01_Parametres!$B$4*(D1485&gt;0)+01_Parametres!$B$5*(E1485&gt;0)+01_Parametres!$B$6*(F1485&gt;0))),IF(01_Parametres!$B$8=0,"",(01_Parametres!$B$4*D1485+01_Parametres!$B$5*E1485+01_Parametres!$B$6*F1485)/01_Parametres!$B$8)))</x:f>
      </x:c>
      <x:c r="H1485">
        <x:f>IFERROR(VLOOKUP(C1485,02_Referentiels!$A$20:$D$99,3,FALSE),"")</x:f>
      </x:c>
      <x:c r="I1485">
        <x:f>IFERROR(VLOOKUP(B1485,02_Referentiels!$A$5:$C$16,2,FALSE),"")</x:f>
      </x:c>
      <x:c r="J1485">
        <x:f>IF(A1485="","",IF(OR(D1485="",E1485="",F1485=""),1,IF(OR(D1485&lt;0,D1485&gt;3,E1485&lt;0,E1485&gt;3,F1485&lt;0,F1485&gt;3),1,0)))</x:f>
      </x:c>
      <x:c r="K1485">
        <x:f>IF(A1485="","",IF(G1485="",1,0))</x:f>
      </x:c>
      <x:c r="L1485">
        <x:f>IF(A1485="","",IF(COUNTIFS($A$5:$A$2004,A1485,$C$5:$C$2004,C1485)&gt;1,1,0))</x:f>
      </x:c>
    </x:row>
    <x:row r="1486">
      <x:c r="A1486" s="8" t="n"/>
      <x:c r="B1486" s="8" t="n"/>
      <x:c r="C1486" s="8" t="n"/>
      <x:c r="D1486" s="8" t="n"/>
      <x:c r="E1486" s="8" t="n"/>
      <x:c r="F1486" s="8" t="n"/>
      <x:c r="G1486" s="7">
        <x:f>IF(A1486="","",IF(01_Parametres!$B$11="Oui",IF((01_Parametres!$B$4*(D1486&gt;0)+01_Parametres!$B$5*(E1486&gt;0)+01_Parametres!$B$6*(F1486&gt;0))=0,"",(01_Parametres!$B$4*IF(D1486&gt;0,D1486,0)+01_Parametres!$B$5*IF(E1486&gt;0,E1486,0)+01_Parametres!$B$6*IF(F1486&gt;0,F1486,0))/(01_Parametres!$B$4*(D1486&gt;0)+01_Parametres!$B$5*(E1486&gt;0)+01_Parametres!$B$6*(F1486&gt;0))),IF(01_Parametres!$B$8=0,"",(01_Parametres!$B$4*D1486+01_Parametres!$B$5*E1486+01_Parametres!$B$6*F1486)/01_Parametres!$B$8)))</x:f>
      </x:c>
      <x:c r="H1486">
        <x:f>IFERROR(VLOOKUP(C1486,02_Referentiels!$A$20:$D$99,3,FALSE),"")</x:f>
      </x:c>
      <x:c r="I1486">
        <x:f>IFERROR(VLOOKUP(B1486,02_Referentiels!$A$5:$C$16,2,FALSE),"")</x:f>
      </x:c>
      <x:c r="J1486">
        <x:f>IF(A1486="","",IF(OR(D1486="",E1486="",F1486=""),1,IF(OR(D1486&lt;0,D1486&gt;3,E1486&lt;0,E1486&gt;3,F1486&lt;0,F1486&gt;3),1,0)))</x:f>
      </x:c>
      <x:c r="K1486">
        <x:f>IF(A1486="","",IF(G1486="",1,0))</x:f>
      </x:c>
      <x:c r="L1486">
        <x:f>IF(A1486="","",IF(COUNTIFS($A$5:$A$2004,A1486,$C$5:$C$2004,C1486)&gt;1,1,0))</x:f>
      </x:c>
    </x:row>
    <x:row r="1487">
      <x:c r="A1487" s="8" t="n"/>
      <x:c r="B1487" s="8" t="n"/>
      <x:c r="C1487" s="8" t="n"/>
      <x:c r="D1487" s="8" t="n"/>
      <x:c r="E1487" s="8" t="n"/>
      <x:c r="F1487" s="8" t="n"/>
      <x:c r="G1487" s="7">
        <x:f>IF(A1487="","",IF(01_Parametres!$B$11="Oui",IF((01_Parametres!$B$4*(D1487&gt;0)+01_Parametres!$B$5*(E1487&gt;0)+01_Parametres!$B$6*(F1487&gt;0))=0,"",(01_Parametres!$B$4*IF(D1487&gt;0,D1487,0)+01_Parametres!$B$5*IF(E1487&gt;0,E1487,0)+01_Parametres!$B$6*IF(F1487&gt;0,F1487,0))/(01_Parametres!$B$4*(D1487&gt;0)+01_Parametres!$B$5*(E1487&gt;0)+01_Parametres!$B$6*(F1487&gt;0))),IF(01_Parametres!$B$8=0,"",(01_Parametres!$B$4*D1487+01_Parametres!$B$5*E1487+01_Parametres!$B$6*F1487)/01_Parametres!$B$8)))</x:f>
      </x:c>
      <x:c r="H1487">
        <x:f>IFERROR(VLOOKUP(C1487,02_Referentiels!$A$20:$D$99,3,FALSE),"")</x:f>
      </x:c>
      <x:c r="I1487">
        <x:f>IFERROR(VLOOKUP(B1487,02_Referentiels!$A$5:$C$16,2,FALSE),"")</x:f>
      </x:c>
      <x:c r="J1487">
        <x:f>IF(A1487="","",IF(OR(D1487="",E1487="",F1487=""),1,IF(OR(D1487&lt;0,D1487&gt;3,E1487&lt;0,E1487&gt;3,F1487&lt;0,F1487&gt;3),1,0)))</x:f>
      </x:c>
      <x:c r="K1487">
        <x:f>IF(A1487="","",IF(G1487="",1,0))</x:f>
      </x:c>
      <x:c r="L1487">
        <x:f>IF(A1487="","",IF(COUNTIFS($A$5:$A$2004,A1487,$C$5:$C$2004,C1487)&gt;1,1,0))</x:f>
      </x:c>
    </x:row>
    <x:row r="1488">
      <x:c r="A1488" s="8" t="n"/>
      <x:c r="B1488" s="8" t="n"/>
      <x:c r="C1488" s="8" t="n"/>
      <x:c r="D1488" s="8" t="n"/>
      <x:c r="E1488" s="8" t="n"/>
      <x:c r="F1488" s="8" t="n"/>
      <x:c r="G1488" s="7">
        <x:f>IF(A1488="","",IF(01_Parametres!$B$11="Oui",IF((01_Parametres!$B$4*(D1488&gt;0)+01_Parametres!$B$5*(E1488&gt;0)+01_Parametres!$B$6*(F1488&gt;0))=0,"",(01_Parametres!$B$4*IF(D1488&gt;0,D1488,0)+01_Parametres!$B$5*IF(E1488&gt;0,E1488,0)+01_Parametres!$B$6*IF(F1488&gt;0,F1488,0))/(01_Parametres!$B$4*(D1488&gt;0)+01_Parametres!$B$5*(E1488&gt;0)+01_Parametres!$B$6*(F1488&gt;0))),IF(01_Parametres!$B$8=0,"",(01_Parametres!$B$4*D1488+01_Parametres!$B$5*E1488+01_Parametres!$B$6*F1488)/01_Parametres!$B$8)))</x:f>
      </x:c>
      <x:c r="H1488">
        <x:f>IFERROR(VLOOKUP(C1488,02_Referentiels!$A$20:$D$99,3,FALSE),"")</x:f>
      </x:c>
      <x:c r="I1488">
        <x:f>IFERROR(VLOOKUP(B1488,02_Referentiels!$A$5:$C$16,2,FALSE),"")</x:f>
      </x:c>
      <x:c r="J1488">
        <x:f>IF(A1488="","",IF(OR(D1488="",E1488="",F1488=""),1,IF(OR(D1488&lt;0,D1488&gt;3,E1488&lt;0,E1488&gt;3,F1488&lt;0,F1488&gt;3),1,0)))</x:f>
      </x:c>
      <x:c r="K1488">
        <x:f>IF(A1488="","",IF(G1488="",1,0))</x:f>
      </x:c>
      <x:c r="L1488">
        <x:f>IF(A1488="","",IF(COUNTIFS($A$5:$A$2004,A1488,$C$5:$C$2004,C1488)&gt;1,1,0))</x:f>
      </x:c>
    </x:row>
    <x:row r="1489">
      <x:c r="A1489" s="8" t="n"/>
      <x:c r="B1489" s="8" t="n"/>
      <x:c r="C1489" s="8" t="n"/>
      <x:c r="D1489" s="8" t="n"/>
      <x:c r="E1489" s="8" t="n"/>
      <x:c r="F1489" s="8" t="n"/>
      <x:c r="G1489" s="7">
        <x:f>IF(A1489="","",IF(01_Parametres!$B$11="Oui",IF((01_Parametres!$B$4*(D1489&gt;0)+01_Parametres!$B$5*(E1489&gt;0)+01_Parametres!$B$6*(F1489&gt;0))=0,"",(01_Parametres!$B$4*IF(D1489&gt;0,D1489,0)+01_Parametres!$B$5*IF(E1489&gt;0,E1489,0)+01_Parametres!$B$6*IF(F1489&gt;0,F1489,0))/(01_Parametres!$B$4*(D1489&gt;0)+01_Parametres!$B$5*(E1489&gt;0)+01_Parametres!$B$6*(F1489&gt;0))),IF(01_Parametres!$B$8=0,"",(01_Parametres!$B$4*D1489+01_Parametres!$B$5*E1489+01_Parametres!$B$6*F1489)/01_Parametres!$B$8)))</x:f>
      </x:c>
      <x:c r="H1489">
        <x:f>IFERROR(VLOOKUP(C1489,02_Referentiels!$A$20:$D$99,3,FALSE),"")</x:f>
      </x:c>
      <x:c r="I1489">
        <x:f>IFERROR(VLOOKUP(B1489,02_Referentiels!$A$5:$C$16,2,FALSE),"")</x:f>
      </x:c>
      <x:c r="J1489">
        <x:f>IF(A1489="","",IF(OR(D1489="",E1489="",F1489=""),1,IF(OR(D1489&lt;0,D1489&gt;3,E1489&lt;0,E1489&gt;3,F1489&lt;0,F1489&gt;3),1,0)))</x:f>
      </x:c>
      <x:c r="K1489">
        <x:f>IF(A1489="","",IF(G1489="",1,0))</x:f>
      </x:c>
      <x:c r="L1489">
        <x:f>IF(A1489="","",IF(COUNTIFS($A$5:$A$2004,A1489,$C$5:$C$2004,C1489)&gt;1,1,0))</x:f>
      </x:c>
    </x:row>
    <x:row r="1490">
      <x:c r="A1490" s="8" t="n"/>
      <x:c r="B1490" s="8" t="n"/>
      <x:c r="C1490" s="8" t="n"/>
      <x:c r="D1490" s="8" t="n"/>
      <x:c r="E1490" s="8" t="n"/>
      <x:c r="F1490" s="8" t="n"/>
      <x:c r="G1490" s="7">
        <x:f>IF(A1490="","",IF(01_Parametres!$B$11="Oui",IF((01_Parametres!$B$4*(D1490&gt;0)+01_Parametres!$B$5*(E1490&gt;0)+01_Parametres!$B$6*(F1490&gt;0))=0,"",(01_Parametres!$B$4*IF(D1490&gt;0,D1490,0)+01_Parametres!$B$5*IF(E1490&gt;0,E1490,0)+01_Parametres!$B$6*IF(F1490&gt;0,F1490,0))/(01_Parametres!$B$4*(D1490&gt;0)+01_Parametres!$B$5*(E1490&gt;0)+01_Parametres!$B$6*(F1490&gt;0))),IF(01_Parametres!$B$8=0,"",(01_Parametres!$B$4*D1490+01_Parametres!$B$5*E1490+01_Parametres!$B$6*F1490)/01_Parametres!$B$8)))</x:f>
      </x:c>
      <x:c r="H1490">
        <x:f>IFERROR(VLOOKUP(C1490,02_Referentiels!$A$20:$D$99,3,FALSE),"")</x:f>
      </x:c>
      <x:c r="I1490">
        <x:f>IFERROR(VLOOKUP(B1490,02_Referentiels!$A$5:$C$16,2,FALSE),"")</x:f>
      </x:c>
      <x:c r="J1490">
        <x:f>IF(A1490="","",IF(OR(D1490="",E1490="",F1490=""),1,IF(OR(D1490&lt;0,D1490&gt;3,E1490&lt;0,E1490&gt;3,F1490&lt;0,F1490&gt;3),1,0)))</x:f>
      </x:c>
      <x:c r="K1490">
        <x:f>IF(A1490="","",IF(G1490="",1,0))</x:f>
      </x:c>
      <x:c r="L1490">
        <x:f>IF(A1490="","",IF(COUNTIFS($A$5:$A$2004,A1490,$C$5:$C$2004,C1490)&gt;1,1,0))</x:f>
      </x:c>
    </x:row>
    <x:row r="1491">
      <x:c r="A1491" s="8" t="n"/>
      <x:c r="B1491" s="8" t="n"/>
      <x:c r="C1491" s="8" t="n"/>
      <x:c r="D1491" s="8" t="n"/>
      <x:c r="E1491" s="8" t="n"/>
      <x:c r="F1491" s="8" t="n"/>
      <x:c r="G1491" s="7">
        <x:f>IF(A1491="","",IF(01_Parametres!$B$11="Oui",IF((01_Parametres!$B$4*(D1491&gt;0)+01_Parametres!$B$5*(E1491&gt;0)+01_Parametres!$B$6*(F1491&gt;0))=0,"",(01_Parametres!$B$4*IF(D1491&gt;0,D1491,0)+01_Parametres!$B$5*IF(E1491&gt;0,E1491,0)+01_Parametres!$B$6*IF(F1491&gt;0,F1491,0))/(01_Parametres!$B$4*(D1491&gt;0)+01_Parametres!$B$5*(E1491&gt;0)+01_Parametres!$B$6*(F1491&gt;0))),IF(01_Parametres!$B$8=0,"",(01_Parametres!$B$4*D1491+01_Parametres!$B$5*E1491+01_Parametres!$B$6*F1491)/01_Parametres!$B$8)))</x:f>
      </x:c>
      <x:c r="H1491">
        <x:f>IFERROR(VLOOKUP(C1491,02_Referentiels!$A$20:$D$99,3,FALSE),"")</x:f>
      </x:c>
      <x:c r="I1491">
        <x:f>IFERROR(VLOOKUP(B1491,02_Referentiels!$A$5:$C$16,2,FALSE),"")</x:f>
      </x:c>
      <x:c r="J1491">
        <x:f>IF(A1491="","",IF(OR(D1491="",E1491="",F1491=""),1,IF(OR(D1491&lt;0,D1491&gt;3,E1491&lt;0,E1491&gt;3,F1491&lt;0,F1491&gt;3),1,0)))</x:f>
      </x:c>
      <x:c r="K1491">
        <x:f>IF(A1491="","",IF(G1491="",1,0))</x:f>
      </x:c>
      <x:c r="L1491">
        <x:f>IF(A1491="","",IF(COUNTIFS($A$5:$A$2004,A1491,$C$5:$C$2004,C1491)&gt;1,1,0))</x:f>
      </x:c>
    </x:row>
    <x:row r="1492">
      <x:c r="A1492" s="8" t="n"/>
      <x:c r="B1492" s="8" t="n"/>
      <x:c r="C1492" s="8" t="n"/>
      <x:c r="D1492" s="8" t="n"/>
      <x:c r="E1492" s="8" t="n"/>
      <x:c r="F1492" s="8" t="n"/>
      <x:c r="G1492" s="7">
        <x:f>IF(A1492="","",IF(01_Parametres!$B$11="Oui",IF((01_Parametres!$B$4*(D1492&gt;0)+01_Parametres!$B$5*(E1492&gt;0)+01_Parametres!$B$6*(F1492&gt;0))=0,"",(01_Parametres!$B$4*IF(D1492&gt;0,D1492,0)+01_Parametres!$B$5*IF(E1492&gt;0,E1492,0)+01_Parametres!$B$6*IF(F1492&gt;0,F1492,0))/(01_Parametres!$B$4*(D1492&gt;0)+01_Parametres!$B$5*(E1492&gt;0)+01_Parametres!$B$6*(F1492&gt;0))),IF(01_Parametres!$B$8=0,"",(01_Parametres!$B$4*D1492+01_Parametres!$B$5*E1492+01_Parametres!$B$6*F1492)/01_Parametres!$B$8)))</x:f>
      </x:c>
      <x:c r="H1492">
        <x:f>IFERROR(VLOOKUP(C1492,02_Referentiels!$A$20:$D$99,3,FALSE),"")</x:f>
      </x:c>
      <x:c r="I1492">
        <x:f>IFERROR(VLOOKUP(B1492,02_Referentiels!$A$5:$C$16,2,FALSE),"")</x:f>
      </x:c>
      <x:c r="J1492">
        <x:f>IF(A1492="","",IF(OR(D1492="",E1492="",F1492=""),1,IF(OR(D1492&lt;0,D1492&gt;3,E1492&lt;0,E1492&gt;3,F1492&lt;0,F1492&gt;3),1,0)))</x:f>
      </x:c>
      <x:c r="K1492">
        <x:f>IF(A1492="","",IF(G1492="",1,0))</x:f>
      </x:c>
      <x:c r="L1492">
        <x:f>IF(A1492="","",IF(COUNTIFS($A$5:$A$2004,A1492,$C$5:$C$2004,C1492)&gt;1,1,0))</x:f>
      </x:c>
    </x:row>
    <x:row r="1493">
      <x:c r="A1493" s="8" t="n"/>
      <x:c r="B1493" s="8" t="n"/>
      <x:c r="C1493" s="8" t="n"/>
      <x:c r="D1493" s="8" t="n"/>
      <x:c r="E1493" s="8" t="n"/>
      <x:c r="F1493" s="8" t="n"/>
      <x:c r="G1493" s="7">
        <x:f>IF(A1493="","",IF(01_Parametres!$B$11="Oui",IF((01_Parametres!$B$4*(D1493&gt;0)+01_Parametres!$B$5*(E1493&gt;0)+01_Parametres!$B$6*(F1493&gt;0))=0,"",(01_Parametres!$B$4*IF(D1493&gt;0,D1493,0)+01_Parametres!$B$5*IF(E1493&gt;0,E1493,0)+01_Parametres!$B$6*IF(F1493&gt;0,F1493,0))/(01_Parametres!$B$4*(D1493&gt;0)+01_Parametres!$B$5*(E1493&gt;0)+01_Parametres!$B$6*(F1493&gt;0))),IF(01_Parametres!$B$8=0,"",(01_Parametres!$B$4*D1493+01_Parametres!$B$5*E1493+01_Parametres!$B$6*F1493)/01_Parametres!$B$8)))</x:f>
      </x:c>
      <x:c r="H1493">
        <x:f>IFERROR(VLOOKUP(C1493,02_Referentiels!$A$20:$D$99,3,FALSE),"")</x:f>
      </x:c>
      <x:c r="I1493">
        <x:f>IFERROR(VLOOKUP(B1493,02_Referentiels!$A$5:$C$16,2,FALSE),"")</x:f>
      </x:c>
      <x:c r="J1493">
        <x:f>IF(A1493="","",IF(OR(D1493="",E1493="",F1493=""),1,IF(OR(D1493&lt;0,D1493&gt;3,E1493&lt;0,E1493&gt;3,F1493&lt;0,F1493&gt;3),1,0)))</x:f>
      </x:c>
      <x:c r="K1493">
        <x:f>IF(A1493="","",IF(G1493="",1,0))</x:f>
      </x:c>
      <x:c r="L1493">
        <x:f>IF(A1493="","",IF(COUNTIFS($A$5:$A$2004,A1493,$C$5:$C$2004,C1493)&gt;1,1,0))</x:f>
      </x:c>
    </x:row>
    <x:row r="1494">
      <x:c r="A1494" s="8" t="n"/>
      <x:c r="B1494" s="8" t="n"/>
      <x:c r="C1494" s="8" t="n"/>
      <x:c r="D1494" s="8" t="n"/>
      <x:c r="E1494" s="8" t="n"/>
      <x:c r="F1494" s="8" t="n"/>
      <x:c r="G1494" s="7">
        <x:f>IF(A1494="","",IF(01_Parametres!$B$11="Oui",IF((01_Parametres!$B$4*(D1494&gt;0)+01_Parametres!$B$5*(E1494&gt;0)+01_Parametres!$B$6*(F1494&gt;0))=0,"",(01_Parametres!$B$4*IF(D1494&gt;0,D1494,0)+01_Parametres!$B$5*IF(E1494&gt;0,E1494,0)+01_Parametres!$B$6*IF(F1494&gt;0,F1494,0))/(01_Parametres!$B$4*(D1494&gt;0)+01_Parametres!$B$5*(E1494&gt;0)+01_Parametres!$B$6*(F1494&gt;0))),IF(01_Parametres!$B$8=0,"",(01_Parametres!$B$4*D1494+01_Parametres!$B$5*E1494+01_Parametres!$B$6*F1494)/01_Parametres!$B$8)))</x:f>
      </x:c>
      <x:c r="H1494">
        <x:f>IFERROR(VLOOKUP(C1494,02_Referentiels!$A$20:$D$99,3,FALSE),"")</x:f>
      </x:c>
      <x:c r="I1494">
        <x:f>IFERROR(VLOOKUP(B1494,02_Referentiels!$A$5:$C$16,2,FALSE),"")</x:f>
      </x:c>
      <x:c r="J1494">
        <x:f>IF(A1494="","",IF(OR(D1494="",E1494="",F1494=""),1,IF(OR(D1494&lt;0,D1494&gt;3,E1494&lt;0,E1494&gt;3,F1494&lt;0,F1494&gt;3),1,0)))</x:f>
      </x:c>
      <x:c r="K1494">
        <x:f>IF(A1494="","",IF(G1494="",1,0))</x:f>
      </x:c>
      <x:c r="L1494">
        <x:f>IF(A1494="","",IF(COUNTIFS($A$5:$A$2004,A1494,$C$5:$C$2004,C1494)&gt;1,1,0))</x:f>
      </x:c>
    </x:row>
    <x:row r="1495">
      <x:c r="A1495" s="8" t="n"/>
      <x:c r="B1495" s="8" t="n"/>
      <x:c r="C1495" s="8" t="n"/>
      <x:c r="D1495" s="8" t="n"/>
      <x:c r="E1495" s="8" t="n"/>
      <x:c r="F1495" s="8" t="n"/>
      <x:c r="G1495" s="7">
        <x:f>IF(A1495="","",IF(01_Parametres!$B$11="Oui",IF((01_Parametres!$B$4*(D1495&gt;0)+01_Parametres!$B$5*(E1495&gt;0)+01_Parametres!$B$6*(F1495&gt;0))=0,"",(01_Parametres!$B$4*IF(D1495&gt;0,D1495,0)+01_Parametres!$B$5*IF(E1495&gt;0,E1495,0)+01_Parametres!$B$6*IF(F1495&gt;0,F1495,0))/(01_Parametres!$B$4*(D1495&gt;0)+01_Parametres!$B$5*(E1495&gt;0)+01_Parametres!$B$6*(F1495&gt;0))),IF(01_Parametres!$B$8=0,"",(01_Parametres!$B$4*D1495+01_Parametres!$B$5*E1495+01_Parametres!$B$6*F1495)/01_Parametres!$B$8)))</x:f>
      </x:c>
      <x:c r="H1495">
        <x:f>IFERROR(VLOOKUP(C1495,02_Referentiels!$A$20:$D$99,3,FALSE),"")</x:f>
      </x:c>
      <x:c r="I1495">
        <x:f>IFERROR(VLOOKUP(B1495,02_Referentiels!$A$5:$C$16,2,FALSE),"")</x:f>
      </x:c>
      <x:c r="J1495">
        <x:f>IF(A1495="","",IF(OR(D1495="",E1495="",F1495=""),1,IF(OR(D1495&lt;0,D1495&gt;3,E1495&lt;0,E1495&gt;3,F1495&lt;0,F1495&gt;3),1,0)))</x:f>
      </x:c>
      <x:c r="K1495">
        <x:f>IF(A1495="","",IF(G1495="",1,0))</x:f>
      </x:c>
      <x:c r="L1495">
        <x:f>IF(A1495="","",IF(COUNTIFS($A$5:$A$2004,A1495,$C$5:$C$2004,C1495)&gt;1,1,0))</x:f>
      </x:c>
    </x:row>
    <x:row r="1496">
      <x:c r="A1496" s="8" t="n"/>
      <x:c r="B1496" s="8" t="n"/>
      <x:c r="C1496" s="8" t="n"/>
      <x:c r="D1496" s="8" t="n"/>
      <x:c r="E1496" s="8" t="n"/>
      <x:c r="F1496" s="8" t="n"/>
      <x:c r="G1496" s="7">
        <x:f>IF(A1496="","",IF(01_Parametres!$B$11="Oui",IF((01_Parametres!$B$4*(D1496&gt;0)+01_Parametres!$B$5*(E1496&gt;0)+01_Parametres!$B$6*(F1496&gt;0))=0,"",(01_Parametres!$B$4*IF(D1496&gt;0,D1496,0)+01_Parametres!$B$5*IF(E1496&gt;0,E1496,0)+01_Parametres!$B$6*IF(F1496&gt;0,F1496,0))/(01_Parametres!$B$4*(D1496&gt;0)+01_Parametres!$B$5*(E1496&gt;0)+01_Parametres!$B$6*(F1496&gt;0))),IF(01_Parametres!$B$8=0,"",(01_Parametres!$B$4*D1496+01_Parametres!$B$5*E1496+01_Parametres!$B$6*F1496)/01_Parametres!$B$8)))</x:f>
      </x:c>
      <x:c r="H1496">
        <x:f>IFERROR(VLOOKUP(C1496,02_Referentiels!$A$20:$D$99,3,FALSE),"")</x:f>
      </x:c>
      <x:c r="I1496">
        <x:f>IFERROR(VLOOKUP(B1496,02_Referentiels!$A$5:$C$16,2,FALSE),"")</x:f>
      </x:c>
      <x:c r="J1496">
        <x:f>IF(A1496="","",IF(OR(D1496="",E1496="",F1496=""),1,IF(OR(D1496&lt;0,D1496&gt;3,E1496&lt;0,E1496&gt;3,F1496&lt;0,F1496&gt;3),1,0)))</x:f>
      </x:c>
      <x:c r="K1496">
        <x:f>IF(A1496="","",IF(G1496="",1,0))</x:f>
      </x:c>
      <x:c r="L1496">
        <x:f>IF(A1496="","",IF(COUNTIFS($A$5:$A$2004,A1496,$C$5:$C$2004,C1496)&gt;1,1,0))</x:f>
      </x:c>
    </x:row>
    <x:row r="1497">
      <x:c r="A1497" s="8" t="n"/>
      <x:c r="B1497" s="8" t="n"/>
      <x:c r="C1497" s="8" t="n"/>
      <x:c r="D1497" s="8" t="n"/>
      <x:c r="E1497" s="8" t="n"/>
      <x:c r="F1497" s="8" t="n"/>
      <x:c r="G1497" s="7">
        <x:f>IF(A1497="","",IF(01_Parametres!$B$11="Oui",IF((01_Parametres!$B$4*(D1497&gt;0)+01_Parametres!$B$5*(E1497&gt;0)+01_Parametres!$B$6*(F1497&gt;0))=0,"",(01_Parametres!$B$4*IF(D1497&gt;0,D1497,0)+01_Parametres!$B$5*IF(E1497&gt;0,E1497,0)+01_Parametres!$B$6*IF(F1497&gt;0,F1497,0))/(01_Parametres!$B$4*(D1497&gt;0)+01_Parametres!$B$5*(E1497&gt;0)+01_Parametres!$B$6*(F1497&gt;0))),IF(01_Parametres!$B$8=0,"",(01_Parametres!$B$4*D1497+01_Parametres!$B$5*E1497+01_Parametres!$B$6*F1497)/01_Parametres!$B$8)))</x:f>
      </x:c>
      <x:c r="H1497">
        <x:f>IFERROR(VLOOKUP(C1497,02_Referentiels!$A$20:$D$99,3,FALSE),"")</x:f>
      </x:c>
      <x:c r="I1497">
        <x:f>IFERROR(VLOOKUP(B1497,02_Referentiels!$A$5:$C$16,2,FALSE),"")</x:f>
      </x:c>
      <x:c r="J1497">
        <x:f>IF(A1497="","",IF(OR(D1497="",E1497="",F1497=""),1,IF(OR(D1497&lt;0,D1497&gt;3,E1497&lt;0,E1497&gt;3,F1497&lt;0,F1497&gt;3),1,0)))</x:f>
      </x:c>
      <x:c r="K1497">
        <x:f>IF(A1497="","",IF(G1497="",1,0))</x:f>
      </x:c>
      <x:c r="L1497">
        <x:f>IF(A1497="","",IF(COUNTIFS($A$5:$A$2004,A1497,$C$5:$C$2004,C1497)&gt;1,1,0))</x:f>
      </x:c>
    </x:row>
    <x:row r="1498">
      <x:c r="A1498" s="8" t="n"/>
      <x:c r="B1498" s="8" t="n"/>
      <x:c r="C1498" s="8" t="n"/>
      <x:c r="D1498" s="8" t="n"/>
      <x:c r="E1498" s="8" t="n"/>
      <x:c r="F1498" s="8" t="n"/>
      <x:c r="G1498" s="7">
        <x:f>IF(A1498="","",IF(01_Parametres!$B$11="Oui",IF((01_Parametres!$B$4*(D1498&gt;0)+01_Parametres!$B$5*(E1498&gt;0)+01_Parametres!$B$6*(F1498&gt;0))=0,"",(01_Parametres!$B$4*IF(D1498&gt;0,D1498,0)+01_Parametres!$B$5*IF(E1498&gt;0,E1498,0)+01_Parametres!$B$6*IF(F1498&gt;0,F1498,0))/(01_Parametres!$B$4*(D1498&gt;0)+01_Parametres!$B$5*(E1498&gt;0)+01_Parametres!$B$6*(F1498&gt;0))),IF(01_Parametres!$B$8=0,"",(01_Parametres!$B$4*D1498+01_Parametres!$B$5*E1498+01_Parametres!$B$6*F1498)/01_Parametres!$B$8)))</x:f>
      </x:c>
      <x:c r="H1498">
        <x:f>IFERROR(VLOOKUP(C1498,02_Referentiels!$A$20:$D$99,3,FALSE),"")</x:f>
      </x:c>
      <x:c r="I1498">
        <x:f>IFERROR(VLOOKUP(B1498,02_Referentiels!$A$5:$C$16,2,FALSE),"")</x:f>
      </x:c>
      <x:c r="J1498">
        <x:f>IF(A1498="","",IF(OR(D1498="",E1498="",F1498=""),1,IF(OR(D1498&lt;0,D1498&gt;3,E1498&lt;0,E1498&gt;3,F1498&lt;0,F1498&gt;3),1,0)))</x:f>
      </x:c>
      <x:c r="K1498">
        <x:f>IF(A1498="","",IF(G1498="",1,0))</x:f>
      </x:c>
      <x:c r="L1498">
        <x:f>IF(A1498="","",IF(COUNTIFS($A$5:$A$2004,A1498,$C$5:$C$2004,C1498)&gt;1,1,0))</x:f>
      </x:c>
    </x:row>
    <x:row r="1499">
      <x:c r="A1499" s="8" t="n"/>
      <x:c r="B1499" s="8" t="n"/>
      <x:c r="C1499" s="8" t="n"/>
      <x:c r="D1499" s="8" t="n"/>
      <x:c r="E1499" s="8" t="n"/>
      <x:c r="F1499" s="8" t="n"/>
      <x:c r="G1499" s="7">
        <x:f>IF(A1499="","",IF(01_Parametres!$B$11="Oui",IF((01_Parametres!$B$4*(D1499&gt;0)+01_Parametres!$B$5*(E1499&gt;0)+01_Parametres!$B$6*(F1499&gt;0))=0,"",(01_Parametres!$B$4*IF(D1499&gt;0,D1499,0)+01_Parametres!$B$5*IF(E1499&gt;0,E1499,0)+01_Parametres!$B$6*IF(F1499&gt;0,F1499,0))/(01_Parametres!$B$4*(D1499&gt;0)+01_Parametres!$B$5*(E1499&gt;0)+01_Parametres!$B$6*(F1499&gt;0))),IF(01_Parametres!$B$8=0,"",(01_Parametres!$B$4*D1499+01_Parametres!$B$5*E1499+01_Parametres!$B$6*F1499)/01_Parametres!$B$8)))</x:f>
      </x:c>
      <x:c r="H1499">
        <x:f>IFERROR(VLOOKUP(C1499,02_Referentiels!$A$20:$D$99,3,FALSE),"")</x:f>
      </x:c>
      <x:c r="I1499">
        <x:f>IFERROR(VLOOKUP(B1499,02_Referentiels!$A$5:$C$16,2,FALSE),"")</x:f>
      </x:c>
      <x:c r="J1499">
        <x:f>IF(A1499="","",IF(OR(D1499="",E1499="",F1499=""),1,IF(OR(D1499&lt;0,D1499&gt;3,E1499&lt;0,E1499&gt;3,F1499&lt;0,F1499&gt;3),1,0)))</x:f>
      </x:c>
      <x:c r="K1499">
        <x:f>IF(A1499="","",IF(G1499="",1,0))</x:f>
      </x:c>
      <x:c r="L1499">
        <x:f>IF(A1499="","",IF(COUNTIFS($A$5:$A$2004,A1499,$C$5:$C$2004,C1499)&gt;1,1,0))</x:f>
      </x:c>
    </x:row>
    <x:row r="1500">
      <x:c r="A1500" s="8" t="n"/>
      <x:c r="B1500" s="8" t="n"/>
      <x:c r="C1500" s="8" t="n"/>
      <x:c r="D1500" s="8" t="n"/>
      <x:c r="E1500" s="8" t="n"/>
      <x:c r="F1500" s="8" t="n"/>
      <x:c r="G1500" s="7">
        <x:f>IF(A1500="","",IF(01_Parametres!$B$11="Oui",IF((01_Parametres!$B$4*(D1500&gt;0)+01_Parametres!$B$5*(E1500&gt;0)+01_Parametres!$B$6*(F1500&gt;0))=0,"",(01_Parametres!$B$4*IF(D1500&gt;0,D1500,0)+01_Parametres!$B$5*IF(E1500&gt;0,E1500,0)+01_Parametres!$B$6*IF(F1500&gt;0,F1500,0))/(01_Parametres!$B$4*(D1500&gt;0)+01_Parametres!$B$5*(E1500&gt;0)+01_Parametres!$B$6*(F1500&gt;0))),IF(01_Parametres!$B$8=0,"",(01_Parametres!$B$4*D1500+01_Parametres!$B$5*E1500+01_Parametres!$B$6*F1500)/01_Parametres!$B$8)))</x:f>
      </x:c>
      <x:c r="H1500">
        <x:f>IFERROR(VLOOKUP(C1500,02_Referentiels!$A$20:$D$99,3,FALSE),"")</x:f>
      </x:c>
      <x:c r="I1500">
        <x:f>IFERROR(VLOOKUP(B1500,02_Referentiels!$A$5:$C$16,2,FALSE),"")</x:f>
      </x:c>
      <x:c r="J1500">
        <x:f>IF(A1500="","",IF(OR(D1500="",E1500="",F1500=""),1,IF(OR(D1500&lt;0,D1500&gt;3,E1500&lt;0,E1500&gt;3,F1500&lt;0,F1500&gt;3),1,0)))</x:f>
      </x:c>
      <x:c r="K1500">
        <x:f>IF(A1500="","",IF(G1500="",1,0))</x:f>
      </x:c>
      <x:c r="L1500">
        <x:f>IF(A1500="","",IF(COUNTIFS($A$5:$A$2004,A1500,$C$5:$C$2004,C1500)&gt;1,1,0))</x:f>
      </x:c>
    </x:row>
    <x:row r="1501">
      <x:c r="A1501" s="8" t="n"/>
      <x:c r="B1501" s="8" t="n"/>
      <x:c r="C1501" s="8" t="n"/>
      <x:c r="D1501" s="8" t="n"/>
      <x:c r="E1501" s="8" t="n"/>
      <x:c r="F1501" s="8" t="n"/>
      <x:c r="G1501" s="7">
        <x:f>IF(A1501="","",IF(01_Parametres!$B$11="Oui",IF((01_Parametres!$B$4*(D1501&gt;0)+01_Parametres!$B$5*(E1501&gt;0)+01_Parametres!$B$6*(F1501&gt;0))=0,"",(01_Parametres!$B$4*IF(D1501&gt;0,D1501,0)+01_Parametres!$B$5*IF(E1501&gt;0,E1501,0)+01_Parametres!$B$6*IF(F1501&gt;0,F1501,0))/(01_Parametres!$B$4*(D1501&gt;0)+01_Parametres!$B$5*(E1501&gt;0)+01_Parametres!$B$6*(F1501&gt;0))),IF(01_Parametres!$B$8=0,"",(01_Parametres!$B$4*D1501+01_Parametres!$B$5*E1501+01_Parametres!$B$6*F1501)/01_Parametres!$B$8)))</x:f>
      </x:c>
      <x:c r="H1501">
        <x:f>IFERROR(VLOOKUP(C1501,02_Referentiels!$A$20:$D$99,3,FALSE),"")</x:f>
      </x:c>
      <x:c r="I1501">
        <x:f>IFERROR(VLOOKUP(B1501,02_Referentiels!$A$5:$C$16,2,FALSE),"")</x:f>
      </x:c>
      <x:c r="J1501">
        <x:f>IF(A1501="","",IF(OR(D1501="",E1501="",F1501=""),1,IF(OR(D1501&lt;0,D1501&gt;3,E1501&lt;0,E1501&gt;3,F1501&lt;0,F1501&gt;3),1,0)))</x:f>
      </x:c>
      <x:c r="K1501">
        <x:f>IF(A1501="","",IF(G1501="",1,0))</x:f>
      </x:c>
      <x:c r="L1501">
        <x:f>IF(A1501="","",IF(COUNTIFS($A$5:$A$2004,A1501,$C$5:$C$2004,C1501)&gt;1,1,0))</x:f>
      </x:c>
    </x:row>
    <x:row r="1502">
      <x:c r="A1502" s="8" t="n"/>
      <x:c r="B1502" s="8" t="n"/>
      <x:c r="C1502" s="8" t="n"/>
      <x:c r="D1502" s="8" t="n"/>
      <x:c r="E1502" s="8" t="n"/>
      <x:c r="F1502" s="8" t="n"/>
      <x:c r="G1502" s="7">
        <x:f>IF(A1502="","",IF(01_Parametres!$B$11="Oui",IF((01_Parametres!$B$4*(D1502&gt;0)+01_Parametres!$B$5*(E1502&gt;0)+01_Parametres!$B$6*(F1502&gt;0))=0,"",(01_Parametres!$B$4*IF(D1502&gt;0,D1502,0)+01_Parametres!$B$5*IF(E1502&gt;0,E1502,0)+01_Parametres!$B$6*IF(F1502&gt;0,F1502,0))/(01_Parametres!$B$4*(D1502&gt;0)+01_Parametres!$B$5*(E1502&gt;0)+01_Parametres!$B$6*(F1502&gt;0))),IF(01_Parametres!$B$8=0,"",(01_Parametres!$B$4*D1502+01_Parametres!$B$5*E1502+01_Parametres!$B$6*F1502)/01_Parametres!$B$8)))</x:f>
      </x:c>
      <x:c r="H1502">
        <x:f>IFERROR(VLOOKUP(C1502,02_Referentiels!$A$20:$D$99,3,FALSE),"")</x:f>
      </x:c>
      <x:c r="I1502">
        <x:f>IFERROR(VLOOKUP(B1502,02_Referentiels!$A$5:$C$16,2,FALSE),"")</x:f>
      </x:c>
      <x:c r="J1502">
        <x:f>IF(A1502="","",IF(OR(D1502="",E1502="",F1502=""),1,IF(OR(D1502&lt;0,D1502&gt;3,E1502&lt;0,E1502&gt;3,F1502&lt;0,F1502&gt;3),1,0)))</x:f>
      </x:c>
      <x:c r="K1502">
        <x:f>IF(A1502="","",IF(G1502="",1,0))</x:f>
      </x:c>
      <x:c r="L1502">
        <x:f>IF(A1502="","",IF(COUNTIFS($A$5:$A$2004,A1502,$C$5:$C$2004,C1502)&gt;1,1,0))</x:f>
      </x:c>
    </x:row>
    <x:row r="1503">
      <x:c r="A1503" s="8" t="n"/>
      <x:c r="B1503" s="8" t="n"/>
      <x:c r="C1503" s="8" t="n"/>
      <x:c r="D1503" s="8" t="n"/>
      <x:c r="E1503" s="8" t="n"/>
      <x:c r="F1503" s="8" t="n"/>
      <x:c r="G1503" s="7">
        <x:f>IF(A1503="","",IF(01_Parametres!$B$11="Oui",IF((01_Parametres!$B$4*(D1503&gt;0)+01_Parametres!$B$5*(E1503&gt;0)+01_Parametres!$B$6*(F1503&gt;0))=0,"",(01_Parametres!$B$4*IF(D1503&gt;0,D1503,0)+01_Parametres!$B$5*IF(E1503&gt;0,E1503,0)+01_Parametres!$B$6*IF(F1503&gt;0,F1503,0))/(01_Parametres!$B$4*(D1503&gt;0)+01_Parametres!$B$5*(E1503&gt;0)+01_Parametres!$B$6*(F1503&gt;0))),IF(01_Parametres!$B$8=0,"",(01_Parametres!$B$4*D1503+01_Parametres!$B$5*E1503+01_Parametres!$B$6*F1503)/01_Parametres!$B$8)))</x:f>
      </x:c>
      <x:c r="H1503">
        <x:f>IFERROR(VLOOKUP(C1503,02_Referentiels!$A$20:$D$99,3,FALSE),"")</x:f>
      </x:c>
      <x:c r="I1503">
        <x:f>IFERROR(VLOOKUP(B1503,02_Referentiels!$A$5:$C$16,2,FALSE),"")</x:f>
      </x:c>
      <x:c r="J1503">
        <x:f>IF(A1503="","",IF(OR(D1503="",E1503="",F1503=""),1,IF(OR(D1503&lt;0,D1503&gt;3,E1503&lt;0,E1503&gt;3,F1503&lt;0,F1503&gt;3),1,0)))</x:f>
      </x:c>
      <x:c r="K1503">
        <x:f>IF(A1503="","",IF(G1503="",1,0))</x:f>
      </x:c>
      <x:c r="L1503">
        <x:f>IF(A1503="","",IF(COUNTIFS($A$5:$A$2004,A1503,$C$5:$C$2004,C1503)&gt;1,1,0))</x:f>
      </x:c>
    </x:row>
    <x:row r="1504">
      <x:c r="A1504" s="8" t="n"/>
      <x:c r="B1504" s="8" t="n"/>
      <x:c r="C1504" s="8" t="n"/>
      <x:c r="D1504" s="8" t="n"/>
      <x:c r="E1504" s="8" t="n"/>
      <x:c r="F1504" s="8" t="n"/>
      <x:c r="G1504" s="7">
        <x:f>IF(A1504="","",IF(01_Parametres!$B$11="Oui",IF((01_Parametres!$B$4*(D1504&gt;0)+01_Parametres!$B$5*(E1504&gt;0)+01_Parametres!$B$6*(F1504&gt;0))=0,"",(01_Parametres!$B$4*IF(D1504&gt;0,D1504,0)+01_Parametres!$B$5*IF(E1504&gt;0,E1504,0)+01_Parametres!$B$6*IF(F1504&gt;0,F1504,0))/(01_Parametres!$B$4*(D1504&gt;0)+01_Parametres!$B$5*(E1504&gt;0)+01_Parametres!$B$6*(F1504&gt;0))),IF(01_Parametres!$B$8=0,"",(01_Parametres!$B$4*D1504+01_Parametres!$B$5*E1504+01_Parametres!$B$6*F1504)/01_Parametres!$B$8)))</x:f>
      </x:c>
      <x:c r="H1504">
        <x:f>IFERROR(VLOOKUP(C1504,02_Referentiels!$A$20:$D$99,3,FALSE),"")</x:f>
      </x:c>
      <x:c r="I1504">
        <x:f>IFERROR(VLOOKUP(B1504,02_Referentiels!$A$5:$C$16,2,FALSE),"")</x:f>
      </x:c>
      <x:c r="J1504">
        <x:f>IF(A1504="","",IF(OR(D1504="",E1504="",F1504=""),1,IF(OR(D1504&lt;0,D1504&gt;3,E1504&lt;0,E1504&gt;3,F1504&lt;0,F1504&gt;3),1,0)))</x:f>
      </x:c>
      <x:c r="K1504">
        <x:f>IF(A1504="","",IF(G1504="",1,0))</x:f>
      </x:c>
      <x:c r="L1504">
        <x:f>IF(A1504="","",IF(COUNTIFS($A$5:$A$2004,A1504,$C$5:$C$2004,C1504)&gt;1,1,0))</x:f>
      </x:c>
    </x:row>
    <x:row r="1505">
      <x:c r="A1505" s="8" t="n"/>
      <x:c r="B1505" s="8" t="n"/>
      <x:c r="C1505" s="8" t="n"/>
      <x:c r="D1505" s="8" t="n"/>
      <x:c r="E1505" s="8" t="n"/>
      <x:c r="F1505" s="8" t="n"/>
      <x:c r="G1505" s="7">
        <x:f>IF(A1505="","",IF(01_Parametres!$B$11="Oui",IF((01_Parametres!$B$4*(D1505&gt;0)+01_Parametres!$B$5*(E1505&gt;0)+01_Parametres!$B$6*(F1505&gt;0))=0,"",(01_Parametres!$B$4*IF(D1505&gt;0,D1505,0)+01_Parametres!$B$5*IF(E1505&gt;0,E1505,0)+01_Parametres!$B$6*IF(F1505&gt;0,F1505,0))/(01_Parametres!$B$4*(D1505&gt;0)+01_Parametres!$B$5*(E1505&gt;0)+01_Parametres!$B$6*(F1505&gt;0))),IF(01_Parametres!$B$8=0,"",(01_Parametres!$B$4*D1505+01_Parametres!$B$5*E1505+01_Parametres!$B$6*F1505)/01_Parametres!$B$8)))</x:f>
      </x:c>
      <x:c r="H1505">
        <x:f>IFERROR(VLOOKUP(C1505,02_Referentiels!$A$20:$D$99,3,FALSE),"")</x:f>
      </x:c>
      <x:c r="I1505">
        <x:f>IFERROR(VLOOKUP(B1505,02_Referentiels!$A$5:$C$16,2,FALSE),"")</x:f>
      </x:c>
      <x:c r="J1505">
        <x:f>IF(A1505="","",IF(OR(D1505="",E1505="",F1505=""),1,IF(OR(D1505&lt;0,D1505&gt;3,E1505&lt;0,E1505&gt;3,F1505&lt;0,F1505&gt;3),1,0)))</x:f>
      </x:c>
      <x:c r="K1505">
        <x:f>IF(A1505="","",IF(G1505="",1,0))</x:f>
      </x:c>
      <x:c r="L1505">
        <x:f>IF(A1505="","",IF(COUNTIFS($A$5:$A$2004,A1505,$C$5:$C$2004,C1505)&gt;1,1,0))</x:f>
      </x:c>
    </x:row>
    <x:row r="1506">
      <x:c r="A1506" s="8" t="n"/>
      <x:c r="B1506" s="8" t="n"/>
      <x:c r="C1506" s="8" t="n"/>
      <x:c r="D1506" s="8" t="n"/>
      <x:c r="E1506" s="8" t="n"/>
      <x:c r="F1506" s="8" t="n"/>
      <x:c r="G1506" s="7">
        <x:f>IF(A1506="","",IF(01_Parametres!$B$11="Oui",IF((01_Parametres!$B$4*(D1506&gt;0)+01_Parametres!$B$5*(E1506&gt;0)+01_Parametres!$B$6*(F1506&gt;0))=0,"",(01_Parametres!$B$4*IF(D1506&gt;0,D1506,0)+01_Parametres!$B$5*IF(E1506&gt;0,E1506,0)+01_Parametres!$B$6*IF(F1506&gt;0,F1506,0))/(01_Parametres!$B$4*(D1506&gt;0)+01_Parametres!$B$5*(E1506&gt;0)+01_Parametres!$B$6*(F1506&gt;0))),IF(01_Parametres!$B$8=0,"",(01_Parametres!$B$4*D1506+01_Parametres!$B$5*E1506+01_Parametres!$B$6*F1506)/01_Parametres!$B$8)))</x:f>
      </x:c>
      <x:c r="H1506">
        <x:f>IFERROR(VLOOKUP(C1506,02_Referentiels!$A$20:$D$99,3,FALSE),"")</x:f>
      </x:c>
      <x:c r="I1506">
        <x:f>IFERROR(VLOOKUP(B1506,02_Referentiels!$A$5:$C$16,2,FALSE),"")</x:f>
      </x:c>
      <x:c r="J1506">
        <x:f>IF(A1506="","",IF(OR(D1506="",E1506="",F1506=""),1,IF(OR(D1506&lt;0,D1506&gt;3,E1506&lt;0,E1506&gt;3,F1506&lt;0,F1506&gt;3),1,0)))</x:f>
      </x:c>
      <x:c r="K1506">
        <x:f>IF(A1506="","",IF(G1506="",1,0))</x:f>
      </x:c>
      <x:c r="L1506">
        <x:f>IF(A1506="","",IF(COUNTIFS($A$5:$A$2004,A1506,$C$5:$C$2004,C1506)&gt;1,1,0))</x:f>
      </x:c>
    </x:row>
    <x:row r="1507">
      <x:c r="A1507" s="8" t="n"/>
      <x:c r="B1507" s="8" t="n"/>
      <x:c r="C1507" s="8" t="n"/>
      <x:c r="D1507" s="8" t="n"/>
      <x:c r="E1507" s="8" t="n"/>
      <x:c r="F1507" s="8" t="n"/>
      <x:c r="G1507" s="7">
        <x:f>IF(A1507="","",IF(01_Parametres!$B$11="Oui",IF((01_Parametres!$B$4*(D1507&gt;0)+01_Parametres!$B$5*(E1507&gt;0)+01_Parametres!$B$6*(F1507&gt;0))=0,"",(01_Parametres!$B$4*IF(D1507&gt;0,D1507,0)+01_Parametres!$B$5*IF(E1507&gt;0,E1507,0)+01_Parametres!$B$6*IF(F1507&gt;0,F1507,0))/(01_Parametres!$B$4*(D1507&gt;0)+01_Parametres!$B$5*(E1507&gt;0)+01_Parametres!$B$6*(F1507&gt;0))),IF(01_Parametres!$B$8=0,"",(01_Parametres!$B$4*D1507+01_Parametres!$B$5*E1507+01_Parametres!$B$6*F1507)/01_Parametres!$B$8)))</x:f>
      </x:c>
      <x:c r="H1507">
        <x:f>IFERROR(VLOOKUP(C1507,02_Referentiels!$A$20:$D$99,3,FALSE),"")</x:f>
      </x:c>
      <x:c r="I1507">
        <x:f>IFERROR(VLOOKUP(B1507,02_Referentiels!$A$5:$C$16,2,FALSE),"")</x:f>
      </x:c>
      <x:c r="J1507">
        <x:f>IF(A1507="","",IF(OR(D1507="",E1507="",F1507=""),1,IF(OR(D1507&lt;0,D1507&gt;3,E1507&lt;0,E1507&gt;3,F1507&lt;0,F1507&gt;3),1,0)))</x:f>
      </x:c>
      <x:c r="K1507">
        <x:f>IF(A1507="","",IF(G1507="",1,0))</x:f>
      </x:c>
      <x:c r="L1507">
        <x:f>IF(A1507="","",IF(COUNTIFS($A$5:$A$2004,A1507,$C$5:$C$2004,C1507)&gt;1,1,0))</x:f>
      </x:c>
    </x:row>
    <x:row r="1508">
      <x:c r="A1508" s="8" t="n"/>
      <x:c r="B1508" s="8" t="n"/>
      <x:c r="C1508" s="8" t="n"/>
      <x:c r="D1508" s="8" t="n"/>
      <x:c r="E1508" s="8" t="n"/>
      <x:c r="F1508" s="8" t="n"/>
      <x:c r="G1508" s="7">
        <x:f>IF(A1508="","",IF(01_Parametres!$B$11="Oui",IF((01_Parametres!$B$4*(D1508&gt;0)+01_Parametres!$B$5*(E1508&gt;0)+01_Parametres!$B$6*(F1508&gt;0))=0,"",(01_Parametres!$B$4*IF(D1508&gt;0,D1508,0)+01_Parametres!$B$5*IF(E1508&gt;0,E1508,0)+01_Parametres!$B$6*IF(F1508&gt;0,F1508,0))/(01_Parametres!$B$4*(D1508&gt;0)+01_Parametres!$B$5*(E1508&gt;0)+01_Parametres!$B$6*(F1508&gt;0))),IF(01_Parametres!$B$8=0,"",(01_Parametres!$B$4*D1508+01_Parametres!$B$5*E1508+01_Parametres!$B$6*F1508)/01_Parametres!$B$8)))</x:f>
      </x:c>
      <x:c r="H1508">
        <x:f>IFERROR(VLOOKUP(C1508,02_Referentiels!$A$20:$D$99,3,FALSE),"")</x:f>
      </x:c>
      <x:c r="I1508">
        <x:f>IFERROR(VLOOKUP(B1508,02_Referentiels!$A$5:$C$16,2,FALSE),"")</x:f>
      </x:c>
      <x:c r="J1508">
        <x:f>IF(A1508="","",IF(OR(D1508="",E1508="",F1508=""),1,IF(OR(D1508&lt;0,D1508&gt;3,E1508&lt;0,E1508&gt;3,F1508&lt;0,F1508&gt;3),1,0)))</x:f>
      </x:c>
      <x:c r="K1508">
        <x:f>IF(A1508="","",IF(G1508="",1,0))</x:f>
      </x:c>
      <x:c r="L1508">
        <x:f>IF(A1508="","",IF(COUNTIFS($A$5:$A$2004,A1508,$C$5:$C$2004,C1508)&gt;1,1,0))</x:f>
      </x:c>
    </x:row>
    <x:row r="1509">
      <x:c r="A1509" s="8" t="n"/>
      <x:c r="B1509" s="8" t="n"/>
      <x:c r="C1509" s="8" t="n"/>
      <x:c r="D1509" s="8" t="n"/>
      <x:c r="E1509" s="8" t="n"/>
      <x:c r="F1509" s="8" t="n"/>
      <x:c r="G1509" s="7">
        <x:f>IF(A1509="","",IF(01_Parametres!$B$11="Oui",IF((01_Parametres!$B$4*(D1509&gt;0)+01_Parametres!$B$5*(E1509&gt;0)+01_Parametres!$B$6*(F1509&gt;0))=0,"",(01_Parametres!$B$4*IF(D1509&gt;0,D1509,0)+01_Parametres!$B$5*IF(E1509&gt;0,E1509,0)+01_Parametres!$B$6*IF(F1509&gt;0,F1509,0))/(01_Parametres!$B$4*(D1509&gt;0)+01_Parametres!$B$5*(E1509&gt;0)+01_Parametres!$B$6*(F1509&gt;0))),IF(01_Parametres!$B$8=0,"",(01_Parametres!$B$4*D1509+01_Parametres!$B$5*E1509+01_Parametres!$B$6*F1509)/01_Parametres!$B$8)))</x:f>
      </x:c>
      <x:c r="H1509">
        <x:f>IFERROR(VLOOKUP(C1509,02_Referentiels!$A$20:$D$99,3,FALSE),"")</x:f>
      </x:c>
      <x:c r="I1509">
        <x:f>IFERROR(VLOOKUP(B1509,02_Referentiels!$A$5:$C$16,2,FALSE),"")</x:f>
      </x:c>
      <x:c r="J1509">
        <x:f>IF(A1509="","",IF(OR(D1509="",E1509="",F1509=""),1,IF(OR(D1509&lt;0,D1509&gt;3,E1509&lt;0,E1509&gt;3,F1509&lt;0,F1509&gt;3),1,0)))</x:f>
      </x:c>
      <x:c r="K1509">
        <x:f>IF(A1509="","",IF(G1509="",1,0))</x:f>
      </x:c>
      <x:c r="L1509">
        <x:f>IF(A1509="","",IF(COUNTIFS($A$5:$A$2004,A1509,$C$5:$C$2004,C1509)&gt;1,1,0))</x:f>
      </x:c>
    </x:row>
    <x:row r="1510">
      <x:c r="A1510" s="8" t="n"/>
      <x:c r="B1510" s="8" t="n"/>
      <x:c r="C1510" s="8" t="n"/>
      <x:c r="D1510" s="8" t="n"/>
      <x:c r="E1510" s="8" t="n"/>
      <x:c r="F1510" s="8" t="n"/>
      <x:c r="G1510" s="7">
        <x:f>IF(A1510="","",IF(01_Parametres!$B$11="Oui",IF((01_Parametres!$B$4*(D1510&gt;0)+01_Parametres!$B$5*(E1510&gt;0)+01_Parametres!$B$6*(F1510&gt;0))=0,"",(01_Parametres!$B$4*IF(D1510&gt;0,D1510,0)+01_Parametres!$B$5*IF(E1510&gt;0,E1510,0)+01_Parametres!$B$6*IF(F1510&gt;0,F1510,0))/(01_Parametres!$B$4*(D1510&gt;0)+01_Parametres!$B$5*(E1510&gt;0)+01_Parametres!$B$6*(F1510&gt;0))),IF(01_Parametres!$B$8=0,"",(01_Parametres!$B$4*D1510+01_Parametres!$B$5*E1510+01_Parametres!$B$6*F1510)/01_Parametres!$B$8)))</x:f>
      </x:c>
      <x:c r="H1510">
        <x:f>IFERROR(VLOOKUP(C1510,02_Referentiels!$A$20:$D$99,3,FALSE),"")</x:f>
      </x:c>
      <x:c r="I1510">
        <x:f>IFERROR(VLOOKUP(B1510,02_Referentiels!$A$5:$C$16,2,FALSE),"")</x:f>
      </x:c>
      <x:c r="J1510">
        <x:f>IF(A1510="","",IF(OR(D1510="",E1510="",F1510=""),1,IF(OR(D1510&lt;0,D1510&gt;3,E1510&lt;0,E1510&gt;3,F1510&lt;0,F1510&gt;3),1,0)))</x:f>
      </x:c>
      <x:c r="K1510">
        <x:f>IF(A1510="","",IF(G1510="",1,0))</x:f>
      </x:c>
      <x:c r="L1510">
        <x:f>IF(A1510="","",IF(COUNTIFS($A$5:$A$2004,A1510,$C$5:$C$2004,C1510)&gt;1,1,0))</x:f>
      </x:c>
    </x:row>
    <x:row r="1511">
      <x:c r="A1511" s="8" t="n"/>
      <x:c r="B1511" s="8" t="n"/>
      <x:c r="C1511" s="8" t="n"/>
      <x:c r="D1511" s="8" t="n"/>
      <x:c r="E1511" s="8" t="n"/>
      <x:c r="F1511" s="8" t="n"/>
      <x:c r="G1511" s="7">
        <x:f>IF(A1511="","",IF(01_Parametres!$B$11="Oui",IF((01_Parametres!$B$4*(D1511&gt;0)+01_Parametres!$B$5*(E1511&gt;0)+01_Parametres!$B$6*(F1511&gt;0))=0,"",(01_Parametres!$B$4*IF(D1511&gt;0,D1511,0)+01_Parametres!$B$5*IF(E1511&gt;0,E1511,0)+01_Parametres!$B$6*IF(F1511&gt;0,F1511,0))/(01_Parametres!$B$4*(D1511&gt;0)+01_Parametres!$B$5*(E1511&gt;0)+01_Parametres!$B$6*(F1511&gt;0))),IF(01_Parametres!$B$8=0,"",(01_Parametres!$B$4*D1511+01_Parametres!$B$5*E1511+01_Parametres!$B$6*F1511)/01_Parametres!$B$8)))</x:f>
      </x:c>
      <x:c r="H1511">
        <x:f>IFERROR(VLOOKUP(C1511,02_Referentiels!$A$20:$D$99,3,FALSE),"")</x:f>
      </x:c>
      <x:c r="I1511">
        <x:f>IFERROR(VLOOKUP(B1511,02_Referentiels!$A$5:$C$16,2,FALSE),"")</x:f>
      </x:c>
      <x:c r="J1511">
        <x:f>IF(A1511="","",IF(OR(D1511="",E1511="",F1511=""),1,IF(OR(D1511&lt;0,D1511&gt;3,E1511&lt;0,E1511&gt;3,F1511&lt;0,F1511&gt;3),1,0)))</x:f>
      </x:c>
      <x:c r="K1511">
        <x:f>IF(A1511="","",IF(G1511="",1,0))</x:f>
      </x:c>
      <x:c r="L1511">
        <x:f>IF(A1511="","",IF(COUNTIFS($A$5:$A$2004,A1511,$C$5:$C$2004,C1511)&gt;1,1,0))</x:f>
      </x:c>
    </x:row>
    <x:row r="1512">
      <x:c r="A1512" s="8" t="n"/>
      <x:c r="B1512" s="8" t="n"/>
      <x:c r="C1512" s="8" t="n"/>
      <x:c r="D1512" s="8" t="n"/>
      <x:c r="E1512" s="8" t="n"/>
      <x:c r="F1512" s="8" t="n"/>
      <x:c r="G1512" s="7">
        <x:f>IF(A1512="","",IF(01_Parametres!$B$11="Oui",IF((01_Parametres!$B$4*(D1512&gt;0)+01_Parametres!$B$5*(E1512&gt;0)+01_Parametres!$B$6*(F1512&gt;0))=0,"",(01_Parametres!$B$4*IF(D1512&gt;0,D1512,0)+01_Parametres!$B$5*IF(E1512&gt;0,E1512,0)+01_Parametres!$B$6*IF(F1512&gt;0,F1512,0))/(01_Parametres!$B$4*(D1512&gt;0)+01_Parametres!$B$5*(E1512&gt;0)+01_Parametres!$B$6*(F1512&gt;0))),IF(01_Parametres!$B$8=0,"",(01_Parametres!$B$4*D1512+01_Parametres!$B$5*E1512+01_Parametres!$B$6*F1512)/01_Parametres!$B$8)))</x:f>
      </x:c>
      <x:c r="H1512">
        <x:f>IFERROR(VLOOKUP(C1512,02_Referentiels!$A$20:$D$99,3,FALSE),"")</x:f>
      </x:c>
      <x:c r="I1512">
        <x:f>IFERROR(VLOOKUP(B1512,02_Referentiels!$A$5:$C$16,2,FALSE),"")</x:f>
      </x:c>
      <x:c r="J1512">
        <x:f>IF(A1512="","",IF(OR(D1512="",E1512="",F1512=""),1,IF(OR(D1512&lt;0,D1512&gt;3,E1512&lt;0,E1512&gt;3,F1512&lt;0,F1512&gt;3),1,0)))</x:f>
      </x:c>
      <x:c r="K1512">
        <x:f>IF(A1512="","",IF(G1512="",1,0))</x:f>
      </x:c>
      <x:c r="L1512">
        <x:f>IF(A1512="","",IF(COUNTIFS($A$5:$A$2004,A1512,$C$5:$C$2004,C1512)&gt;1,1,0))</x:f>
      </x:c>
    </x:row>
    <x:row r="1513">
      <x:c r="A1513" s="8" t="n"/>
      <x:c r="B1513" s="8" t="n"/>
      <x:c r="C1513" s="8" t="n"/>
      <x:c r="D1513" s="8" t="n"/>
      <x:c r="E1513" s="8" t="n"/>
      <x:c r="F1513" s="8" t="n"/>
      <x:c r="G1513" s="7">
        <x:f>IF(A1513="","",IF(01_Parametres!$B$11="Oui",IF((01_Parametres!$B$4*(D1513&gt;0)+01_Parametres!$B$5*(E1513&gt;0)+01_Parametres!$B$6*(F1513&gt;0))=0,"",(01_Parametres!$B$4*IF(D1513&gt;0,D1513,0)+01_Parametres!$B$5*IF(E1513&gt;0,E1513,0)+01_Parametres!$B$6*IF(F1513&gt;0,F1513,0))/(01_Parametres!$B$4*(D1513&gt;0)+01_Parametres!$B$5*(E1513&gt;0)+01_Parametres!$B$6*(F1513&gt;0))),IF(01_Parametres!$B$8=0,"",(01_Parametres!$B$4*D1513+01_Parametres!$B$5*E1513+01_Parametres!$B$6*F1513)/01_Parametres!$B$8)))</x:f>
      </x:c>
      <x:c r="H1513">
        <x:f>IFERROR(VLOOKUP(C1513,02_Referentiels!$A$20:$D$99,3,FALSE),"")</x:f>
      </x:c>
      <x:c r="I1513">
        <x:f>IFERROR(VLOOKUP(B1513,02_Referentiels!$A$5:$C$16,2,FALSE),"")</x:f>
      </x:c>
      <x:c r="J1513">
        <x:f>IF(A1513="","",IF(OR(D1513="",E1513="",F1513=""),1,IF(OR(D1513&lt;0,D1513&gt;3,E1513&lt;0,E1513&gt;3,F1513&lt;0,F1513&gt;3),1,0)))</x:f>
      </x:c>
      <x:c r="K1513">
        <x:f>IF(A1513="","",IF(G1513="",1,0))</x:f>
      </x:c>
      <x:c r="L1513">
        <x:f>IF(A1513="","",IF(COUNTIFS($A$5:$A$2004,A1513,$C$5:$C$2004,C1513)&gt;1,1,0))</x:f>
      </x:c>
    </x:row>
    <x:row r="1514">
      <x:c r="A1514" s="8" t="n"/>
      <x:c r="B1514" s="8" t="n"/>
      <x:c r="C1514" s="8" t="n"/>
      <x:c r="D1514" s="8" t="n"/>
      <x:c r="E1514" s="8" t="n"/>
      <x:c r="F1514" s="8" t="n"/>
      <x:c r="G1514" s="7">
        <x:f>IF(A1514="","",IF(01_Parametres!$B$11="Oui",IF((01_Parametres!$B$4*(D1514&gt;0)+01_Parametres!$B$5*(E1514&gt;0)+01_Parametres!$B$6*(F1514&gt;0))=0,"",(01_Parametres!$B$4*IF(D1514&gt;0,D1514,0)+01_Parametres!$B$5*IF(E1514&gt;0,E1514,0)+01_Parametres!$B$6*IF(F1514&gt;0,F1514,0))/(01_Parametres!$B$4*(D1514&gt;0)+01_Parametres!$B$5*(E1514&gt;0)+01_Parametres!$B$6*(F1514&gt;0))),IF(01_Parametres!$B$8=0,"",(01_Parametres!$B$4*D1514+01_Parametres!$B$5*E1514+01_Parametres!$B$6*F1514)/01_Parametres!$B$8)))</x:f>
      </x:c>
      <x:c r="H1514">
        <x:f>IFERROR(VLOOKUP(C1514,02_Referentiels!$A$20:$D$99,3,FALSE),"")</x:f>
      </x:c>
      <x:c r="I1514">
        <x:f>IFERROR(VLOOKUP(B1514,02_Referentiels!$A$5:$C$16,2,FALSE),"")</x:f>
      </x:c>
      <x:c r="J1514">
        <x:f>IF(A1514="","",IF(OR(D1514="",E1514="",F1514=""),1,IF(OR(D1514&lt;0,D1514&gt;3,E1514&lt;0,E1514&gt;3,F1514&lt;0,F1514&gt;3),1,0)))</x:f>
      </x:c>
      <x:c r="K1514">
        <x:f>IF(A1514="","",IF(G1514="",1,0))</x:f>
      </x:c>
      <x:c r="L1514">
        <x:f>IF(A1514="","",IF(COUNTIFS($A$5:$A$2004,A1514,$C$5:$C$2004,C1514)&gt;1,1,0))</x:f>
      </x:c>
    </x:row>
    <x:row r="1515">
      <x:c r="A1515" s="8" t="n"/>
      <x:c r="B1515" s="8" t="n"/>
      <x:c r="C1515" s="8" t="n"/>
      <x:c r="D1515" s="8" t="n"/>
      <x:c r="E1515" s="8" t="n"/>
      <x:c r="F1515" s="8" t="n"/>
      <x:c r="G1515" s="7">
        <x:f>IF(A1515="","",IF(01_Parametres!$B$11="Oui",IF((01_Parametres!$B$4*(D1515&gt;0)+01_Parametres!$B$5*(E1515&gt;0)+01_Parametres!$B$6*(F1515&gt;0))=0,"",(01_Parametres!$B$4*IF(D1515&gt;0,D1515,0)+01_Parametres!$B$5*IF(E1515&gt;0,E1515,0)+01_Parametres!$B$6*IF(F1515&gt;0,F1515,0))/(01_Parametres!$B$4*(D1515&gt;0)+01_Parametres!$B$5*(E1515&gt;0)+01_Parametres!$B$6*(F1515&gt;0))),IF(01_Parametres!$B$8=0,"",(01_Parametres!$B$4*D1515+01_Parametres!$B$5*E1515+01_Parametres!$B$6*F1515)/01_Parametres!$B$8)))</x:f>
      </x:c>
      <x:c r="H1515">
        <x:f>IFERROR(VLOOKUP(C1515,02_Referentiels!$A$20:$D$99,3,FALSE),"")</x:f>
      </x:c>
      <x:c r="I1515">
        <x:f>IFERROR(VLOOKUP(B1515,02_Referentiels!$A$5:$C$16,2,FALSE),"")</x:f>
      </x:c>
      <x:c r="J1515">
        <x:f>IF(A1515="","",IF(OR(D1515="",E1515="",F1515=""),1,IF(OR(D1515&lt;0,D1515&gt;3,E1515&lt;0,E1515&gt;3,F1515&lt;0,F1515&gt;3),1,0)))</x:f>
      </x:c>
      <x:c r="K1515">
        <x:f>IF(A1515="","",IF(G1515="",1,0))</x:f>
      </x:c>
      <x:c r="L1515">
        <x:f>IF(A1515="","",IF(COUNTIFS($A$5:$A$2004,A1515,$C$5:$C$2004,C1515)&gt;1,1,0))</x:f>
      </x:c>
    </x:row>
    <x:row r="1516">
      <x:c r="A1516" s="8" t="n"/>
      <x:c r="B1516" s="8" t="n"/>
      <x:c r="C1516" s="8" t="n"/>
      <x:c r="D1516" s="8" t="n"/>
      <x:c r="E1516" s="8" t="n"/>
      <x:c r="F1516" s="8" t="n"/>
      <x:c r="G1516" s="7">
        <x:f>IF(A1516="","",IF(01_Parametres!$B$11="Oui",IF((01_Parametres!$B$4*(D1516&gt;0)+01_Parametres!$B$5*(E1516&gt;0)+01_Parametres!$B$6*(F1516&gt;0))=0,"",(01_Parametres!$B$4*IF(D1516&gt;0,D1516,0)+01_Parametres!$B$5*IF(E1516&gt;0,E1516,0)+01_Parametres!$B$6*IF(F1516&gt;0,F1516,0))/(01_Parametres!$B$4*(D1516&gt;0)+01_Parametres!$B$5*(E1516&gt;0)+01_Parametres!$B$6*(F1516&gt;0))),IF(01_Parametres!$B$8=0,"",(01_Parametres!$B$4*D1516+01_Parametres!$B$5*E1516+01_Parametres!$B$6*F1516)/01_Parametres!$B$8)))</x:f>
      </x:c>
      <x:c r="H1516">
        <x:f>IFERROR(VLOOKUP(C1516,02_Referentiels!$A$20:$D$99,3,FALSE),"")</x:f>
      </x:c>
      <x:c r="I1516">
        <x:f>IFERROR(VLOOKUP(B1516,02_Referentiels!$A$5:$C$16,2,FALSE),"")</x:f>
      </x:c>
      <x:c r="J1516">
        <x:f>IF(A1516="","",IF(OR(D1516="",E1516="",F1516=""),1,IF(OR(D1516&lt;0,D1516&gt;3,E1516&lt;0,E1516&gt;3,F1516&lt;0,F1516&gt;3),1,0)))</x:f>
      </x:c>
      <x:c r="K1516">
        <x:f>IF(A1516="","",IF(G1516="",1,0))</x:f>
      </x:c>
      <x:c r="L1516">
        <x:f>IF(A1516="","",IF(COUNTIFS($A$5:$A$2004,A1516,$C$5:$C$2004,C1516)&gt;1,1,0))</x:f>
      </x:c>
    </x:row>
    <x:row r="1517">
      <x:c r="A1517" s="8" t="n"/>
      <x:c r="B1517" s="8" t="n"/>
      <x:c r="C1517" s="8" t="n"/>
      <x:c r="D1517" s="8" t="n"/>
      <x:c r="E1517" s="8" t="n"/>
      <x:c r="F1517" s="8" t="n"/>
      <x:c r="G1517" s="7">
        <x:f>IF(A1517="","",IF(01_Parametres!$B$11="Oui",IF((01_Parametres!$B$4*(D1517&gt;0)+01_Parametres!$B$5*(E1517&gt;0)+01_Parametres!$B$6*(F1517&gt;0))=0,"",(01_Parametres!$B$4*IF(D1517&gt;0,D1517,0)+01_Parametres!$B$5*IF(E1517&gt;0,E1517,0)+01_Parametres!$B$6*IF(F1517&gt;0,F1517,0))/(01_Parametres!$B$4*(D1517&gt;0)+01_Parametres!$B$5*(E1517&gt;0)+01_Parametres!$B$6*(F1517&gt;0))),IF(01_Parametres!$B$8=0,"",(01_Parametres!$B$4*D1517+01_Parametres!$B$5*E1517+01_Parametres!$B$6*F1517)/01_Parametres!$B$8)))</x:f>
      </x:c>
      <x:c r="H1517">
        <x:f>IFERROR(VLOOKUP(C1517,02_Referentiels!$A$20:$D$99,3,FALSE),"")</x:f>
      </x:c>
      <x:c r="I1517">
        <x:f>IFERROR(VLOOKUP(B1517,02_Referentiels!$A$5:$C$16,2,FALSE),"")</x:f>
      </x:c>
      <x:c r="J1517">
        <x:f>IF(A1517="","",IF(OR(D1517="",E1517="",F1517=""),1,IF(OR(D1517&lt;0,D1517&gt;3,E1517&lt;0,E1517&gt;3,F1517&lt;0,F1517&gt;3),1,0)))</x:f>
      </x:c>
      <x:c r="K1517">
        <x:f>IF(A1517="","",IF(G1517="",1,0))</x:f>
      </x:c>
      <x:c r="L1517">
        <x:f>IF(A1517="","",IF(COUNTIFS($A$5:$A$2004,A1517,$C$5:$C$2004,C1517)&gt;1,1,0))</x:f>
      </x:c>
    </x:row>
    <x:row r="1518">
      <x:c r="A1518" s="8" t="n"/>
      <x:c r="B1518" s="8" t="n"/>
      <x:c r="C1518" s="8" t="n"/>
      <x:c r="D1518" s="8" t="n"/>
      <x:c r="E1518" s="8" t="n"/>
      <x:c r="F1518" s="8" t="n"/>
      <x:c r="G1518" s="7">
        <x:f>IF(A1518="","",IF(01_Parametres!$B$11="Oui",IF((01_Parametres!$B$4*(D1518&gt;0)+01_Parametres!$B$5*(E1518&gt;0)+01_Parametres!$B$6*(F1518&gt;0))=0,"",(01_Parametres!$B$4*IF(D1518&gt;0,D1518,0)+01_Parametres!$B$5*IF(E1518&gt;0,E1518,0)+01_Parametres!$B$6*IF(F1518&gt;0,F1518,0))/(01_Parametres!$B$4*(D1518&gt;0)+01_Parametres!$B$5*(E1518&gt;0)+01_Parametres!$B$6*(F1518&gt;0))),IF(01_Parametres!$B$8=0,"",(01_Parametres!$B$4*D1518+01_Parametres!$B$5*E1518+01_Parametres!$B$6*F1518)/01_Parametres!$B$8)))</x:f>
      </x:c>
      <x:c r="H1518">
        <x:f>IFERROR(VLOOKUP(C1518,02_Referentiels!$A$20:$D$99,3,FALSE),"")</x:f>
      </x:c>
      <x:c r="I1518">
        <x:f>IFERROR(VLOOKUP(B1518,02_Referentiels!$A$5:$C$16,2,FALSE),"")</x:f>
      </x:c>
      <x:c r="J1518">
        <x:f>IF(A1518="","",IF(OR(D1518="",E1518="",F1518=""),1,IF(OR(D1518&lt;0,D1518&gt;3,E1518&lt;0,E1518&gt;3,F1518&lt;0,F1518&gt;3),1,0)))</x:f>
      </x:c>
      <x:c r="K1518">
        <x:f>IF(A1518="","",IF(G1518="",1,0))</x:f>
      </x:c>
      <x:c r="L1518">
        <x:f>IF(A1518="","",IF(COUNTIFS($A$5:$A$2004,A1518,$C$5:$C$2004,C1518)&gt;1,1,0))</x:f>
      </x:c>
    </x:row>
    <x:row r="1519">
      <x:c r="A1519" s="8" t="n"/>
      <x:c r="B1519" s="8" t="n"/>
      <x:c r="C1519" s="8" t="n"/>
      <x:c r="D1519" s="8" t="n"/>
      <x:c r="E1519" s="8" t="n"/>
      <x:c r="F1519" s="8" t="n"/>
      <x:c r="G1519" s="7">
        <x:f>IF(A1519="","",IF(01_Parametres!$B$11="Oui",IF((01_Parametres!$B$4*(D1519&gt;0)+01_Parametres!$B$5*(E1519&gt;0)+01_Parametres!$B$6*(F1519&gt;0))=0,"",(01_Parametres!$B$4*IF(D1519&gt;0,D1519,0)+01_Parametres!$B$5*IF(E1519&gt;0,E1519,0)+01_Parametres!$B$6*IF(F1519&gt;0,F1519,0))/(01_Parametres!$B$4*(D1519&gt;0)+01_Parametres!$B$5*(E1519&gt;0)+01_Parametres!$B$6*(F1519&gt;0))),IF(01_Parametres!$B$8=0,"",(01_Parametres!$B$4*D1519+01_Parametres!$B$5*E1519+01_Parametres!$B$6*F1519)/01_Parametres!$B$8)))</x:f>
      </x:c>
      <x:c r="H1519">
        <x:f>IFERROR(VLOOKUP(C1519,02_Referentiels!$A$20:$D$99,3,FALSE),"")</x:f>
      </x:c>
      <x:c r="I1519">
        <x:f>IFERROR(VLOOKUP(B1519,02_Referentiels!$A$5:$C$16,2,FALSE),"")</x:f>
      </x:c>
      <x:c r="J1519">
        <x:f>IF(A1519="","",IF(OR(D1519="",E1519="",F1519=""),1,IF(OR(D1519&lt;0,D1519&gt;3,E1519&lt;0,E1519&gt;3,F1519&lt;0,F1519&gt;3),1,0)))</x:f>
      </x:c>
      <x:c r="K1519">
        <x:f>IF(A1519="","",IF(G1519="",1,0))</x:f>
      </x:c>
      <x:c r="L1519">
        <x:f>IF(A1519="","",IF(COUNTIFS($A$5:$A$2004,A1519,$C$5:$C$2004,C1519)&gt;1,1,0))</x:f>
      </x:c>
    </x:row>
    <x:row r="1520">
      <x:c r="A1520" s="8" t="n"/>
      <x:c r="B1520" s="8" t="n"/>
      <x:c r="C1520" s="8" t="n"/>
      <x:c r="D1520" s="8" t="n"/>
      <x:c r="E1520" s="8" t="n"/>
      <x:c r="F1520" s="8" t="n"/>
      <x:c r="G1520" s="7">
        <x:f>IF(A1520="","",IF(01_Parametres!$B$11="Oui",IF((01_Parametres!$B$4*(D1520&gt;0)+01_Parametres!$B$5*(E1520&gt;0)+01_Parametres!$B$6*(F1520&gt;0))=0,"",(01_Parametres!$B$4*IF(D1520&gt;0,D1520,0)+01_Parametres!$B$5*IF(E1520&gt;0,E1520,0)+01_Parametres!$B$6*IF(F1520&gt;0,F1520,0))/(01_Parametres!$B$4*(D1520&gt;0)+01_Parametres!$B$5*(E1520&gt;0)+01_Parametres!$B$6*(F1520&gt;0))),IF(01_Parametres!$B$8=0,"",(01_Parametres!$B$4*D1520+01_Parametres!$B$5*E1520+01_Parametres!$B$6*F1520)/01_Parametres!$B$8)))</x:f>
      </x:c>
      <x:c r="H1520">
        <x:f>IFERROR(VLOOKUP(C1520,02_Referentiels!$A$20:$D$99,3,FALSE),"")</x:f>
      </x:c>
      <x:c r="I1520">
        <x:f>IFERROR(VLOOKUP(B1520,02_Referentiels!$A$5:$C$16,2,FALSE),"")</x:f>
      </x:c>
      <x:c r="J1520">
        <x:f>IF(A1520="","",IF(OR(D1520="",E1520="",F1520=""),1,IF(OR(D1520&lt;0,D1520&gt;3,E1520&lt;0,E1520&gt;3,F1520&lt;0,F1520&gt;3),1,0)))</x:f>
      </x:c>
      <x:c r="K1520">
        <x:f>IF(A1520="","",IF(G1520="",1,0))</x:f>
      </x:c>
      <x:c r="L1520">
        <x:f>IF(A1520="","",IF(COUNTIFS($A$5:$A$2004,A1520,$C$5:$C$2004,C1520)&gt;1,1,0))</x:f>
      </x:c>
    </x:row>
    <x:row r="1521">
      <x:c r="A1521" s="8" t="n"/>
      <x:c r="B1521" s="8" t="n"/>
      <x:c r="C1521" s="8" t="n"/>
      <x:c r="D1521" s="8" t="n"/>
      <x:c r="E1521" s="8" t="n"/>
      <x:c r="F1521" s="8" t="n"/>
      <x:c r="G1521" s="7">
        <x:f>IF(A1521="","",IF(01_Parametres!$B$11="Oui",IF((01_Parametres!$B$4*(D1521&gt;0)+01_Parametres!$B$5*(E1521&gt;0)+01_Parametres!$B$6*(F1521&gt;0))=0,"",(01_Parametres!$B$4*IF(D1521&gt;0,D1521,0)+01_Parametres!$B$5*IF(E1521&gt;0,E1521,0)+01_Parametres!$B$6*IF(F1521&gt;0,F1521,0))/(01_Parametres!$B$4*(D1521&gt;0)+01_Parametres!$B$5*(E1521&gt;0)+01_Parametres!$B$6*(F1521&gt;0))),IF(01_Parametres!$B$8=0,"",(01_Parametres!$B$4*D1521+01_Parametres!$B$5*E1521+01_Parametres!$B$6*F1521)/01_Parametres!$B$8)))</x:f>
      </x:c>
      <x:c r="H1521">
        <x:f>IFERROR(VLOOKUP(C1521,02_Referentiels!$A$20:$D$99,3,FALSE),"")</x:f>
      </x:c>
      <x:c r="I1521">
        <x:f>IFERROR(VLOOKUP(B1521,02_Referentiels!$A$5:$C$16,2,FALSE),"")</x:f>
      </x:c>
      <x:c r="J1521">
        <x:f>IF(A1521="","",IF(OR(D1521="",E1521="",F1521=""),1,IF(OR(D1521&lt;0,D1521&gt;3,E1521&lt;0,E1521&gt;3,F1521&lt;0,F1521&gt;3),1,0)))</x:f>
      </x:c>
      <x:c r="K1521">
        <x:f>IF(A1521="","",IF(G1521="",1,0))</x:f>
      </x:c>
      <x:c r="L1521">
        <x:f>IF(A1521="","",IF(COUNTIFS($A$5:$A$2004,A1521,$C$5:$C$2004,C1521)&gt;1,1,0))</x:f>
      </x:c>
    </x:row>
    <x:row r="1522">
      <x:c r="A1522" s="8" t="n"/>
      <x:c r="B1522" s="8" t="n"/>
      <x:c r="C1522" s="8" t="n"/>
      <x:c r="D1522" s="8" t="n"/>
      <x:c r="E1522" s="8" t="n"/>
      <x:c r="F1522" s="8" t="n"/>
      <x:c r="G1522" s="7">
        <x:f>IF(A1522="","",IF(01_Parametres!$B$11="Oui",IF((01_Parametres!$B$4*(D1522&gt;0)+01_Parametres!$B$5*(E1522&gt;0)+01_Parametres!$B$6*(F1522&gt;0))=0,"",(01_Parametres!$B$4*IF(D1522&gt;0,D1522,0)+01_Parametres!$B$5*IF(E1522&gt;0,E1522,0)+01_Parametres!$B$6*IF(F1522&gt;0,F1522,0))/(01_Parametres!$B$4*(D1522&gt;0)+01_Parametres!$B$5*(E1522&gt;0)+01_Parametres!$B$6*(F1522&gt;0))),IF(01_Parametres!$B$8=0,"",(01_Parametres!$B$4*D1522+01_Parametres!$B$5*E1522+01_Parametres!$B$6*F1522)/01_Parametres!$B$8)))</x:f>
      </x:c>
      <x:c r="H1522">
        <x:f>IFERROR(VLOOKUP(C1522,02_Referentiels!$A$20:$D$99,3,FALSE),"")</x:f>
      </x:c>
      <x:c r="I1522">
        <x:f>IFERROR(VLOOKUP(B1522,02_Referentiels!$A$5:$C$16,2,FALSE),"")</x:f>
      </x:c>
      <x:c r="J1522">
        <x:f>IF(A1522="","",IF(OR(D1522="",E1522="",F1522=""),1,IF(OR(D1522&lt;0,D1522&gt;3,E1522&lt;0,E1522&gt;3,F1522&lt;0,F1522&gt;3),1,0)))</x:f>
      </x:c>
      <x:c r="K1522">
        <x:f>IF(A1522="","",IF(G1522="",1,0))</x:f>
      </x:c>
      <x:c r="L1522">
        <x:f>IF(A1522="","",IF(COUNTIFS($A$5:$A$2004,A1522,$C$5:$C$2004,C1522)&gt;1,1,0))</x:f>
      </x:c>
    </x:row>
    <x:row r="1523">
      <x:c r="A1523" s="8" t="n"/>
      <x:c r="B1523" s="8" t="n"/>
      <x:c r="C1523" s="8" t="n"/>
      <x:c r="D1523" s="8" t="n"/>
      <x:c r="E1523" s="8" t="n"/>
      <x:c r="F1523" s="8" t="n"/>
      <x:c r="G1523" s="7">
        <x:f>IF(A1523="","",IF(01_Parametres!$B$11="Oui",IF((01_Parametres!$B$4*(D1523&gt;0)+01_Parametres!$B$5*(E1523&gt;0)+01_Parametres!$B$6*(F1523&gt;0))=0,"",(01_Parametres!$B$4*IF(D1523&gt;0,D1523,0)+01_Parametres!$B$5*IF(E1523&gt;0,E1523,0)+01_Parametres!$B$6*IF(F1523&gt;0,F1523,0))/(01_Parametres!$B$4*(D1523&gt;0)+01_Parametres!$B$5*(E1523&gt;0)+01_Parametres!$B$6*(F1523&gt;0))),IF(01_Parametres!$B$8=0,"",(01_Parametres!$B$4*D1523+01_Parametres!$B$5*E1523+01_Parametres!$B$6*F1523)/01_Parametres!$B$8)))</x:f>
      </x:c>
      <x:c r="H1523">
        <x:f>IFERROR(VLOOKUP(C1523,02_Referentiels!$A$20:$D$99,3,FALSE),"")</x:f>
      </x:c>
      <x:c r="I1523">
        <x:f>IFERROR(VLOOKUP(B1523,02_Referentiels!$A$5:$C$16,2,FALSE),"")</x:f>
      </x:c>
      <x:c r="J1523">
        <x:f>IF(A1523="","",IF(OR(D1523="",E1523="",F1523=""),1,IF(OR(D1523&lt;0,D1523&gt;3,E1523&lt;0,E1523&gt;3,F1523&lt;0,F1523&gt;3),1,0)))</x:f>
      </x:c>
      <x:c r="K1523">
        <x:f>IF(A1523="","",IF(G1523="",1,0))</x:f>
      </x:c>
      <x:c r="L1523">
        <x:f>IF(A1523="","",IF(COUNTIFS($A$5:$A$2004,A1523,$C$5:$C$2004,C1523)&gt;1,1,0))</x:f>
      </x:c>
    </x:row>
    <x:row r="1524">
      <x:c r="A1524" s="8" t="n"/>
      <x:c r="B1524" s="8" t="n"/>
      <x:c r="C1524" s="8" t="n"/>
      <x:c r="D1524" s="8" t="n"/>
      <x:c r="E1524" s="8" t="n"/>
      <x:c r="F1524" s="8" t="n"/>
      <x:c r="G1524" s="7">
        <x:f>IF(A1524="","",IF(01_Parametres!$B$11="Oui",IF((01_Parametres!$B$4*(D1524&gt;0)+01_Parametres!$B$5*(E1524&gt;0)+01_Parametres!$B$6*(F1524&gt;0))=0,"",(01_Parametres!$B$4*IF(D1524&gt;0,D1524,0)+01_Parametres!$B$5*IF(E1524&gt;0,E1524,0)+01_Parametres!$B$6*IF(F1524&gt;0,F1524,0))/(01_Parametres!$B$4*(D1524&gt;0)+01_Parametres!$B$5*(E1524&gt;0)+01_Parametres!$B$6*(F1524&gt;0))),IF(01_Parametres!$B$8=0,"",(01_Parametres!$B$4*D1524+01_Parametres!$B$5*E1524+01_Parametres!$B$6*F1524)/01_Parametres!$B$8)))</x:f>
      </x:c>
      <x:c r="H1524">
        <x:f>IFERROR(VLOOKUP(C1524,02_Referentiels!$A$20:$D$99,3,FALSE),"")</x:f>
      </x:c>
      <x:c r="I1524">
        <x:f>IFERROR(VLOOKUP(B1524,02_Referentiels!$A$5:$C$16,2,FALSE),"")</x:f>
      </x:c>
      <x:c r="J1524">
        <x:f>IF(A1524="","",IF(OR(D1524="",E1524="",F1524=""),1,IF(OR(D1524&lt;0,D1524&gt;3,E1524&lt;0,E1524&gt;3,F1524&lt;0,F1524&gt;3),1,0)))</x:f>
      </x:c>
      <x:c r="K1524">
        <x:f>IF(A1524="","",IF(G1524="",1,0))</x:f>
      </x:c>
      <x:c r="L1524">
        <x:f>IF(A1524="","",IF(COUNTIFS($A$5:$A$2004,A1524,$C$5:$C$2004,C1524)&gt;1,1,0))</x:f>
      </x:c>
    </x:row>
    <x:row r="1525">
      <x:c r="A1525" s="8" t="n"/>
      <x:c r="B1525" s="8" t="n"/>
      <x:c r="C1525" s="8" t="n"/>
      <x:c r="D1525" s="8" t="n"/>
      <x:c r="E1525" s="8" t="n"/>
      <x:c r="F1525" s="8" t="n"/>
      <x:c r="G1525" s="7">
        <x:f>IF(A1525="","",IF(01_Parametres!$B$11="Oui",IF((01_Parametres!$B$4*(D1525&gt;0)+01_Parametres!$B$5*(E1525&gt;0)+01_Parametres!$B$6*(F1525&gt;0))=0,"",(01_Parametres!$B$4*IF(D1525&gt;0,D1525,0)+01_Parametres!$B$5*IF(E1525&gt;0,E1525,0)+01_Parametres!$B$6*IF(F1525&gt;0,F1525,0))/(01_Parametres!$B$4*(D1525&gt;0)+01_Parametres!$B$5*(E1525&gt;0)+01_Parametres!$B$6*(F1525&gt;0))),IF(01_Parametres!$B$8=0,"",(01_Parametres!$B$4*D1525+01_Parametres!$B$5*E1525+01_Parametres!$B$6*F1525)/01_Parametres!$B$8)))</x:f>
      </x:c>
      <x:c r="H1525">
        <x:f>IFERROR(VLOOKUP(C1525,02_Referentiels!$A$20:$D$99,3,FALSE),"")</x:f>
      </x:c>
      <x:c r="I1525">
        <x:f>IFERROR(VLOOKUP(B1525,02_Referentiels!$A$5:$C$16,2,FALSE),"")</x:f>
      </x:c>
      <x:c r="J1525">
        <x:f>IF(A1525="","",IF(OR(D1525="",E1525="",F1525=""),1,IF(OR(D1525&lt;0,D1525&gt;3,E1525&lt;0,E1525&gt;3,F1525&lt;0,F1525&gt;3),1,0)))</x:f>
      </x:c>
      <x:c r="K1525">
        <x:f>IF(A1525="","",IF(G1525="",1,0))</x:f>
      </x:c>
      <x:c r="L1525">
        <x:f>IF(A1525="","",IF(COUNTIFS($A$5:$A$2004,A1525,$C$5:$C$2004,C1525)&gt;1,1,0))</x:f>
      </x:c>
    </x:row>
    <x:row r="1526">
      <x:c r="A1526" s="8" t="n"/>
      <x:c r="B1526" s="8" t="n"/>
      <x:c r="C1526" s="8" t="n"/>
      <x:c r="D1526" s="8" t="n"/>
      <x:c r="E1526" s="8" t="n"/>
      <x:c r="F1526" s="8" t="n"/>
      <x:c r="G1526" s="7">
        <x:f>IF(A1526="","",IF(01_Parametres!$B$11="Oui",IF((01_Parametres!$B$4*(D1526&gt;0)+01_Parametres!$B$5*(E1526&gt;0)+01_Parametres!$B$6*(F1526&gt;0))=0,"",(01_Parametres!$B$4*IF(D1526&gt;0,D1526,0)+01_Parametres!$B$5*IF(E1526&gt;0,E1526,0)+01_Parametres!$B$6*IF(F1526&gt;0,F1526,0))/(01_Parametres!$B$4*(D1526&gt;0)+01_Parametres!$B$5*(E1526&gt;0)+01_Parametres!$B$6*(F1526&gt;0))),IF(01_Parametres!$B$8=0,"",(01_Parametres!$B$4*D1526+01_Parametres!$B$5*E1526+01_Parametres!$B$6*F1526)/01_Parametres!$B$8)))</x:f>
      </x:c>
      <x:c r="H1526">
        <x:f>IFERROR(VLOOKUP(C1526,02_Referentiels!$A$20:$D$99,3,FALSE),"")</x:f>
      </x:c>
      <x:c r="I1526">
        <x:f>IFERROR(VLOOKUP(B1526,02_Referentiels!$A$5:$C$16,2,FALSE),"")</x:f>
      </x:c>
      <x:c r="J1526">
        <x:f>IF(A1526="","",IF(OR(D1526="",E1526="",F1526=""),1,IF(OR(D1526&lt;0,D1526&gt;3,E1526&lt;0,E1526&gt;3,F1526&lt;0,F1526&gt;3),1,0)))</x:f>
      </x:c>
      <x:c r="K1526">
        <x:f>IF(A1526="","",IF(G1526="",1,0))</x:f>
      </x:c>
      <x:c r="L1526">
        <x:f>IF(A1526="","",IF(COUNTIFS($A$5:$A$2004,A1526,$C$5:$C$2004,C1526)&gt;1,1,0))</x:f>
      </x:c>
    </x:row>
    <x:row r="1527">
      <x:c r="A1527" s="8" t="n"/>
      <x:c r="B1527" s="8" t="n"/>
      <x:c r="C1527" s="8" t="n"/>
      <x:c r="D1527" s="8" t="n"/>
      <x:c r="E1527" s="8" t="n"/>
      <x:c r="F1527" s="8" t="n"/>
      <x:c r="G1527" s="7">
        <x:f>IF(A1527="","",IF(01_Parametres!$B$11="Oui",IF((01_Parametres!$B$4*(D1527&gt;0)+01_Parametres!$B$5*(E1527&gt;0)+01_Parametres!$B$6*(F1527&gt;0))=0,"",(01_Parametres!$B$4*IF(D1527&gt;0,D1527,0)+01_Parametres!$B$5*IF(E1527&gt;0,E1527,0)+01_Parametres!$B$6*IF(F1527&gt;0,F1527,0))/(01_Parametres!$B$4*(D1527&gt;0)+01_Parametres!$B$5*(E1527&gt;0)+01_Parametres!$B$6*(F1527&gt;0))),IF(01_Parametres!$B$8=0,"",(01_Parametres!$B$4*D1527+01_Parametres!$B$5*E1527+01_Parametres!$B$6*F1527)/01_Parametres!$B$8)))</x:f>
      </x:c>
      <x:c r="H1527">
        <x:f>IFERROR(VLOOKUP(C1527,02_Referentiels!$A$20:$D$99,3,FALSE),"")</x:f>
      </x:c>
      <x:c r="I1527">
        <x:f>IFERROR(VLOOKUP(B1527,02_Referentiels!$A$5:$C$16,2,FALSE),"")</x:f>
      </x:c>
      <x:c r="J1527">
        <x:f>IF(A1527="","",IF(OR(D1527="",E1527="",F1527=""),1,IF(OR(D1527&lt;0,D1527&gt;3,E1527&lt;0,E1527&gt;3,F1527&lt;0,F1527&gt;3),1,0)))</x:f>
      </x:c>
      <x:c r="K1527">
        <x:f>IF(A1527="","",IF(G1527="",1,0))</x:f>
      </x:c>
      <x:c r="L1527">
        <x:f>IF(A1527="","",IF(COUNTIFS($A$5:$A$2004,A1527,$C$5:$C$2004,C1527)&gt;1,1,0))</x:f>
      </x:c>
    </x:row>
    <x:row r="1528">
      <x:c r="A1528" s="8" t="n"/>
      <x:c r="B1528" s="8" t="n"/>
      <x:c r="C1528" s="8" t="n"/>
      <x:c r="D1528" s="8" t="n"/>
      <x:c r="E1528" s="8" t="n"/>
      <x:c r="F1528" s="8" t="n"/>
      <x:c r="G1528" s="7">
        <x:f>IF(A1528="","",IF(01_Parametres!$B$11="Oui",IF((01_Parametres!$B$4*(D1528&gt;0)+01_Parametres!$B$5*(E1528&gt;0)+01_Parametres!$B$6*(F1528&gt;0))=0,"",(01_Parametres!$B$4*IF(D1528&gt;0,D1528,0)+01_Parametres!$B$5*IF(E1528&gt;0,E1528,0)+01_Parametres!$B$6*IF(F1528&gt;0,F1528,0))/(01_Parametres!$B$4*(D1528&gt;0)+01_Parametres!$B$5*(E1528&gt;0)+01_Parametres!$B$6*(F1528&gt;0))),IF(01_Parametres!$B$8=0,"",(01_Parametres!$B$4*D1528+01_Parametres!$B$5*E1528+01_Parametres!$B$6*F1528)/01_Parametres!$B$8)))</x:f>
      </x:c>
      <x:c r="H1528">
        <x:f>IFERROR(VLOOKUP(C1528,02_Referentiels!$A$20:$D$99,3,FALSE),"")</x:f>
      </x:c>
      <x:c r="I1528">
        <x:f>IFERROR(VLOOKUP(B1528,02_Referentiels!$A$5:$C$16,2,FALSE),"")</x:f>
      </x:c>
      <x:c r="J1528">
        <x:f>IF(A1528="","",IF(OR(D1528="",E1528="",F1528=""),1,IF(OR(D1528&lt;0,D1528&gt;3,E1528&lt;0,E1528&gt;3,F1528&lt;0,F1528&gt;3),1,0)))</x:f>
      </x:c>
      <x:c r="K1528">
        <x:f>IF(A1528="","",IF(G1528="",1,0))</x:f>
      </x:c>
      <x:c r="L1528">
        <x:f>IF(A1528="","",IF(COUNTIFS($A$5:$A$2004,A1528,$C$5:$C$2004,C1528)&gt;1,1,0))</x:f>
      </x:c>
    </x:row>
    <x:row r="1529">
      <x:c r="A1529" s="8" t="n"/>
      <x:c r="B1529" s="8" t="n"/>
      <x:c r="C1529" s="8" t="n"/>
      <x:c r="D1529" s="8" t="n"/>
      <x:c r="E1529" s="8" t="n"/>
      <x:c r="F1529" s="8" t="n"/>
      <x:c r="G1529" s="7">
        <x:f>IF(A1529="","",IF(01_Parametres!$B$11="Oui",IF((01_Parametres!$B$4*(D1529&gt;0)+01_Parametres!$B$5*(E1529&gt;0)+01_Parametres!$B$6*(F1529&gt;0))=0,"",(01_Parametres!$B$4*IF(D1529&gt;0,D1529,0)+01_Parametres!$B$5*IF(E1529&gt;0,E1529,0)+01_Parametres!$B$6*IF(F1529&gt;0,F1529,0))/(01_Parametres!$B$4*(D1529&gt;0)+01_Parametres!$B$5*(E1529&gt;0)+01_Parametres!$B$6*(F1529&gt;0))),IF(01_Parametres!$B$8=0,"",(01_Parametres!$B$4*D1529+01_Parametres!$B$5*E1529+01_Parametres!$B$6*F1529)/01_Parametres!$B$8)))</x:f>
      </x:c>
      <x:c r="H1529">
        <x:f>IFERROR(VLOOKUP(C1529,02_Referentiels!$A$20:$D$99,3,FALSE),"")</x:f>
      </x:c>
      <x:c r="I1529">
        <x:f>IFERROR(VLOOKUP(B1529,02_Referentiels!$A$5:$C$16,2,FALSE),"")</x:f>
      </x:c>
      <x:c r="J1529">
        <x:f>IF(A1529="","",IF(OR(D1529="",E1529="",F1529=""),1,IF(OR(D1529&lt;0,D1529&gt;3,E1529&lt;0,E1529&gt;3,F1529&lt;0,F1529&gt;3),1,0)))</x:f>
      </x:c>
      <x:c r="K1529">
        <x:f>IF(A1529="","",IF(G1529="",1,0))</x:f>
      </x:c>
      <x:c r="L1529">
        <x:f>IF(A1529="","",IF(COUNTIFS($A$5:$A$2004,A1529,$C$5:$C$2004,C1529)&gt;1,1,0))</x:f>
      </x:c>
    </x:row>
    <x:row r="1530">
      <x:c r="A1530" s="8" t="n"/>
      <x:c r="B1530" s="8" t="n"/>
      <x:c r="C1530" s="8" t="n"/>
      <x:c r="D1530" s="8" t="n"/>
      <x:c r="E1530" s="8" t="n"/>
      <x:c r="F1530" s="8" t="n"/>
      <x:c r="G1530" s="7">
        <x:f>IF(A1530="","",IF(01_Parametres!$B$11="Oui",IF((01_Parametres!$B$4*(D1530&gt;0)+01_Parametres!$B$5*(E1530&gt;0)+01_Parametres!$B$6*(F1530&gt;0))=0,"",(01_Parametres!$B$4*IF(D1530&gt;0,D1530,0)+01_Parametres!$B$5*IF(E1530&gt;0,E1530,0)+01_Parametres!$B$6*IF(F1530&gt;0,F1530,0))/(01_Parametres!$B$4*(D1530&gt;0)+01_Parametres!$B$5*(E1530&gt;0)+01_Parametres!$B$6*(F1530&gt;0))),IF(01_Parametres!$B$8=0,"",(01_Parametres!$B$4*D1530+01_Parametres!$B$5*E1530+01_Parametres!$B$6*F1530)/01_Parametres!$B$8)))</x:f>
      </x:c>
      <x:c r="H1530">
        <x:f>IFERROR(VLOOKUP(C1530,02_Referentiels!$A$20:$D$99,3,FALSE),"")</x:f>
      </x:c>
      <x:c r="I1530">
        <x:f>IFERROR(VLOOKUP(B1530,02_Referentiels!$A$5:$C$16,2,FALSE),"")</x:f>
      </x:c>
      <x:c r="J1530">
        <x:f>IF(A1530="","",IF(OR(D1530="",E1530="",F1530=""),1,IF(OR(D1530&lt;0,D1530&gt;3,E1530&lt;0,E1530&gt;3,F1530&lt;0,F1530&gt;3),1,0)))</x:f>
      </x:c>
      <x:c r="K1530">
        <x:f>IF(A1530="","",IF(G1530="",1,0))</x:f>
      </x:c>
      <x:c r="L1530">
        <x:f>IF(A1530="","",IF(COUNTIFS($A$5:$A$2004,A1530,$C$5:$C$2004,C1530)&gt;1,1,0))</x:f>
      </x:c>
    </x:row>
    <x:row r="1531">
      <x:c r="A1531" s="8" t="n"/>
      <x:c r="B1531" s="8" t="n"/>
      <x:c r="C1531" s="8" t="n"/>
      <x:c r="D1531" s="8" t="n"/>
      <x:c r="E1531" s="8" t="n"/>
      <x:c r="F1531" s="8" t="n"/>
      <x:c r="G1531" s="7">
        <x:f>IF(A1531="","",IF(01_Parametres!$B$11="Oui",IF((01_Parametres!$B$4*(D1531&gt;0)+01_Parametres!$B$5*(E1531&gt;0)+01_Parametres!$B$6*(F1531&gt;0))=0,"",(01_Parametres!$B$4*IF(D1531&gt;0,D1531,0)+01_Parametres!$B$5*IF(E1531&gt;0,E1531,0)+01_Parametres!$B$6*IF(F1531&gt;0,F1531,0))/(01_Parametres!$B$4*(D1531&gt;0)+01_Parametres!$B$5*(E1531&gt;0)+01_Parametres!$B$6*(F1531&gt;0))),IF(01_Parametres!$B$8=0,"",(01_Parametres!$B$4*D1531+01_Parametres!$B$5*E1531+01_Parametres!$B$6*F1531)/01_Parametres!$B$8)))</x:f>
      </x:c>
      <x:c r="H1531">
        <x:f>IFERROR(VLOOKUP(C1531,02_Referentiels!$A$20:$D$99,3,FALSE),"")</x:f>
      </x:c>
      <x:c r="I1531">
        <x:f>IFERROR(VLOOKUP(B1531,02_Referentiels!$A$5:$C$16,2,FALSE),"")</x:f>
      </x:c>
      <x:c r="J1531">
        <x:f>IF(A1531="","",IF(OR(D1531="",E1531="",F1531=""),1,IF(OR(D1531&lt;0,D1531&gt;3,E1531&lt;0,E1531&gt;3,F1531&lt;0,F1531&gt;3),1,0)))</x:f>
      </x:c>
      <x:c r="K1531">
        <x:f>IF(A1531="","",IF(G1531="",1,0))</x:f>
      </x:c>
      <x:c r="L1531">
        <x:f>IF(A1531="","",IF(COUNTIFS($A$5:$A$2004,A1531,$C$5:$C$2004,C1531)&gt;1,1,0))</x:f>
      </x:c>
    </x:row>
    <x:row r="1532">
      <x:c r="A1532" s="8" t="n"/>
      <x:c r="B1532" s="8" t="n"/>
      <x:c r="C1532" s="8" t="n"/>
      <x:c r="D1532" s="8" t="n"/>
      <x:c r="E1532" s="8" t="n"/>
      <x:c r="F1532" s="8" t="n"/>
      <x:c r="G1532" s="7">
        <x:f>IF(A1532="","",IF(01_Parametres!$B$11="Oui",IF((01_Parametres!$B$4*(D1532&gt;0)+01_Parametres!$B$5*(E1532&gt;0)+01_Parametres!$B$6*(F1532&gt;0))=0,"",(01_Parametres!$B$4*IF(D1532&gt;0,D1532,0)+01_Parametres!$B$5*IF(E1532&gt;0,E1532,0)+01_Parametres!$B$6*IF(F1532&gt;0,F1532,0))/(01_Parametres!$B$4*(D1532&gt;0)+01_Parametres!$B$5*(E1532&gt;0)+01_Parametres!$B$6*(F1532&gt;0))),IF(01_Parametres!$B$8=0,"",(01_Parametres!$B$4*D1532+01_Parametres!$B$5*E1532+01_Parametres!$B$6*F1532)/01_Parametres!$B$8)))</x:f>
      </x:c>
      <x:c r="H1532">
        <x:f>IFERROR(VLOOKUP(C1532,02_Referentiels!$A$20:$D$99,3,FALSE),"")</x:f>
      </x:c>
      <x:c r="I1532">
        <x:f>IFERROR(VLOOKUP(B1532,02_Referentiels!$A$5:$C$16,2,FALSE),"")</x:f>
      </x:c>
      <x:c r="J1532">
        <x:f>IF(A1532="","",IF(OR(D1532="",E1532="",F1532=""),1,IF(OR(D1532&lt;0,D1532&gt;3,E1532&lt;0,E1532&gt;3,F1532&lt;0,F1532&gt;3),1,0)))</x:f>
      </x:c>
      <x:c r="K1532">
        <x:f>IF(A1532="","",IF(G1532="",1,0))</x:f>
      </x:c>
      <x:c r="L1532">
        <x:f>IF(A1532="","",IF(COUNTIFS($A$5:$A$2004,A1532,$C$5:$C$2004,C1532)&gt;1,1,0))</x:f>
      </x:c>
    </x:row>
    <x:row r="1533">
      <x:c r="A1533" s="8" t="n"/>
      <x:c r="B1533" s="8" t="n"/>
      <x:c r="C1533" s="8" t="n"/>
      <x:c r="D1533" s="8" t="n"/>
      <x:c r="E1533" s="8" t="n"/>
      <x:c r="F1533" s="8" t="n"/>
      <x:c r="G1533" s="7">
        <x:f>IF(A1533="","",IF(01_Parametres!$B$11="Oui",IF((01_Parametres!$B$4*(D1533&gt;0)+01_Parametres!$B$5*(E1533&gt;0)+01_Parametres!$B$6*(F1533&gt;0))=0,"",(01_Parametres!$B$4*IF(D1533&gt;0,D1533,0)+01_Parametres!$B$5*IF(E1533&gt;0,E1533,0)+01_Parametres!$B$6*IF(F1533&gt;0,F1533,0))/(01_Parametres!$B$4*(D1533&gt;0)+01_Parametres!$B$5*(E1533&gt;0)+01_Parametres!$B$6*(F1533&gt;0))),IF(01_Parametres!$B$8=0,"",(01_Parametres!$B$4*D1533+01_Parametres!$B$5*E1533+01_Parametres!$B$6*F1533)/01_Parametres!$B$8)))</x:f>
      </x:c>
      <x:c r="H1533">
        <x:f>IFERROR(VLOOKUP(C1533,02_Referentiels!$A$20:$D$99,3,FALSE),"")</x:f>
      </x:c>
      <x:c r="I1533">
        <x:f>IFERROR(VLOOKUP(B1533,02_Referentiels!$A$5:$C$16,2,FALSE),"")</x:f>
      </x:c>
      <x:c r="J1533">
        <x:f>IF(A1533="","",IF(OR(D1533="",E1533="",F1533=""),1,IF(OR(D1533&lt;0,D1533&gt;3,E1533&lt;0,E1533&gt;3,F1533&lt;0,F1533&gt;3),1,0)))</x:f>
      </x:c>
      <x:c r="K1533">
        <x:f>IF(A1533="","",IF(G1533="",1,0))</x:f>
      </x:c>
      <x:c r="L1533">
        <x:f>IF(A1533="","",IF(COUNTIFS($A$5:$A$2004,A1533,$C$5:$C$2004,C1533)&gt;1,1,0))</x:f>
      </x:c>
    </x:row>
    <x:row r="1534">
      <x:c r="A1534" s="8" t="n"/>
      <x:c r="B1534" s="8" t="n"/>
      <x:c r="C1534" s="8" t="n"/>
      <x:c r="D1534" s="8" t="n"/>
      <x:c r="E1534" s="8" t="n"/>
      <x:c r="F1534" s="8" t="n"/>
      <x:c r="G1534" s="7">
        <x:f>IF(A1534="","",IF(01_Parametres!$B$11="Oui",IF((01_Parametres!$B$4*(D1534&gt;0)+01_Parametres!$B$5*(E1534&gt;0)+01_Parametres!$B$6*(F1534&gt;0))=0,"",(01_Parametres!$B$4*IF(D1534&gt;0,D1534,0)+01_Parametres!$B$5*IF(E1534&gt;0,E1534,0)+01_Parametres!$B$6*IF(F1534&gt;0,F1534,0))/(01_Parametres!$B$4*(D1534&gt;0)+01_Parametres!$B$5*(E1534&gt;0)+01_Parametres!$B$6*(F1534&gt;0))),IF(01_Parametres!$B$8=0,"",(01_Parametres!$B$4*D1534+01_Parametres!$B$5*E1534+01_Parametres!$B$6*F1534)/01_Parametres!$B$8)))</x:f>
      </x:c>
      <x:c r="H1534">
        <x:f>IFERROR(VLOOKUP(C1534,02_Referentiels!$A$20:$D$99,3,FALSE),"")</x:f>
      </x:c>
      <x:c r="I1534">
        <x:f>IFERROR(VLOOKUP(B1534,02_Referentiels!$A$5:$C$16,2,FALSE),"")</x:f>
      </x:c>
      <x:c r="J1534">
        <x:f>IF(A1534="","",IF(OR(D1534="",E1534="",F1534=""),1,IF(OR(D1534&lt;0,D1534&gt;3,E1534&lt;0,E1534&gt;3,F1534&lt;0,F1534&gt;3),1,0)))</x:f>
      </x:c>
      <x:c r="K1534">
        <x:f>IF(A1534="","",IF(G1534="",1,0))</x:f>
      </x:c>
      <x:c r="L1534">
        <x:f>IF(A1534="","",IF(COUNTIFS($A$5:$A$2004,A1534,$C$5:$C$2004,C1534)&gt;1,1,0))</x:f>
      </x:c>
    </x:row>
    <x:row r="1535">
      <x:c r="A1535" s="8" t="n"/>
      <x:c r="B1535" s="8" t="n"/>
      <x:c r="C1535" s="8" t="n"/>
      <x:c r="D1535" s="8" t="n"/>
      <x:c r="E1535" s="8" t="n"/>
      <x:c r="F1535" s="8" t="n"/>
      <x:c r="G1535" s="7">
        <x:f>IF(A1535="","",IF(01_Parametres!$B$11="Oui",IF((01_Parametres!$B$4*(D1535&gt;0)+01_Parametres!$B$5*(E1535&gt;0)+01_Parametres!$B$6*(F1535&gt;0))=0,"",(01_Parametres!$B$4*IF(D1535&gt;0,D1535,0)+01_Parametres!$B$5*IF(E1535&gt;0,E1535,0)+01_Parametres!$B$6*IF(F1535&gt;0,F1535,0))/(01_Parametres!$B$4*(D1535&gt;0)+01_Parametres!$B$5*(E1535&gt;0)+01_Parametres!$B$6*(F1535&gt;0))),IF(01_Parametres!$B$8=0,"",(01_Parametres!$B$4*D1535+01_Parametres!$B$5*E1535+01_Parametres!$B$6*F1535)/01_Parametres!$B$8)))</x:f>
      </x:c>
      <x:c r="H1535">
        <x:f>IFERROR(VLOOKUP(C1535,02_Referentiels!$A$20:$D$99,3,FALSE),"")</x:f>
      </x:c>
      <x:c r="I1535">
        <x:f>IFERROR(VLOOKUP(B1535,02_Referentiels!$A$5:$C$16,2,FALSE),"")</x:f>
      </x:c>
      <x:c r="J1535">
        <x:f>IF(A1535="","",IF(OR(D1535="",E1535="",F1535=""),1,IF(OR(D1535&lt;0,D1535&gt;3,E1535&lt;0,E1535&gt;3,F1535&lt;0,F1535&gt;3),1,0)))</x:f>
      </x:c>
      <x:c r="K1535">
        <x:f>IF(A1535="","",IF(G1535="",1,0))</x:f>
      </x:c>
      <x:c r="L1535">
        <x:f>IF(A1535="","",IF(COUNTIFS($A$5:$A$2004,A1535,$C$5:$C$2004,C1535)&gt;1,1,0))</x:f>
      </x:c>
    </x:row>
    <x:row r="1536">
      <x:c r="A1536" s="8" t="n"/>
      <x:c r="B1536" s="8" t="n"/>
      <x:c r="C1536" s="8" t="n"/>
      <x:c r="D1536" s="8" t="n"/>
      <x:c r="E1536" s="8" t="n"/>
      <x:c r="F1536" s="8" t="n"/>
      <x:c r="G1536" s="7">
        <x:f>IF(A1536="","",IF(01_Parametres!$B$11="Oui",IF((01_Parametres!$B$4*(D1536&gt;0)+01_Parametres!$B$5*(E1536&gt;0)+01_Parametres!$B$6*(F1536&gt;0))=0,"",(01_Parametres!$B$4*IF(D1536&gt;0,D1536,0)+01_Parametres!$B$5*IF(E1536&gt;0,E1536,0)+01_Parametres!$B$6*IF(F1536&gt;0,F1536,0))/(01_Parametres!$B$4*(D1536&gt;0)+01_Parametres!$B$5*(E1536&gt;0)+01_Parametres!$B$6*(F1536&gt;0))),IF(01_Parametres!$B$8=0,"",(01_Parametres!$B$4*D1536+01_Parametres!$B$5*E1536+01_Parametres!$B$6*F1536)/01_Parametres!$B$8)))</x:f>
      </x:c>
      <x:c r="H1536">
        <x:f>IFERROR(VLOOKUP(C1536,02_Referentiels!$A$20:$D$99,3,FALSE),"")</x:f>
      </x:c>
      <x:c r="I1536">
        <x:f>IFERROR(VLOOKUP(B1536,02_Referentiels!$A$5:$C$16,2,FALSE),"")</x:f>
      </x:c>
      <x:c r="J1536">
        <x:f>IF(A1536="","",IF(OR(D1536="",E1536="",F1536=""),1,IF(OR(D1536&lt;0,D1536&gt;3,E1536&lt;0,E1536&gt;3,F1536&lt;0,F1536&gt;3),1,0)))</x:f>
      </x:c>
      <x:c r="K1536">
        <x:f>IF(A1536="","",IF(G1536="",1,0))</x:f>
      </x:c>
      <x:c r="L1536">
        <x:f>IF(A1536="","",IF(COUNTIFS($A$5:$A$2004,A1536,$C$5:$C$2004,C1536)&gt;1,1,0))</x:f>
      </x:c>
    </x:row>
    <x:row r="1537">
      <x:c r="A1537" s="8" t="n"/>
      <x:c r="B1537" s="8" t="n"/>
      <x:c r="C1537" s="8" t="n"/>
      <x:c r="D1537" s="8" t="n"/>
      <x:c r="E1537" s="8" t="n"/>
      <x:c r="F1537" s="8" t="n"/>
      <x:c r="G1537" s="7">
        <x:f>IF(A1537="","",IF(01_Parametres!$B$11="Oui",IF((01_Parametres!$B$4*(D1537&gt;0)+01_Parametres!$B$5*(E1537&gt;0)+01_Parametres!$B$6*(F1537&gt;0))=0,"",(01_Parametres!$B$4*IF(D1537&gt;0,D1537,0)+01_Parametres!$B$5*IF(E1537&gt;0,E1537,0)+01_Parametres!$B$6*IF(F1537&gt;0,F1537,0))/(01_Parametres!$B$4*(D1537&gt;0)+01_Parametres!$B$5*(E1537&gt;0)+01_Parametres!$B$6*(F1537&gt;0))),IF(01_Parametres!$B$8=0,"",(01_Parametres!$B$4*D1537+01_Parametres!$B$5*E1537+01_Parametres!$B$6*F1537)/01_Parametres!$B$8)))</x:f>
      </x:c>
      <x:c r="H1537">
        <x:f>IFERROR(VLOOKUP(C1537,02_Referentiels!$A$20:$D$99,3,FALSE),"")</x:f>
      </x:c>
      <x:c r="I1537">
        <x:f>IFERROR(VLOOKUP(B1537,02_Referentiels!$A$5:$C$16,2,FALSE),"")</x:f>
      </x:c>
      <x:c r="J1537">
        <x:f>IF(A1537="","",IF(OR(D1537="",E1537="",F1537=""),1,IF(OR(D1537&lt;0,D1537&gt;3,E1537&lt;0,E1537&gt;3,F1537&lt;0,F1537&gt;3),1,0)))</x:f>
      </x:c>
      <x:c r="K1537">
        <x:f>IF(A1537="","",IF(G1537="",1,0))</x:f>
      </x:c>
      <x:c r="L1537">
        <x:f>IF(A1537="","",IF(COUNTIFS($A$5:$A$2004,A1537,$C$5:$C$2004,C1537)&gt;1,1,0))</x:f>
      </x:c>
    </x:row>
    <x:row r="1538">
      <x:c r="A1538" s="8" t="n"/>
      <x:c r="B1538" s="8" t="n"/>
      <x:c r="C1538" s="8" t="n"/>
      <x:c r="D1538" s="8" t="n"/>
      <x:c r="E1538" s="8" t="n"/>
      <x:c r="F1538" s="8" t="n"/>
      <x:c r="G1538" s="7">
        <x:f>IF(A1538="","",IF(01_Parametres!$B$11="Oui",IF((01_Parametres!$B$4*(D1538&gt;0)+01_Parametres!$B$5*(E1538&gt;0)+01_Parametres!$B$6*(F1538&gt;0))=0,"",(01_Parametres!$B$4*IF(D1538&gt;0,D1538,0)+01_Parametres!$B$5*IF(E1538&gt;0,E1538,0)+01_Parametres!$B$6*IF(F1538&gt;0,F1538,0))/(01_Parametres!$B$4*(D1538&gt;0)+01_Parametres!$B$5*(E1538&gt;0)+01_Parametres!$B$6*(F1538&gt;0))),IF(01_Parametres!$B$8=0,"",(01_Parametres!$B$4*D1538+01_Parametres!$B$5*E1538+01_Parametres!$B$6*F1538)/01_Parametres!$B$8)))</x:f>
      </x:c>
      <x:c r="H1538">
        <x:f>IFERROR(VLOOKUP(C1538,02_Referentiels!$A$20:$D$99,3,FALSE),"")</x:f>
      </x:c>
      <x:c r="I1538">
        <x:f>IFERROR(VLOOKUP(B1538,02_Referentiels!$A$5:$C$16,2,FALSE),"")</x:f>
      </x:c>
      <x:c r="J1538">
        <x:f>IF(A1538="","",IF(OR(D1538="",E1538="",F1538=""),1,IF(OR(D1538&lt;0,D1538&gt;3,E1538&lt;0,E1538&gt;3,F1538&lt;0,F1538&gt;3),1,0)))</x:f>
      </x:c>
      <x:c r="K1538">
        <x:f>IF(A1538="","",IF(G1538="",1,0))</x:f>
      </x:c>
      <x:c r="L1538">
        <x:f>IF(A1538="","",IF(COUNTIFS($A$5:$A$2004,A1538,$C$5:$C$2004,C1538)&gt;1,1,0))</x:f>
      </x:c>
    </x:row>
    <x:row r="1539">
      <x:c r="A1539" s="8" t="n"/>
      <x:c r="B1539" s="8" t="n"/>
      <x:c r="C1539" s="8" t="n"/>
      <x:c r="D1539" s="8" t="n"/>
      <x:c r="E1539" s="8" t="n"/>
      <x:c r="F1539" s="8" t="n"/>
      <x:c r="G1539" s="7">
        <x:f>IF(A1539="","",IF(01_Parametres!$B$11="Oui",IF((01_Parametres!$B$4*(D1539&gt;0)+01_Parametres!$B$5*(E1539&gt;0)+01_Parametres!$B$6*(F1539&gt;0))=0,"",(01_Parametres!$B$4*IF(D1539&gt;0,D1539,0)+01_Parametres!$B$5*IF(E1539&gt;0,E1539,0)+01_Parametres!$B$6*IF(F1539&gt;0,F1539,0))/(01_Parametres!$B$4*(D1539&gt;0)+01_Parametres!$B$5*(E1539&gt;0)+01_Parametres!$B$6*(F1539&gt;0))),IF(01_Parametres!$B$8=0,"",(01_Parametres!$B$4*D1539+01_Parametres!$B$5*E1539+01_Parametres!$B$6*F1539)/01_Parametres!$B$8)))</x:f>
      </x:c>
      <x:c r="H1539">
        <x:f>IFERROR(VLOOKUP(C1539,02_Referentiels!$A$20:$D$99,3,FALSE),"")</x:f>
      </x:c>
      <x:c r="I1539">
        <x:f>IFERROR(VLOOKUP(B1539,02_Referentiels!$A$5:$C$16,2,FALSE),"")</x:f>
      </x:c>
      <x:c r="J1539">
        <x:f>IF(A1539="","",IF(OR(D1539="",E1539="",F1539=""),1,IF(OR(D1539&lt;0,D1539&gt;3,E1539&lt;0,E1539&gt;3,F1539&lt;0,F1539&gt;3),1,0)))</x:f>
      </x:c>
      <x:c r="K1539">
        <x:f>IF(A1539="","",IF(G1539="",1,0))</x:f>
      </x:c>
      <x:c r="L1539">
        <x:f>IF(A1539="","",IF(COUNTIFS($A$5:$A$2004,A1539,$C$5:$C$2004,C1539)&gt;1,1,0))</x:f>
      </x:c>
    </x:row>
    <x:row r="1540">
      <x:c r="A1540" s="8" t="n"/>
      <x:c r="B1540" s="8" t="n"/>
      <x:c r="C1540" s="8" t="n"/>
      <x:c r="D1540" s="8" t="n"/>
      <x:c r="E1540" s="8" t="n"/>
      <x:c r="F1540" s="8" t="n"/>
      <x:c r="G1540" s="7">
        <x:f>IF(A1540="","",IF(01_Parametres!$B$11="Oui",IF((01_Parametres!$B$4*(D1540&gt;0)+01_Parametres!$B$5*(E1540&gt;0)+01_Parametres!$B$6*(F1540&gt;0))=0,"",(01_Parametres!$B$4*IF(D1540&gt;0,D1540,0)+01_Parametres!$B$5*IF(E1540&gt;0,E1540,0)+01_Parametres!$B$6*IF(F1540&gt;0,F1540,0))/(01_Parametres!$B$4*(D1540&gt;0)+01_Parametres!$B$5*(E1540&gt;0)+01_Parametres!$B$6*(F1540&gt;0))),IF(01_Parametres!$B$8=0,"",(01_Parametres!$B$4*D1540+01_Parametres!$B$5*E1540+01_Parametres!$B$6*F1540)/01_Parametres!$B$8)))</x:f>
      </x:c>
      <x:c r="H1540">
        <x:f>IFERROR(VLOOKUP(C1540,02_Referentiels!$A$20:$D$99,3,FALSE),"")</x:f>
      </x:c>
      <x:c r="I1540">
        <x:f>IFERROR(VLOOKUP(B1540,02_Referentiels!$A$5:$C$16,2,FALSE),"")</x:f>
      </x:c>
      <x:c r="J1540">
        <x:f>IF(A1540="","",IF(OR(D1540="",E1540="",F1540=""),1,IF(OR(D1540&lt;0,D1540&gt;3,E1540&lt;0,E1540&gt;3,F1540&lt;0,F1540&gt;3),1,0)))</x:f>
      </x:c>
      <x:c r="K1540">
        <x:f>IF(A1540="","",IF(G1540="",1,0))</x:f>
      </x:c>
      <x:c r="L1540">
        <x:f>IF(A1540="","",IF(COUNTIFS($A$5:$A$2004,A1540,$C$5:$C$2004,C1540)&gt;1,1,0))</x:f>
      </x:c>
    </x:row>
    <x:row r="1541">
      <x:c r="A1541" s="8" t="n"/>
      <x:c r="B1541" s="8" t="n"/>
      <x:c r="C1541" s="8" t="n"/>
      <x:c r="D1541" s="8" t="n"/>
      <x:c r="E1541" s="8" t="n"/>
      <x:c r="F1541" s="8" t="n"/>
      <x:c r="G1541" s="7">
        <x:f>IF(A1541="","",IF(01_Parametres!$B$11="Oui",IF((01_Parametres!$B$4*(D1541&gt;0)+01_Parametres!$B$5*(E1541&gt;0)+01_Parametres!$B$6*(F1541&gt;0))=0,"",(01_Parametres!$B$4*IF(D1541&gt;0,D1541,0)+01_Parametres!$B$5*IF(E1541&gt;0,E1541,0)+01_Parametres!$B$6*IF(F1541&gt;0,F1541,0))/(01_Parametres!$B$4*(D1541&gt;0)+01_Parametres!$B$5*(E1541&gt;0)+01_Parametres!$B$6*(F1541&gt;0))),IF(01_Parametres!$B$8=0,"",(01_Parametres!$B$4*D1541+01_Parametres!$B$5*E1541+01_Parametres!$B$6*F1541)/01_Parametres!$B$8)))</x:f>
      </x:c>
      <x:c r="H1541">
        <x:f>IFERROR(VLOOKUP(C1541,02_Referentiels!$A$20:$D$99,3,FALSE),"")</x:f>
      </x:c>
      <x:c r="I1541">
        <x:f>IFERROR(VLOOKUP(B1541,02_Referentiels!$A$5:$C$16,2,FALSE),"")</x:f>
      </x:c>
      <x:c r="J1541">
        <x:f>IF(A1541="","",IF(OR(D1541="",E1541="",F1541=""),1,IF(OR(D1541&lt;0,D1541&gt;3,E1541&lt;0,E1541&gt;3,F1541&lt;0,F1541&gt;3),1,0)))</x:f>
      </x:c>
      <x:c r="K1541">
        <x:f>IF(A1541="","",IF(G1541="",1,0))</x:f>
      </x:c>
      <x:c r="L1541">
        <x:f>IF(A1541="","",IF(COUNTIFS($A$5:$A$2004,A1541,$C$5:$C$2004,C1541)&gt;1,1,0))</x:f>
      </x:c>
    </x:row>
    <x:row r="1542">
      <x:c r="A1542" s="8" t="n"/>
      <x:c r="B1542" s="8" t="n"/>
      <x:c r="C1542" s="8" t="n"/>
      <x:c r="D1542" s="8" t="n"/>
      <x:c r="E1542" s="8" t="n"/>
      <x:c r="F1542" s="8" t="n"/>
      <x:c r="G1542" s="7">
        <x:f>IF(A1542="","",IF(01_Parametres!$B$11="Oui",IF((01_Parametres!$B$4*(D1542&gt;0)+01_Parametres!$B$5*(E1542&gt;0)+01_Parametres!$B$6*(F1542&gt;0))=0,"",(01_Parametres!$B$4*IF(D1542&gt;0,D1542,0)+01_Parametres!$B$5*IF(E1542&gt;0,E1542,0)+01_Parametres!$B$6*IF(F1542&gt;0,F1542,0))/(01_Parametres!$B$4*(D1542&gt;0)+01_Parametres!$B$5*(E1542&gt;0)+01_Parametres!$B$6*(F1542&gt;0))),IF(01_Parametres!$B$8=0,"",(01_Parametres!$B$4*D1542+01_Parametres!$B$5*E1542+01_Parametres!$B$6*F1542)/01_Parametres!$B$8)))</x:f>
      </x:c>
      <x:c r="H1542">
        <x:f>IFERROR(VLOOKUP(C1542,02_Referentiels!$A$20:$D$99,3,FALSE),"")</x:f>
      </x:c>
      <x:c r="I1542">
        <x:f>IFERROR(VLOOKUP(B1542,02_Referentiels!$A$5:$C$16,2,FALSE),"")</x:f>
      </x:c>
      <x:c r="J1542">
        <x:f>IF(A1542="","",IF(OR(D1542="",E1542="",F1542=""),1,IF(OR(D1542&lt;0,D1542&gt;3,E1542&lt;0,E1542&gt;3,F1542&lt;0,F1542&gt;3),1,0)))</x:f>
      </x:c>
      <x:c r="K1542">
        <x:f>IF(A1542="","",IF(G1542="",1,0))</x:f>
      </x:c>
      <x:c r="L1542">
        <x:f>IF(A1542="","",IF(COUNTIFS($A$5:$A$2004,A1542,$C$5:$C$2004,C1542)&gt;1,1,0))</x:f>
      </x:c>
    </x:row>
    <x:row r="1543">
      <x:c r="A1543" s="8" t="n"/>
      <x:c r="B1543" s="8" t="n"/>
      <x:c r="C1543" s="8" t="n"/>
      <x:c r="D1543" s="8" t="n"/>
      <x:c r="E1543" s="8" t="n"/>
      <x:c r="F1543" s="8" t="n"/>
      <x:c r="G1543" s="7">
        <x:f>IF(A1543="","",IF(01_Parametres!$B$11="Oui",IF((01_Parametres!$B$4*(D1543&gt;0)+01_Parametres!$B$5*(E1543&gt;0)+01_Parametres!$B$6*(F1543&gt;0))=0,"",(01_Parametres!$B$4*IF(D1543&gt;0,D1543,0)+01_Parametres!$B$5*IF(E1543&gt;0,E1543,0)+01_Parametres!$B$6*IF(F1543&gt;0,F1543,0))/(01_Parametres!$B$4*(D1543&gt;0)+01_Parametres!$B$5*(E1543&gt;0)+01_Parametres!$B$6*(F1543&gt;0))),IF(01_Parametres!$B$8=0,"",(01_Parametres!$B$4*D1543+01_Parametres!$B$5*E1543+01_Parametres!$B$6*F1543)/01_Parametres!$B$8)))</x:f>
      </x:c>
      <x:c r="H1543">
        <x:f>IFERROR(VLOOKUP(C1543,02_Referentiels!$A$20:$D$99,3,FALSE),"")</x:f>
      </x:c>
      <x:c r="I1543">
        <x:f>IFERROR(VLOOKUP(B1543,02_Referentiels!$A$5:$C$16,2,FALSE),"")</x:f>
      </x:c>
      <x:c r="J1543">
        <x:f>IF(A1543="","",IF(OR(D1543="",E1543="",F1543=""),1,IF(OR(D1543&lt;0,D1543&gt;3,E1543&lt;0,E1543&gt;3,F1543&lt;0,F1543&gt;3),1,0)))</x:f>
      </x:c>
      <x:c r="K1543">
        <x:f>IF(A1543="","",IF(G1543="",1,0))</x:f>
      </x:c>
      <x:c r="L1543">
        <x:f>IF(A1543="","",IF(COUNTIFS($A$5:$A$2004,A1543,$C$5:$C$2004,C1543)&gt;1,1,0))</x:f>
      </x:c>
    </x:row>
    <x:row r="1544">
      <x:c r="A1544" s="8" t="n"/>
      <x:c r="B1544" s="8" t="n"/>
      <x:c r="C1544" s="8" t="n"/>
      <x:c r="D1544" s="8" t="n"/>
      <x:c r="E1544" s="8" t="n"/>
      <x:c r="F1544" s="8" t="n"/>
      <x:c r="G1544" s="7">
        <x:f>IF(A1544="","",IF(01_Parametres!$B$11="Oui",IF((01_Parametres!$B$4*(D1544&gt;0)+01_Parametres!$B$5*(E1544&gt;0)+01_Parametres!$B$6*(F1544&gt;0))=0,"",(01_Parametres!$B$4*IF(D1544&gt;0,D1544,0)+01_Parametres!$B$5*IF(E1544&gt;0,E1544,0)+01_Parametres!$B$6*IF(F1544&gt;0,F1544,0))/(01_Parametres!$B$4*(D1544&gt;0)+01_Parametres!$B$5*(E1544&gt;0)+01_Parametres!$B$6*(F1544&gt;0))),IF(01_Parametres!$B$8=0,"",(01_Parametres!$B$4*D1544+01_Parametres!$B$5*E1544+01_Parametres!$B$6*F1544)/01_Parametres!$B$8)))</x:f>
      </x:c>
      <x:c r="H1544">
        <x:f>IFERROR(VLOOKUP(C1544,02_Referentiels!$A$20:$D$99,3,FALSE),"")</x:f>
      </x:c>
      <x:c r="I1544">
        <x:f>IFERROR(VLOOKUP(B1544,02_Referentiels!$A$5:$C$16,2,FALSE),"")</x:f>
      </x:c>
      <x:c r="J1544">
        <x:f>IF(A1544="","",IF(OR(D1544="",E1544="",F1544=""),1,IF(OR(D1544&lt;0,D1544&gt;3,E1544&lt;0,E1544&gt;3,F1544&lt;0,F1544&gt;3),1,0)))</x:f>
      </x:c>
      <x:c r="K1544">
        <x:f>IF(A1544="","",IF(G1544="",1,0))</x:f>
      </x:c>
      <x:c r="L1544">
        <x:f>IF(A1544="","",IF(COUNTIFS($A$5:$A$2004,A1544,$C$5:$C$2004,C1544)&gt;1,1,0))</x:f>
      </x:c>
    </x:row>
    <x:row r="1545">
      <x:c r="A1545" s="8" t="n"/>
      <x:c r="B1545" s="8" t="n"/>
      <x:c r="C1545" s="8" t="n"/>
      <x:c r="D1545" s="8" t="n"/>
      <x:c r="E1545" s="8" t="n"/>
      <x:c r="F1545" s="8" t="n"/>
      <x:c r="G1545" s="7">
        <x:f>IF(A1545="","",IF(01_Parametres!$B$11="Oui",IF((01_Parametres!$B$4*(D1545&gt;0)+01_Parametres!$B$5*(E1545&gt;0)+01_Parametres!$B$6*(F1545&gt;0))=0,"",(01_Parametres!$B$4*IF(D1545&gt;0,D1545,0)+01_Parametres!$B$5*IF(E1545&gt;0,E1545,0)+01_Parametres!$B$6*IF(F1545&gt;0,F1545,0))/(01_Parametres!$B$4*(D1545&gt;0)+01_Parametres!$B$5*(E1545&gt;0)+01_Parametres!$B$6*(F1545&gt;0))),IF(01_Parametres!$B$8=0,"",(01_Parametres!$B$4*D1545+01_Parametres!$B$5*E1545+01_Parametres!$B$6*F1545)/01_Parametres!$B$8)))</x:f>
      </x:c>
      <x:c r="H1545">
        <x:f>IFERROR(VLOOKUP(C1545,02_Referentiels!$A$20:$D$99,3,FALSE),"")</x:f>
      </x:c>
      <x:c r="I1545">
        <x:f>IFERROR(VLOOKUP(B1545,02_Referentiels!$A$5:$C$16,2,FALSE),"")</x:f>
      </x:c>
      <x:c r="J1545">
        <x:f>IF(A1545="","",IF(OR(D1545="",E1545="",F1545=""),1,IF(OR(D1545&lt;0,D1545&gt;3,E1545&lt;0,E1545&gt;3,F1545&lt;0,F1545&gt;3),1,0)))</x:f>
      </x:c>
      <x:c r="K1545">
        <x:f>IF(A1545="","",IF(G1545="",1,0))</x:f>
      </x:c>
      <x:c r="L1545">
        <x:f>IF(A1545="","",IF(COUNTIFS($A$5:$A$2004,A1545,$C$5:$C$2004,C1545)&gt;1,1,0))</x:f>
      </x:c>
    </x:row>
    <x:row r="1546">
      <x:c r="A1546" s="8" t="n"/>
      <x:c r="B1546" s="8" t="n"/>
      <x:c r="C1546" s="8" t="n"/>
      <x:c r="D1546" s="8" t="n"/>
      <x:c r="E1546" s="8" t="n"/>
      <x:c r="F1546" s="8" t="n"/>
      <x:c r="G1546" s="7">
        <x:f>IF(A1546="","",IF(01_Parametres!$B$11="Oui",IF((01_Parametres!$B$4*(D1546&gt;0)+01_Parametres!$B$5*(E1546&gt;0)+01_Parametres!$B$6*(F1546&gt;0))=0,"",(01_Parametres!$B$4*IF(D1546&gt;0,D1546,0)+01_Parametres!$B$5*IF(E1546&gt;0,E1546,0)+01_Parametres!$B$6*IF(F1546&gt;0,F1546,0))/(01_Parametres!$B$4*(D1546&gt;0)+01_Parametres!$B$5*(E1546&gt;0)+01_Parametres!$B$6*(F1546&gt;0))),IF(01_Parametres!$B$8=0,"",(01_Parametres!$B$4*D1546+01_Parametres!$B$5*E1546+01_Parametres!$B$6*F1546)/01_Parametres!$B$8)))</x:f>
      </x:c>
      <x:c r="H1546">
        <x:f>IFERROR(VLOOKUP(C1546,02_Referentiels!$A$20:$D$99,3,FALSE),"")</x:f>
      </x:c>
      <x:c r="I1546">
        <x:f>IFERROR(VLOOKUP(B1546,02_Referentiels!$A$5:$C$16,2,FALSE),"")</x:f>
      </x:c>
      <x:c r="J1546">
        <x:f>IF(A1546="","",IF(OR(D1546="",E1546="",F1546=""),1,IF(OR(D1546&lt;0,D1546&gt;3,E1546&lt;0,E1546&gt;3,F1546&lt;0,F1546&gt;3),1,0)))</x:f>
      </x:c>
      <x:c r="K1546">
        <x:f>IF(A1546="","",IF(G1546="",1,0))</x:f>
      </x:c>
      <x:c r="L1546">
        <x:f>IF(A1546="","",IF(COUNTIFS($A$5:$A$2004,A1546,$C$5:$C$2004,C1546)&gt;1,1,0))</x:f>
      </x:c>
    </x:row>
    <x:row r="1547">
      <x:c r="A1547" s="8" t="n"/>
      <x:c r="B1547" s="8" t="n"/>
      <x:c r="C1547" s="8" t="n"/>
      <x:c r="D1547" s="8" t="n"/>
      <x:c r="E1547" s="8" t="n"/>
      <x:c r="F1547" s="8" t="n"/>
      <x:c r="G1547" s="7">
        <x:f>IF(A1547="","",IF(01_Parametres!$B$11="Oui",IF((01_Parametres!$B$4*(D1547&gt;0)+01_Parametres!$B$5*(E1547&gt;0)+01_Parametres!$B$6*(F1547&gt;0))=0,"",(01_Parametres!$B$4*IF(D1547&gt;0,D1547,0)+01_Parametres!$B$5*IF(E1547&gt;0,E1547,0)+01_Parametres!$B$6*IF(F1547&gt;0,F1547,0))/(01_Parametres!$B$4*(D1547&gt;0)+01_Parametres!$B$5*(E1547&gt;0)+01_Parametres!$B$6*(F1547&gt;0))),IF(01_Parametres!$B$8=0,"",(01_Parametres!$B$4*D1547+01_Parametres!$B$5*E1547+01_Parametres!$B$6*F1547)/01_Parametres!$B$8)))</x:f>
      </x:c>
      <x:c r="H1547">
        <x:f>IFERROR(VLOOKUP(C1547,02_Referentiels!$A$20:$D$99,3,FALSE),"")</x:f>
      </x:c>
      <x:c r="I1547">
        <x:f>IFERROR(VLOOKUP(B1547,02_Referentiels!$A$5:$C$16,2,FALSE),"")</x:f>
      </x:c>
      <x:c r="J1547">
        <x:f>IF(A1547="","",IF(OR(D1547="",E1547="",F1547=""),1,IF(OR(D1547&lt;0,D1547&gt;3,E1547&lt;0,E1547&gt;3,F1547&lt;0,F1547&gt;3),1,0)))</x:f>
      </x:c>
      <x:c r="K1547">
        <x:f>IF(A1547="","",IF(G1547="",1,0))</x:f>
      </x:c>
      <x:c r="L1547">
        <x:f>IF(A1547="","",IF(COUNTIFS($A$5:$A$2004,A1547,$C$5:$C$2004,C1547)&gt;1,1,0))</x:f>
      </x:c>
    </x:row>
    <x:row r="1548">
      <x:c r="A1548" s="8" t="n"/>
      <x:c r="B1548" s="8" t="n"/>
      <x:c r="C1548" s="8" t="n"/>
      <x:c r="D1548" s="8" t="n"/>
      <x:c r="E1548" s="8" t="n"/>
      <x:c r="F1548" s="8" t="n"/>
      <x:c r="G1548" s="7">
        <x:f>IF(A1548="","",IF(01_Parametres!$B$11="Oui",IF((01_Parametres!$B$4*(D1548&gt;0)+01_Parametres!$B$5*(E1548&gt;0)+01_Parametres!$B$6*(F1548&gt;0))=0,"",(01_Parametres!$B$4*IF(D1548&gt;0,D1548,0)+01_Parametres!$B$5*IF(E1548&gt;0,E1548,0)+01_Parametres!$B$6*IF(F1548&gt;0,F1548,0))/(01_Parametres!$B$4*(D1548&gt;0)+01_Parametres!$B$5*(E1548&gt;0)+01_Parametres!$B$6*(F1548&gt;0))),IF(01_Parametres!$B$8=0,"",(01_Parametres!$B$4*D1548+01_Parametres!$B$5*E1548+01_Parametres!$B$6*F1548)/01_Parametres!$B$8)))</x:f>
      </x:c>
      <x:c r="H1548">
        <x:f>IFERROR(VLOOKUP(C1548,02_Referentiels!$A$20:$D$99,3,FALSE),"")</x:f>
      </x:c>
      <x:c r="I1548">
        <x:f>IFERROR(VLOOKUP(B1548,02_Referentiels!$A$5:$C$16,2,FALSE),"")</x:f>
      </x:c>
      <x:c r="J1548">
        <x:f>IF(A1548="","",IF(OR(D1548="",E1548="",F1548=""),1,IF(OR(D1548&lt;0,D1548&gt;3,E1548&lt;0,E1548&gt;3,F1548&lt;0,F1548&gt;3),1,0)))</x:f>
      </x:c>
      <x:c r="K1548">
        <x:f>IF(A1548="","",IF(G1548="",1,0))</x:f>
      </x:c>
      <x:c r="L1548">
        <x:f>IF(A1548="","",IF(COUNTIFS($A$5:$A$2004,A1548,$C$5:$C$2004,C1548)&gt;1,1,0))</x:f>
      </x:c>
    </x:row>
    <x:row r="1549">
      <x:c r="A1549" s="8" t="n"/>
      <x:c r="B1549" s="8" t="n"/>
      <x:c r="C1549" s="8" t="n"/>
      <x:c r="D1549" s="8" t="n"/>
      <x:c r="E1549" s="8" t="n"/>
      <x:c r="F1549" s="8" t="n"/>
      <x:c r="G1549" s="7">
        <x:f>IF(A1549="","",IF(01_Parametres!$B$11="Oui",IF((01_Parametres!$B$4*(D1549&gt;0)+01_Parametres!$B$5*(E1549&gt;0)+01_Parametres!$B$6*(F1549&gt;0))=0,"",(01_Parametres!$B$4*IF(D1549&gt;0,D1549,0)+01_Parametres!$B$5*IF(E1549&gt;0,E1549,0)+01_Parametres!$B$6*IF(F1549&gt;0,F1549,0))/(01_Parametres!$B$4*(D1549&gt;0)+01_Parametres!$B$5*(E1549&gt;0)+01_Parametres!$B$6*(F1549&gt;0))),IF(01_Parametres!$B$8=0,"",(01_Parametres!$B$4*D1549+01_Parametres!$B$5*E1549+01_Parametres!$B$6*F1549)/01_Parametres!$B$8)))</x:f>
      </x:c>
      <x:c r="H1549">
        <x:f>IFERROR(VLOOKUP(C1549,02_Referentiels!$A$20:$D$99,3,FALSE),"")</x:f>
      </x:c>
      <x:c r="I1549">
        <x:f>IFERROR(VLOOKUP(B1549,02_Referentiels!$A$5:$C$16,2,FALSE),"")</x:f>
      </x:c>
      <x:c r="J1549">
        <x:f>IF(A1549="","",IF(OR(D1549="",E1549="",F1549=""),1,IF(OR(D1549&lt;0,D1549&gt;3,E1549&lt;0,E1549&gt;3,F1549&lt;0,F1549&gt;3),1,0)))</x:f>
      </x:c>
      <x:c r="K1549">
        <x:f>IF(A1549="","",IF(G1549="",1,0))</x:f>
      </x:c>
      <x:c r="L1549">
        <x:f>IF(A1549="","",IF(COUNTIFS($A$5:$A$2004,A1549,$C$5:$C$2004,C1549)&gt;1,1,0))</x:f>
      </x:c>
    </x:row>
    <x:row r="1550">
      <x:c r="A1550" s="8" t="n"/>
      <x:c r="B1550" s="8" t="n"/>
      <x:c r="C1550" s="8" t="n"/>
      <x:c r="D1550" s="8" t="n"/>
      <x:c r="E1550" s="8" t="n"/>
      <x:c r="F1550" s="8" t="n"/>
      <x:c r="G1550" s="7">
        <x:f>IF(A1550="","",IF(01_Parametres!$B$11="Oui",IF((01_Parametres!$B$4*(D1550&gt;0)+01_Parametres!$B$5*(E1550&gt;0)+01_Parametres!$B$6*(F1550&gt;0))=0,"",(01_Parametres!$B$4*IF(D1550&gt;0,D1550,0)+01_Parametres!$B$5*IF(E1550&gt;0,E1550,0)+01_Parametres!$B$6*IF(F1550&gt;0,F1550,0))/(01_Parametres!$B$4*(D1550&gt;0)+01_Parametres!$B$5*(E1550&gt;0)+01_Parametres!$B$6*(F1550&gt;0))),IF(01_Parametres!$B$8=0,"",(01_Parametres!$B$4*D1550+01_Parametres!$B$5*E1550+01_Parametres!$B$6*F1550)/01_Parametres!$B$8)))</x:f>
      </x:c>
      <x:c r="H1550">
        <x:f>IFERROR(VLOOKUP(C1550,02_Referentiels!$A$20:$D$99,3,FALSE),"")</x:f>
      </x:c>
      <x:c r="I1550">
        <x:f>IFERROR(VLOOKUP(B1550,02_Referentiels!$A$5:$C$16,2,FALSE),"")</x:f>
      </x:c>
      <x:c r="J1550">
        <x:f>IF(A1550="","",IF(OR(D1550="",E1550="",F1550=""),1,IF(OR(D1550&lt;0,D1550&gt;3,E1550&lt;0,E1550&gt;3,F1550&lt;0,F1550&gt;3),1,0)))</x:f>
      </x:c>
      <x:c r="K1550">
        <x:f>IF(A1550="","",IF(G1550="",1,0))</x:f>
      </x:c>
      <x:c r="L1550">
        <x:f>IF(A1550="","",IF(COUNTIFS($A$5:$A$2004,A1550,$C$5:$C$2004,C1550)&gt;1,1,0))</x:f>
      </x:c>
    </x:row>
    <x:row r="1551">
      <x:c r="A1551" s="8" t="n"/>
      <x:c r="B1551" s="8" t="n"/>
      <x:c r="C1551" s="8" t="n"/>
      <x:c r="D1551" s="8" t="n"/>
      <x:c r="E1551" s="8" t="n"/>
      <x:c r="F1551" s="8" t="n"/>
      <x:c r="G1551" s="7">
        <x:f>IF(A1551="","",IF(01_Parametres!$B$11="Oui",IF((01_Parametres!$B$4*(D1551&gt;0)+01_Parametres!$B$5*(E1551&gt;0)+01_Parametres!$B$6*(F1551&gt;0))=0,"",(01_Parametres!$B$4*IF(D1551&gt;0,D1551,0)+01_Parametres!$B$5*IF(E1551&gt;0,E1551,0)+01_Parametres!$B$6*IF(F1551&gt;0,F1551,0))/(01_Parametres!$B$4*(D1551&gt;0)+01_Parametres!$B$5*(E1551&gt;0)+01_Parametres!$B$6*(F1551&gt;0))),IF(01_Parametres!$B$8=0,"",(01_Parametres!$B$4*D1551+01_Parametres!$B$5*E1551+01_Parametres!$B$6*F1551)/01_Parametres!$B$8)))</x:f>
      </x:c>
      <x:c r="H1551">
        <x:f>IFERROR(VLOOKUP(C1551,02_Referentiels!$A$20:$D$99,3,FALSE),"")</x:f>
      </x:c>
      <x:c r="I1551">
        <x:f>IFERROR(VLOOKUP(B1551,02_Referentiels!$A$5:$C$16,2,FALSE),"")</x:f>
      </x:c>
      <x:c r="J1551">
        <x:f>IF(A1551="","",IF(OR(D1551="",E1551="",F1551=""),1,IF(OR(D1551&lt;0,D1551&gt;3,E1551&lt;0,E1551&gt;3,F1551&lt;0,F1551&gt;3),1,0)))</x:f>
      </x:c>
      <x:c r="K1551">
        <x:f>IF(A1551="","",IF(G1551="",1,0))</x:f>
      </x:c>
      <x:c r="L1551">
        <x:f>IF(A1551="","",IF(COUNTIFS($A$5:$A$2004,A1551,$C$5:$C$2004,C1551)&gt;1,1,0))</x:f>
      </x:c>
    </x:row>
    <x:row r="1552">
      <x:c r="A1552" s="8" t="n"/>
      <x:c r="B1552" s="8" t="n"/>
      <x:c r="C1552" s="8" t="n"/>
      <x:c r="D1552" s="8" t="n"/>
      <x:c r="E1552" s="8" t="n"/>
      <x:c r="F1552" s="8" t="n"/>
      <x:c r="G1552" s="7">
        <x:f>IF(A1552="","",IF(01_Parametres!$B$11="Oui",IF((01_Parametres!$B$4*(D1552&gt;0)+01_Parametres!$B$5*(E1552&gt;0)+01_Parametres!$B$6*(F1552&gt;0))=0,"",(01_Parametres!$B$4*IF(D1552&gt;0,D1552,0)+01_Parametres!$B$5*IF(E1552&gt;0,E1552,0)+01_Parametres!$B$6*IF(F1552&gt;0,F1552,0))/(01_Parametres!$B$4*(D1552&gt;0)+01_Parametres!$B$5*(E1552&gt;0)+01_Parametres!$B$6*(F1552&gt;0))),IF(01_Parametres!$B$8=0,"",(01_Parametres!$B$4*D1552+01_Parametres!$B$5*E1552+01_Parametres!$B$6*F1552)/01_Parametres!$B$8)))</x:f>
      </x:c>
      <x:c r="H1552">
        <x:f>IFERROR(VLOOKUP(C1552,02_Referentiels!$A$20:$D$99,3,FALSE),"")</x:f>
      </x:c>
      <x:c r="I1552">
        <x:f>IFERROR(VLOOKUP(B1552,02_Referentiels!$A$5:$C$16,2,FALSE),"")</x:f>
      </x:c>
      <x:c r="J1552">
        <x:f>IF(A1552="","",IF(OR(D1552="",E1552="",F1552=""),1,IF(OR(D1552&lt;0,D1552&gt;3,E1552&lt;0,E1552&gt;3,F1552&lt;0,F1552&gt;3),1,0)))</x:f>
      </x:c>
      <x:c r="K1552">
        <x:f>IF(A1552="","",IF(G1552="",1,0))</x:f>
      </x:c>
      <x:c r="L1552">
        <x:f>IF(A1552="","",IF(COUNTIFS($A$5:$A$2004,A1552,$C$5:$C$2004,C1552)&gt;1,1,0))</x:f>
      </x:c>
    </x:row>
    <x:row r="1553">
      <x:c r="A1553" s="8" t="n"/>
      <x:c r="B1553" s="8" t="n"/>
      <x:c r="C1553" s="8" t="n"/>
      <x:c r="D1553" s="8" t="n"/>
      <x:c r="E1553" s="8" t="n"/>
      <x:c r="F1553" s="8" t="n"/>
      <x:c r="G1553" s="7">
        <x:f>IF(A1553="","",IF(01_Parametres!$B$11="Oui",IF((01_Parametres!$B$4*(D1553&gt;0)+01_Parametres!$B$5*(E1553&gt;0)+01_Parametres!$B$6*(F1553&gt;0))=0,"",(01_Parametres!$B$4*IF(D1553&gt;0,D1553,0)+01_Parametres!$B$5*IF(E1553&gt;0,E1553,0)+01_Parametres!$B$6*IF(F1553&gt;0,F1553,0))/(01_Parametres!$B$4*(D1553&gt;0)+01_Parametres!$B$5*(E1553&gt;0)+01_Parametres!$B$6*(F1553&gt;0))),IF(01_Parametres!$B$8=0,"",(01_Parametres!$B$4*D1553+01_Parametres!$B$5*E1553+01_Parametres!$B$6*F1553)/01_Parametres!$B$8)))</x:f>
      </x:c>
      <x:c r="H1553">
        <x:f>IFERROR(VLOOKUP(C1553,02_Referentiels!$A$20:$D$99,3,FALSE),"")</x:f>
      </x:c>
      <x:c r="I1553">
        <x:f>IFERROR(VLOOKUP(B1553,02_Referentiels!$A$5:$C$16,2,FALSE),"")</x:f>
      </x:c>
      <x:c r="J1553">
        <x:f>IF(A1553="","",IF(OR(D1553="",E1553="",F1553=""),1,IF(OR(D1553&lt;0,D1553&gt;3,E1553&lt;0,E1553&gt;3,F1553&lt;0,F1553&gt;3),1,0)))</x:f>
      </x:c>
      <x:c r="K1553">
        <x:f>IF(A1553="","",IF(G1553="",1,0))</x:f>
      </x:c>
      <x:c r="L1553">
        <x:f>IF(A1553="","",IF(COUNTIFS($A$5:$A$2004,A1553,$C$5:$C$2004,C1553)&gt;1,1,0))</x:f>
      </x:c>
    </x:row>
    <x:row r="1554">
      <x:c r="A1554" s="8" t="n"/>
      <x:c r="B1554" s="8" t="n"/>
      <x:c r="C1554" s="8" t="n"/>
      <x:c r="D1554" s="8" t="n"/>
      <x:c r="E1554" s="8" t="n"/>
      <x:c r="F1554" s="8" t="n"/>
      <x:c r="G1554" s="7">
        <x:f>IF(A1554="","",IF(01_Parametres!$B$11="Oui",IF((01_Parametres!$B$4*(D1554&gt;0)+01_Parametres!$B$5*(E1554&gt;0)+01_Parametres!$B$6*(F1554&gt;0))=0,"",(01_Parametres!$B$4*IF(D1554&gt;0,D1554,0)+01_Parametres!$B$5*IF(E1554&gt;0,E1554,0)+01_Parametres!$B$6*IF(F1554&gt;0,F1554,0))/(01_Parametres!$B$4*(D1554&gt;0)+01_Parametres!$B$5*(E1554&gt;0)+01_Parametres!$B$6*(F1554&gt;0))),IF(01_Parametres!$B$8=0,"",(01_Parametres!$B$4*D1554+01_Parametres!$B$5*E1554+01_Parametres!$B$6*F1554)/01_Parametres!$B$8)))</x:f>
      </x:c>
      <x:c r="H1554">
        <x:f>IFERROR(VLOOKUP(C1554,02_Referentiels!$A$20:$D$99,3,FALSE),"")</x:f>
      </x:c>
      <x:c r="I1554">
        <x:f>IFERROR(VLOOKUP(B1554,02_Referentiels!$A$5:$C$16,2,FALSE),"")</x:f>
      </x:c>
      <x:c r="J1554">
        <x:f>IF(A1554="","",IF(OR(D1554="",E1554="",F1554=""),1,IF(OR(D1554&lt;0,D1554&gt;3,E1554&lt;0,E1554&gt;3,F1554&lt;0,F1554&gt;3),1,0)))</x:f>
      </x:c>
      <x:c r="K1554">
        <x:f>IF(A1554="","",IF(G1554="",1,0))</x:f>
      </x:c>
      <x:c r="L1554">
        <x:f>IF(A1554="","",IF(COUNTIFS($A$5:$A$2004,A1554,$C$5:$C$2004,C1554)&gt;1,1,0))</x:f>
      </x:c>
    </x:row>
    <x:row r="1555">
      <x:c r="A1555" s="8" t="n"/>
      <x:c r="B1555" s="8" t="n"/>
      <x:c r="C1555" s="8" t="n"/>
      <x:c r="D1555" s="8" t="n"/>
      <x:c r="E1555" s="8" t="n"/>
      <x:c r="F1555" s="8" t="n"/>
      <x:c r="G1555" s="7">
        <x:f>IF(A1555="","",IF(01_Parametres!$B$11="Oui",IF((01_Parametres!$B$4*(D1555&gt;0)+01_Parametres!$B$5*(E1555&gt;0)+01_Parametres!$B$6*(F1555&gt;0))=0,"",(01_Parametres!$B$4*IF(D1555&gt;0,D1555,0)+01_Parametres!$B$5*IF(E1555&gt;0,E1555,0)+01_Parametres!$B$6*IF(F1555&gt;0,F1555,0))/(01_Parametres!$B$4*(D1555&gt;0)+01_Parametres!$B$5*(E1555&gt;0)+01_Parametres!$B$6*(F1555&gt;0))),IF(01_Parametres!$B$8=0,"",(01_Parametres!$B$4*D1555+01_Parametres!$B$5*E1555+01_Parametres!$B$6*F1555)/01_Parametres!$B$8)))</x:f>
      </x:c>
      <x:c r="H1555">
        <x:f>IFERROR(VLOOKUP(C1555,02_Referentiels!$A$20:$D$99,3,FALSE),"")</x:f>
      </x:c>
      <x:c r="I1555">
        <x:f>IFERROR(VLOOKUP(B1555,02_Referentiels!$A$5:$C$16,2,FALSE),"")</x:f>
      </x:c>
      <x:c r="J1555">
        <x:f>IF(A1555="","",IF(OR(D1555="",E1555="",F1555=""),1,IF(OR(D1555&lt;0,D1555&gt;3,E1555&lt;0,E1555&gt;3,F1555&lt;0,F1555&gt;3),1,0)))</x:f>
      </x:c>
      <x:c r="K1555">
        <x:f>IF(A1555="","",IF(G1555="",1,0))</x:f>
      </x:c>
      <x:c r="L1555">
        <x:f>IF(A1555="","",IF(COUNTIFS($A$5:$A$2004,A1555,$C$5:$C$2004,C1555)&gt;1,1,0))</x:f>
      </x:c>
    </x:row>
    <x:row r="1556">
      <x:c r="A1556" s="8" t="n"/>
      <x:c r="B1556" s="8" t="n"/>
      <x:c r="C1556" s="8" t="n"/>
      <x:c r="D1556" s="8" t="n"/>
      <x:c r="E1556" s="8" t="n"/>
      <x:c r="F1556" s="8" t="n"/>
      <x:c r="G1556" s="7">
        <x:f>IF(A1556="","",IF(01_Parametres!$B$11="Oui",IF((01_Parametres!$B$4*(D1556&gt;0)+01_Parametres!$B$5*(E1556&gt;0)+01_Parametres!$B$6*(F1556&gt;0))=0,"",(01_Parametres!$B$4*IF(D1556&gt;0,D1556,0)+01_Parametres!$B$5*IF(E1556&gt;0,E1556,0)+01_Parametres!$B$6*IF(F1556&gt;0,F1556,0))/(01_Parametres!$B$4*(D1556&gt;0)+01_Parametres!$B$5*(E1556&gt;0)+01_Parametres!$B$6*(F1556&gt;0))),IF(01_Parametres!$B$8=0,"",(01_Parametres!$B$4*D1556+01_Parametres!$B$5*E1556+01_Parametres!$B$6*F1556)/01_Parametres!$B$8)))</x:f>
      </x:c>
      <x:c r="H1556">
        <x:f>IFERROR(VLOOKUP(C1556,02_Referentiels!$A$20:$D$99,3,FALSE),"")</x:f>
      </x:c>
      <x:c r="I1556">
        <x:f>IFERROR(VLOOKUP(B1556,02_Referentiels!$A$5:$C$16,2,FALSE),"")</x:f>
      </x:c>
      <x:c r="J1556">
        <x:f>IF(A1556="","",IF(OR(D1556="",E1556="",F1556=""),1,IF(OR(D1556&lt;0,D1556&gt;3,E1556&lt;0,E1556&gt;3,F1556&lt;0,F1556&gt;3),1,0)))</x:f>
      </x:c>
      <x:c r="K1556">
        <x:f>IF(A1556="","",IF(G1556="",1,0))</x:f>
      </x:c>
      <x:c r="L1556">
        <x:f>IF(A1556="","",IF(COUNTIFS($A$5:$A$2004,A1556,$C$5:$C$2004,C1556)&gt;1,1,0))</x:f>
      </x:c>
    </x:row>
    <x:row r="1557">
      <x:c r="A1557" s="8" t="n"/>
      <x:c r="B1557" s="8" t="n"/>
      <x:c r="C1557" s="8" t="n"/>
      <x:c r="D1557" s="8" t="n"/>
      <x:c r="E1557" s="8" t="n"/>
      <x:c r="F1557" s="8" t="n"/>
      <x:c r="G1557" s="7">
        <x:f>IF(A1557="","",IF(01_Parametres!$B$11="Oui",IF((01_Parametres!$B$4*(D1557&gt;0)+01_Parametres!$B$5*(E1557&gt;0)+01_Parametres!$B$6*(F1557&gt;0))=0,"",(01_Parametres!$B$4*IF(D1557&gt;0,D1557,0)+01_Parametres!$B$5*IF(E1557&gt;0,E1557,0)+01_Parametres!$B$6*IF(F1557&gt;0,F1557,0))/(01_Parametres!$B$4*(D1557&gt;0)+01_Parametres!$B$5*(E1557&gt;0)+01_Parametres!$B$6*(F1557&gt;0))),IF(01_Parametres!$B$8=0,"",(01_Parametres!$B$4*D1557+01_Parametres!$B$5*E1557+01_Parametres!$B$6*F1557)/01_Parametres!$B$8)))</x:f>
      </x:c>
      <x:c r="H1557">
        <x:f>IFERROR(VLOOKUP(C1557,02_Referentiels!$A$20:$D$99,3,FALSE),"")</x:f>
      </x:c>
      <x:c r="I1557">
        <x:f>IFERROR(VLOOKUP(B1557,02_Referentiels!$A$5:$C$16,2,FALSE),"")</x:f>
      </x:c>
      <x:c r="J1557">
        <x:f>IF(A1557="","",IF(OR(D1557="",E1557="",F1557=""),1,IF(OR(D1557&lt;0,D1557&gt;3,E1557&lt;0,E1557&gt;3,F1557&lt;0,F1557&gt;3),1,0)))</x:f>
      </x:c>
      <x:c r="K1557">
        <x:f>IF(A1557="","",IF(G1557="",1,0))</x:f>
      </x:c>
      <x:c r="L1557">
        <x:f>IF(A1557="","",IF(COUNTIFS($A$5:$A$2004,A1557,$C$5:$C$2004,C1557)&gt;1,1,0))</x:f>
      </x:c>
    </x:row>
    <x:row r="1558">
      <x:c r="A1558" s="8" t="n"/>
      <x:c r="B1558" s="8" t="n"/>
      <x:c r="C1558" s="8" t="n"/>
      <x:c r="D1558" s="8" t="n"/>
      <x:c r="E1558" s="8" t="n"/>
      <x:c r="F1558" s="8" t="n"/>
      <x:c r="G1558" s="7">
        <x:f>IF(A1558="","",IF(01_Parametres!$B$11="Oui",IF((01_Parametres!$B$4*(D1558&gt;0)+01_Parametres!$B$5*(E1558&gt;0)+01_Parametres!$B$6*(F1558&gt;0))=0,"",(01_Parametres!$B$4*IF(D1558&gt;0,D1558,0)+01_Parametres!$B$5*IF(E1558&gt;0,E1558,0)+01_Parametres!$B$6*IF(F1558&gt;0,F1558,0))/(01_Parametres!$B$4*(D1558&gt;0)+01_Parametres!$B$5*(E1558&gt;0)+01_Parametres!$B$6*(F1558&gt;0))),IF(01_Parametres!$B$8=0,"",(01_Parametres!$B$4*D1558+01_Parametres!$B$5*E1558+01_Parametres!$B$6*F1558)/01_Parametres!$B$8)))</x:f>
      </x:c>
      <x:c r="H1558">
        <x:f>IFERROR(VLOOKUP(C1558,02_Referentiels!$A$20:$D$99,3,FALSE),"")</x:f>
      </x:c>
      <x:c r="I1558">
        <x:f>IFERROR(VLOOKUP(B1558,02_Referentiels!$A$5:$C$16,2,FALSE),"")</x:f>
      </x:c>
      <x:c r="J1558">
        <x:f>IF(A1558="","",IF(OR(D1558="",E1558="",F1558=""),1,IF(OR(D1558&lt;0,D1558&gt;3,E1558&lt;0,E1558&gt;3,F1558&lt;0,F1558&gt;3),1,0)))</x:f>
      </x:c>
      <x:c r="K1558">
        <x:f>IF(A1558="","",IF(G1558="",1,0))</x:f>
      </x:c>
      <x:c r="L1558">
        <x:f>IF(A1558="","",IF(COUNTIFS($A$5:$A$2004,A1558,$C$5:$C$2004,C1558)&gt;1,1,0))</x:f>
      </x:c>
    </x:row>
    <x:row r="1559">
      <x:c r="A1559" s="8" t="n"/>
      <x:c r="B1559" s="8" t="n"/>
      <x:c r="C1559" s="8" t="n"/>
      <x:c r="D1559" s="8" t="n"/>
      <x:c r="E1559" s="8" t="n"/>
      <x:c r="F1559" s="8" t="n"/>
      <x:c r="G1559" s="7">
        <x:f>IF(A1559="","",IF(01_Parametres!$B$11="Oui",IF((01_Parametres!$B$4*(D1559&gt;0)+01_Parametres!$B$5*(E1559&gt;0)+01_Parametres!$B$6*(F1559&gt;0))=0,"",(01_Parametres!$B$4*IF(D1559&gt;0,D1559,0)+01_Parametres!$B$5*IF(E1559&gt;0,E1559,0)+01_Parametres!$B$6*IF(F1559&gt;0,F1559,0))/(01_Parametres!$B$4*(D1559&gt;0)+01_Parametres!$B$5*(E1559&gt;0)+01_Parametres!$B$6*(F1559&gt;0))),IF(01_Parametres!$B$8=0,"",(01_Parametres!$B$4*D1559+01_Parametres!$B$5*E1559+01_Parametres!$B$6*F1559)/01_Parametres!$B$8)))</x:f>
      </x:c>
      <x:c r="H1559">
        <x:f>IFERROR(VLOOKUP(C1559,02_Referentiels!$A$20:$D$99,3,FALSE),"")</x:f>
      </x:c>
      <x:c r="I1559">
        <x:f>IFERROR(VLOOKUP(B1559,02_Referentiels!$A$5:$C$16,2,FALSE),"")</x:f>
      </x:c>
      <x:c r="J1559">
        <x:f>IF(A1559="","",IF(OR(D1559="",E1559="",F1559=""),1,IF(OR(D1559&lt;0,D1559&gt;3,E1559&lt;0,E1559&gt;3,F1559&lt;0,F1559&gt;3),1,0)))</x:f>
      </x:c>
      <x:c r="K1559">
        <x:f>IF(A1559="","",IF(G1559="",1,0))</x:f>
      </x:c>
      <x:c r="L1559">
        <x:f>IF(A1559="","",IF(COUNTIFS($A$5:$A$2004,A1559,$C$5:$C$2004,C1559)&gt;1,1,0))</x:f>
      </x:c>
    </x:row>
    <x:row r="1560">
      <x:c r="A1560" s="8" t="n"/>
      <x:c r="B1560" s="8" t="n"/>
      <x:c r="C1560" s="8" t="n"/>
      <x:c r="D1560" s="8" t="n"/>
      <x:c r="E1560" s="8" t="n"/>
      <x:c r="F1560" s="8" t="n"/>
      <x:c r="G1560" s="7">
        <x:f>IF(A1560="","",IF(01_Parametres!$B$11="Oui",IF((01_Parametres!$B$4*(D1560&gt;0)+01_Parametres!$B$5*(E1560&gt;0)+01_Parametres!$B$6*(F1560&gt;0))=0,"",(01_Parametres!$B$4*IF(D1560&gt;0,D1560,0)+01_Parametres!$B$5*IF(E1560&gt;0,E1560,0)+01_Parametres!$B$6*IF(F1560&gt;0,F1560,0))/(01_Parametres!$B$4*(D1560&gt;0)+01_Parametres!$B$5*(E1560&gt;0)+01_Parametres!$B$6*(F1560&gt;0))),IF(01_Parametres!$B$8=0,"",(01_Parametres!$B$4*D1560+01_Parametres!$B$5*E1560+01_Parametres!$B$6*F1560)/01_Parametres!$B$8)))</x:f>
      </x:c>
      <x:c r="H1560">
        <x:f>IFERROR(VLOOKUP(C1560,02_Referentiels!$A$20:$D$99,3,FALSE),"")</x:f>
      </x:c>
      <x:c r="I1560">
        <x:f>IFERROR(VLOOKUP(B1560,02_Referentiels!$A$5:$C$16,2,FALSE),"")</x:f>
      </x:c>
      <x:c r="J1560">
        <x:f>IF(A1560="","",IF(OR(D1560="",E1560="",F1560=""),1,IF(OR(D1560&lt;0,D1560&gt;3,E1560&lt;0,E1560&gt;3,F1560&lt;0,F1560&gt;3),1,0)))</x:f>
      </x:c>
      <x:c r="K1560">
        <x:f>IF(A1560="","",IF(G1560="",1,0))</x:f>
      </x:c>
      <x:c r="L1560">
        <x:f>IF(A1560="","",IF(COUNTIFS($A$5:$A$2004,A1560,$C$5:$C$2004,C1560)&gt;1,1,0))</x:f>
      </x:c>
    </x:row>
    <x:row r="1561">
      <x:c r="A1561" s="8" t="n"/>
      <x:c r="B1561" s="8" t="n"/>
      <x:c r="C1561" s="8" t="n"/>
      <x:c r="D1561" s="8" t="n"/>
      <x:c r="E1561" s="8" t="n"/>
      <x:c r="F1561" s="8" t="n"/>
      <x:c r="G1561" s="7">
        <x:f>IF(A1561="","",IF(01_Parametres!$B$11="Oui",IF((01_Parametres!$B$4*(D1561&gt;0)+01_Parametres!$B$5*(E1561&gt;0)+01_Parametres!$B$6*(F1561&gt;0))=0,"",(01_Parametres!$B$4*IF(D1561&gt;0,D1561,0)+01_Parametres!$B$5*IF(E1561&gt;0,E1561,0)+01_Parametres!$B$6*IF(F1561&gt;0,F1561,0))/(01_Parametres!$B$4*(D1561&gt;0)+01_Parametres!$B$5*(E1561&gt;0)+01_Parametres!$B$6*(F1561&gt;0))),IF(01_Parametres!$B$8=0,"",(01_Parametres!$B$4*D1561+01_Parametres!$B$5*E1561+01_Parametres!$B$6*F1561)/01_Parametres!$B$8)))</x:f>
      </x:c>
      <x:c r="H1561">
        <x:f>IFERROR(VLOOKUP(C1561,02_Referentiels!$A$20:$D$99,3,FALSE),"")</x:f>
      </x:c>
      <x:c r="I1561">
        <x:f>IFERROR(VLOOKUP(B1561,02_Referentiels!$A$5:$C$16,2,FALSE),"")</x:f>
      </x:c>
      <x:c r="J1561">
        <x:f>IF(A1561="","",IF(OR(D1561="",E1561="",F1561=""),1,IF(OR(D1561&lt;0,D1561&gt;3,E1561&lt;0,E1561&gt;3,F1561&lt;0,F1561&gt;3),1,0)))</x:f>
      </x:c>
      <x:c r="K1561">
        <x:f>IF(A1561="","",IF(G1561="",1,0))</x:f>
      </x:c>
      <x:c r="L1561">
        <x:f>IF(A1561="","",IF(COUNTIFS($A$5:$A$2004,A1561,$C$5:$C$2004,C1561)&gt;1,1,0))</x:f>
      </x:c>
    </x:row>
    <x:row r="1562">
      <x:c r="A1562" s="8" t="n"/>
      <x:c r="B1562" s="8" t="n"/>
      <x:c r="C1562" s="8" t="n"/>
      <x:c r="D1562" s="8" t="n"/>
      <x:c r="E1562" s="8" t="n"/>
      <x:c r="F1562" s="8" t="n"/>
      <x:c r="G1562" s="7">
        <x:f>IF(A1562="","",IF(01_Parametres!$B$11="Oui",IF((01_Parametres!$B$4*(D1562&gt;0)+01_Parametres!$B$5*(E1562&gt;0)+01_Parametres!$B$6*(F1562&gt;0))=0,"",(01_Parametres!$B$4*IF(D1562&gt;0,D1562,0)+01_Parametres!$B$5*IF(E1562&gt;0,E1562,0)+01_Parametres!$B$6*IF(F1562&gt;0,F1562,0))/(01_Parametres!$B$4*(D1562&gt;0)+01_Parametres!$B$5*(E1562&gt;0)+01_Parametres!$B$6*(F1562&gt;0))),IF(01_Parametres!$B$8=0,"",(01_Parametres!$B$4*D1562+01_Parametres!$B$5*E1562+01_Parametres!$B$6*F1562)/01_Parametres!$B$8)))</x:f>
      </x:c>
      <x:c r="H1562">
        <x:f>IFERROR(VLOOKUP(C1562,02_Referentiels!$A$20:$D$99,3,FALSE),"")</x:f>
      </x:c>
      <x:c r="I1562">
        <x:f>IFERROR(VLOOKUP(B1562,02_Referentiels!$A$5:$C$16,2,FALSE),"")</x:f>
      </x:c>
      <x:c r="J1562">
        <x:f>IF(A1562="","",IF(OR(D1562="",E1562="",F1562=""),1,IF(OR(D1562&lt;0,D1562&gt;3,E1562&lt;0,E1562&gt;3,F1562&lt;0,F1562&gt;3),1,0)))</x:f>
      </x:c>
      <x:c r="K1562">
        <x:f>IF(A1562="","",IF(G1562="",1,0))</x:f>
      </x:c>
      <x:c r="L1562">
        <x:f>IF(A1562="","",IF(COUNTIFS($A$5:$A$2004,A1562,$C$5:$C$2004,C1562)&gt;1,1,0))</x:f>
      </x:c>
    </x:row>
    <x:row r="1563">
      <x:c r="A1563" s="8" t="n"/>
      <x:c r="B1563" s="8" t="n"/>
      <x:c r="C1563" s="8" t="n"/>
      <x:c r="D1563" s="8" t="n"/>
      <x:c r="E1563" s="8" t="n"/>
      <x:c r="F1563" s="8" t="n"/>
      <x:c r="G1563" s="7">
        <x:f>IF(A1563="","",IF(01_Parametres!$B$11="Oui",IF((01_Parametres!$B$4*(D1563&gt;0)+01_Parametres!$B$5*(E1563&gt;0)+01_Parametres!$B$6*(F1563&gt;0))=0,"",(01_Parametres!$B$4*IF(D1563&gt;0,D1563,0)+01_Parametres!$B$5*IF(E1563&gt;0,E1563,0)+01_Parametres!$B$6*IF(F1563&gt;0,F1563,0))/(01_Parametres!$B$4*(D1563&gt;0)+01_Parametres!$B$5*(E1563&gt;0)+01_Parametres!$B$6*(F1563&gt;0))),IF(01_Parametres!$B$8=0,"",(01_Parametres!$B$4*D1563+01_Parametres!$B$5*E1563+01_Parametres!$B$6*F1563)/01_Parametres!$B$8)))</x:f>
      </x:c>
      <x:c r="H1563">
        <x:f>IFERROR(VLOOKUP(C1563,02_Referentiels!$A$20:$D$99,3,FALSE),"")</x:f>
      </x:c>
      <x:c r="I1563">
        <x:f>IFERROR(VLOOKUP(B1563,02_Referentiels!$A$5:$C$16,2,FALSE),"")</x:f>
      </x:c>
      <x:c r="J1563">
        <x:f>IF(A1563="","",IF(OR(D1563="",E1563="",F1563=""),1,IF(OR(D1563&lt;0,D1563&gt;3,E1563&lt;0,E1563&gt;3,F1563&lt;0,F1563&gt;3),1,0)))</x:f>
      </x:c>
      <x:c r="K1563">
        <x:f>IF(A1563="","",IF(G1563="",1,0))</x:f>
      </x:c>
      <x:c r="L1563">
        <x:f>IF(A1563="","",IF(COUNTIFS($A$5:$A$2004,A1563,$C$5:$C$2004,C1563)&gt;1,1,0))</x:f>
      </x:c>
    </x:row>
    <x:row r="1564">
      <x:c r="A1564" s="8" t="n"/>
      <x:c r="B1564" s="8" t="n"/>
      <x:c r="C1564" s="8" t="n"/>
      <x:c r="D1564" s="8" t="n"/>
      <x:c r="E1564" s="8" t="n"/>
      <x:c r="F1564" s="8" t="n"/>
      <x:c r="G1564" s="7">
        <x:f>IF(A1564="","",IF(01_Parametres!$B$11="Oui",IF((01_Parametres!$B$4*(D1564&gt;0)+01_Parametres!$B$5*(E1564&gt;0)+01_Parametres!$B$6*(F1564&gt;0))=0,"",(01_Parametres!$B$4*IF(D1564&gt;0,D1564,0)+01_Parametres!$B$5*IF(E1564&gt;0,E1564,0)+01_Parametres!$B$6*IF(F1564&gt;0,F1564,0))/(01_Parametres!$B$4*(D1564&gt;0)+01_Parametres!$B$5*(E1564&gt;0)+01_Parametres!$B$6*(F1564&gt;0))),IF(01_Parametres!$B$8=0,"",(01_Parametres!$B$4*D1564+01_Parametres!$B$5*E1564+01_Parametres!$B$6*F1564)/01_Parametres!$B$8)))</x:f>
      </x:c>
      <x:c r="H1564">
        <x:f>IFERROR(VLOOKUP(C1564,02_Referentiels!$A$20:$D$99,3,FALSE),"")</x:f>
      </x:c>
      <x:c r="I1564">
        <x:f>IFERROR(VLOOKUP(B1564,02_Referentiels!$A$5:$C$16,2,FALSE),"")</x:f>
      </x:c>
      <x:c r="J1564">
        <x:f>IF(A1564="","",IF(OR(D1564="",E1564="",F1564=""),1,IF(OR(D1564&lt;0,D1564&gt;3,E1564&lt;0,E1564&gt;3,F1564&lt;0,F1564&gt;3),1,0)))</x:f>
      </x:c>
      <x:c r="K1564">
        <x:f>IF(A1564="","",IF(G1564="",1,0))</x:f>
      </x:c>
      <x:c r="L1564">
        <x:f>IF(A1564="","",IF(COUNTIFS($A$5:$A$2004,A1564,$C$5:$C$2004,C1564)&gt;1,1,0))</x:f>
      </x:c>
    </x:row>
    <x:row r="1565">
      <x:c r="A1565" s="8" t="n"/>
      <x:c r="B1565" s="8" t="n"/>
      <x:c r="C1565" s="8" t="n"/>
      <x:c r="D1565" s="8" t="n"/>
      <x:c r="E1565" s="8" t="n"/>
      <x:c r="F1565" s="8" t="n"/>
      <x:c r="G1565" s="7">
        <x:f>IF(A1565="","",IF(01_Parametres!$B$11="Oui",IF((01_Parametres!$B$4*(D1565&gt;0)+01_Parametres!$B$5*(E1565&gt;0)+01_Parametres!$B$6*(F1565&gt;0))=0,"",(01_Parametres!$B$4*IF(D1565&gt;0,D1565,0)+01_Parametres!$B$5*IF(E1565&gt;0,E1565,0)+01_Parametres!$B$6*IF(F1565&gt;0,F1565,0))/(01_Parametres!$B$4*(D1565&gt;0)+01_Parametres!$B$5*(E1565&gt;0)+01_Parametres!$B$6*(F1565&gt;0))),IF(01_Parametres!$B$8=0,"",(01_Parametres!$B$4*D1565+01_Parametres!$B$5*E1565+01_Parametres!$B$6*F1565)/01_Parametres!$B$8)))</x:f>
      </x:c>
      <x:c r="H1565">
        <x:f>IFERROR(VLOOKUP(C1565,02_Referentiels!$A$20:$D$99,3,FALSE),"")</x:f>
      </x:c>
      <x:c r="I1565">
        <x:f>IFERROR(VLOOKUP(B1565,02_Referentiels!$A$5:$C$16,2,FALSE),"")</x:f>
      </x:c>
      <x:c r="J1565">
        <x:f>IF(A1565="","",IF(OR(D1565="",E1565="",F1565=""),1,IF(OR(D1565&lt;0,D1565&gt;3,E1565&lt;0,E1565&gt;3,F1565&lt;0,F1565&gt;3),1,0)))</x:f>
      </x:c>
      <x:c r="K1565">
        <x:f>IF(A1565="","",IF(G1565="",1,0))</x:f>
      </x:c>
      <x:c r="L1565">
        <x:f>IF(A1565="","",IF(COUNTIFS($A$5:$A$2004,A1565,$C$5:$C$2004,C1565)&gt;1,1,0))</x:f>
      </x:c>
    </x:row>
    <x:row r="1566">
      <x:c r="A1566" s="8" t="n"/>
      <x:c r="B1566" s="8" t="n"/>
      <x:c r="C1566" s="8" t="n"/>
      <x:c r="D1566" s="8" t="n"/>
      <x:c r="E1566" s="8" t="n"/>
      <x:c r="F1566" s="8" t="n"/>
      <x:c r="G1566" s="7">
        <x:f>IF(A1566="","",IF(01_Parametres!$B$11="Oui",IF((01_Parametres!$B$4*(D1566&gt;0)+01_Parametres!$B$5*(E1566&gt;0)+01_Parametres!$B$6*(F1566&gt;0))=0,"",(01_Parametres!$B$4*IF(D1566&gt;0,D1566,0)+01_Parametres!$B$5*IF(E1566&gt;0,E1566,0)+01_Parametres!$B$6*IF(F1566&gt;0,F1566,0))/(01_Parametres!$B$4*(D1566&gt;0)+01_Parametres!$B$5*(E1566&gt;0)+01_Parametres!$B$6*(F1566&gt;0))),IF(01_Parametres!$B$8=0,"",(01_Parametres!$B$4*D1566+01_Parametres!$B$5*E1566+01_Parametres!$B$6*F1566)/01_Parametres!$B$8)))</x:f>
      </x:c>
      <x:c r="H1566">
        <x:f>IFERROR(VLOOKUP(C1566,02_Referentiels!$A$20:$D$99,3,FALSE),"")</x:f>
      </x:c>
      <x:c r="I1566">
        <x:f>IFERROR(VLOOKUP(B1566,02_Referentiels!$A$5:$C$16,2,FALSE),"")</x:f>
      </x:c>
      <x:c r="J1566">
        <x:f>IF(A1566="","",IF(OR(D1566="",E1566="",F1566=""),1,IF(OR(D1566&lt;0,D1566&gt;3,E1566&lt;0,E1566&gt;3,F1566&lt;0,F1566&gt;3),1,0)))</x:f>
      </x:c>
      <x:c r="K1566">
        <x:f>IF(A1566="","",IF(G1566="",1,0))</x:f>
      </x:c>
      <x:c r="L1566">
        <x:f>IF(A1566="","",IF(COUNTIFS($A$5:$A$2004,A1566,$C$5:$C$2004,C1566)&gt;1,1,0))</x:f>
      </x:c>
    </x:row>
    <x:row r="1567">
      <x:c r="A1567" s="8" t="n"/>
      <x:c r="B1567" s="8" t="n"/>
      <x:c r="C1567" s="8" t="n"/>
      <x:c r="D1567" s="8" t="n"/>
      <x:c r="E1567" s="8" t="n"/>
      <x:c r="F1567" s="8" t="n"/>
      <x:c r="G1567" s="7">
        <x:f>IF(A1567="","",IF(01_Parametres!$B$11="Oui",IF((01_Parametres!$B$4*(D1567&gt;0)+01_Parametres!$B$5*(E1567&gt;0)+01_Parametres!$B$6*(F1567&gt;0))=0,"",(01_Parametres!$B$4*IF(D1567&gt;0,D1567,0)+01_Parametres!$B$5*IF(E1567&gt;0,E1567,0)+01_Parametres!$B$6*IF(F1567&gt;0,F1567,0))/(01_Parametres!$B$4*(D1567&gt;0)+01_Parametres!$B$5*(E1567&gt;0)+01_Parametres!$B$6*(F1567&gt;0))),IF(01_Parametres!$B$8=0,"",(01_Parametres!$B$4*D1567+01_Parametres!$B$5*E1567+01_Parametres!$B$6*F1567)/01_Parametres!$B$8)))</x:f>
      </x:c>
      <x:c r="H1567">
        <x:f>IFERROR(VLOOKUP(C1567,02_Referentiels!$A$20:$D$99,3,FALSE),"")</x:f>
      </x:c>
      <x:c r="I1567">
        <x:f>IFERROR(VLOOKUP(B1567,02_Referentiels!$A$5:$C$16,2,FALSE),"")</x:f>
      </x:c>
      <x:c r="J1567">
        <x:f>IF(A1567="","",IF(OR(D1567="",E1567="",F1567=""),1,IF(OR(D1567&lt;0,D1567&gt;3,E1567&lt;0,E1567&gt;3,F1567&lt;0,F1567&gt;3),1,0)))</x:f>
      </x:c>
      <x:c r="K1567">
        <x:f>IF(A1567="","",IF(G1567="",1,0))</x:f>
      </x:c>
      <x:c r="L1567">
        <x:f>IF(A1567="","",IF(COUNTIFS($A$5:$A$2004,A1567,$C$5:$C$2004,C1567)&gt;1,1,0))</x:f>
      </x:c>
    </x:row>
    <x:row r="1568">
      <x:c r="A1568" s="8" t="n"/>
      <x:c r="B1568" s="8" t="n"/>
      <x:c r="C1568" s="8" t="n"/>
      <x:c r="D1568" s="8" t="n"/>
      <x:c r="E1568" s="8" t="n"/>
      <x:c r="F1568" s="8" t="n"/>
      <x:c r="G1568" s="7">
        <x:f>IF(A1568="","",IF(01_Parametres!$B$11="Oui",IF((01_Parametres!$B$4*(D1568&gt;0)+01_Parametres!$B$5*(E1568&gt;0)+01_Parametres!$B$6*(F1568&gt;0))=0,"",(01_Parametres!$B$4*IF(D1568&gt;0,D1568,0)+01_Parametres!$B$5*IF(E1568&gt;0,E1568,0)+01_Parametres!$B$6*IF(F1568&gt;0,F1568,0))/(01_Parametres!$B$4*(D1568&gt;0)+01_Parametres!$B$5*(E1568&gt;0)+01_Parametres!$B$6*(F1568&gt;0))),IF(01_Parametres!$B$8=0,"",(01_Parametres!$B$4*D1568+01_Parametres!$B$5*E1568+01_Parametres!$B$6*F1568)/01_Parametres!$B$8)))</x:f>
      </x:c>
      <x:c r="H1568">
        <x:f>IFERROR(VLOOKUP(C1568,02_Referentiels!$A$20:$D$99,3,FALSE),"")</x:f>
      </x:c>
      <x:c r="I1568">
        <x:f>IFERROR(VLOOKUP(B1568,02_Referentiels!$A$5:$C$16,2,FALSE),"")</x:f>
      </x:c>
      <x:c r="J1568">
        <x:f>IF(A1568="","",IF(OR(D1568="",E1568="",F1568=""),1,IF(OR(D1568&lt;0,D1568&gt;3,E1568&lt;0,E1568&gt;3,F1568&lt;0,F1568&gt;3),1,0)))</x:f>
      </x:c>
      <x:c r="K1568">
        <x:f>IF(A1568="","",IF(G1568="",1,0))</x:f>
      </x:c>
      <x:c r="L1568">
        <x:f>IF(A1568="","",IF(COUNTIFS($A$5:$A$2004,A1568,$C$5:$C$2004,C1568)&gt;1,1,0))</x:f>
      </x:c>
    </x:row>
    <x:row r="1569">
      <x:c r="A1569" s="8" t="n"/>
      <x:c r="B1569" s="8" t="n"/>
      <x:c r="C1569" s="8" t="n"/>
      <x:c r="D1569" s="8" t="n"/>
      <x:c r="E1569" s="8" t="n"/>
      <x:c r="F1569" s="8" t="n"/>
      <x:c r="G1569" s="7">
        <x:f>IF(A1569="","",IF(01_Parametres!$B$11="Oui",IF((01_Parametres!$B$4*(D1569&gt;0)+01_Parametres!$B$5*(E1569&gt;0)+01_Parametres!$B$6*(F1569&gt;0))=0,"",(01_Parametres!$B$4*IF(D1569&gt;0,D1569,0)+01_Parametres!$B$5*IF(E1569&gt;0,E1569,0)+01_Parametres!$B$6*IF(F1569&gt;0,F1569,0))/(01_Parametres!$B$4*(D1569&gt;0)+01_Parametres!$B$5*(E1569&gt;0)+01_Parametres!$B$6*(F1569&gt;0))),IF(01_Parametres!$B$8=0,"",(01_Parametres!$B$4*D1569+01_Parametres!$B$5*E1569+01_Parametres!$B$6*F1569)/01_Parametres!$B$8)))</x:f>
      </x:c>
      <x:c r="H1569">
        <x:f>IFERROR(VLOOKUP(C1569,02_Referentiels!$A$20:$D$99,3,FALSE),"")</x:f>
      </x:c>
      <x:c r="I1569">
        <x:f>IFERROR(VLOOKUP(B1569,02_Referentiels!$A$5:$C$16,2,FALSE),"")</x:f>
      </x:c>
      <x:c r="J1569">
        <x:f>IF(A1569="","",IF(OR(D1569="",E1569="",F1569=""),1,IF(OR(D1569&lt;0,D1569&gt;3,E1569&lt;0,E1569&gt;3,F1569&lt;0,F1569&gt;3),1,0)))</x:f>
      </x:c>
      <x:c r="K1569">
        <x:f>IF(A1569="","",IF(G1569="",1,0))</x:f>
      </x:c>
      <x:c r="L1569">
        <x:f>IF(A1569="","",IF(COUNTIFS($A$5:$A$2004,A1569,$C$5:$C$2004,C1569)&gt;1,1,0))</x:f>
      </x:c>
    </x:row>
    <x:row r="1570">
      <x:c r="A1570" s="8" t="n"/>
      <x:c r="B1570" s="8" t="n"/>
      <x:c r="C1570" s="8" t="n"/>
      <x:c r="D1570" s="8" t="n"/>
      <x:c r="E1570" s="8" t="n"/>
      <x:c r="F1570" s="8" t="n"/>
      <x:c r="G1570" s="7">
        <x:f>IF(A1570="","",IF(01_Parametres!$B$11="Oui",IF((01_Parametres!$B$4*(D1570&gt;0)+01_Parametres!$B$5*(E1570&gt;0)+01_Parametres!$B$6*(F1570&gt;0))=0,"",(01_Parametres!$B$4*IF(D1570&gt;0,D1570,0)+01_Parametres!$B$5*IF(E1570&gt;0,E1570,0)+01_Parametres!$B$6*IF(F1570&gt;0,F1570,0))/(01_Parametres!$B$4*(D1570&gt;0)+01_Parametres!$B$5*(E1570&gt;0)+01_Parametres!$B$6*(F1570&gt;0))),IF(01_Parametres!$B$8=0,"",(01_Parametres!$B$4*D1570+01_Parametres!$B$5*E1570+01_Parametres!$B$6*F1570)/01_Parametres!$B$8)))</x:f>
      </x:c>
      <x:c r="H1570">
        <x:f>IFERROR(VLOOKUP(C1570,02_Referentiels!$A$20:$D$99,3,FALSE),"")</x:f>
      </x:c>
      <x:c r="I1570">
        <x:f>IFERROR(VLOOKUP(B1570,02_Referentiels!$A$5:$C$16,2,FALSE),"")</x:f>
      </x:c>
      <x:c r="J1570">
        <x:f>IF(A1570="","",IF(OR(D1570="",E1570="",F1570=""),1,IF(OR(D1570&lt;0,D1570&gt;3,E1570&lt;0,E1570&gt;3,F1570&lt;0,F1570&gt;3),1,0)))</x:f>
      </x:c>
      <x:c r="K1570">
        <x:f>IF(A1570="","",IF(G1570="",1,0))</x:f>
      </x:c>
      <x:c r="L1570">
        <x:f>IF(A1570="","",IF(COUNTIFS($A$5:$A$2004,A1570,$C$5:$C$2004,C1570)&gt;1,1,0))</x:f>
      </x:c>
    </x:row>
    <x:row r="1571">
      <x:c r="A1571" s="8" t="n"/>
      <x:c r="B1571" s="8" t="n"/>
      <x:c r="C1571" s="8" t="n"/>
      <x:c r="D1571" s="8" t="n"/>
      <x:c r="E1571" s="8" t="n"/>
      <x:c r="F1571" s="8" t="n"/>
      <x:c r="G1571" s="7">
        <x:f>IF(A1571="","",IF(01_Parametres!$B$11="Oui",IF((01_Parametres!$B$4*(D1571&gt;0)+01_Parametres!$B$5*(E1571&gt;0)+01_Parametres!$B$6*(F1571&gt;0))=0,"",(01_Parametres!$B$4*IF(D1571&gt;0,D1571,0)+01_Parametres!$B$5*IF(E1571&gt;0,E1571,0)+01_Parametres!$B$6*IF(F1571&gt;0,F1571,0))/(01_Parametres!$B$4*(D1571&gt;0)+01_Parametres!$B$5*(E1571&gt;0)+01_Parametres!$B$6*(F1571&gt;0))),IF(01_Parametres!$B$8=0,"",(01_Parametres!$B$4*D1571+01_Parametres!$B$5*E1571+01_Parametres!$B$6*F1571)/01_Parametres!$B$8)))</x:f>
      </x:c>
      <x:c r="H1571">
        <x:f>IFERROR(VLOOKUP(C1571,02_Referentiels!$A$20:$D$99,3,FALSE),"")</x:f>
      </x:c>
      <x:c r="I1571">
        <x:f>IFERROR(VLOOKUP(B1571,02_Referentiels!$A$5:$C$16,2,FALSE),"")</x:f>
      </x:c>
      <x:c r="J1571">
        <x:f>IF(A1571="","",IF(OR(D1571="",E1571="",F1571=""),1,IF(OR(D1571&lt;0,D1571&gt;3,E1571&lt;0,E1571&gt;3,F1571&lt;0,F1571&gt;3),1,0)))</x:f>
      </x:c>
      <x:c r="K1571">
        <x:f>IF(A1571="","",IF(G1571="",1,0))</x:f>
      </x:c>
      <x:c r="L1571">
        <x:f>IF(A1571="","",IF(COUNTIFS($A$5:$A$2004,A1571,$C$5:$C$2004,C1571)&gt;1,1,0))</x:f>
      </x:c>
    </x:row>
    <x:row r="1572">
      <x:c r="A1572" s="8" t="n"/>
      <x:c r="B1572" s="8" t="n"/>
      <x:c r="C1572" s="8" t="n"/>
      <x:c r="D1572" s="8" t="n"/>
      <x:c r="E1572" s="8" t="n"/>
      <x:c r="F1572" s="8" t="n"/>
      <x:c r="G1572" s="7">
        <x:f>IF(A1572="","",IF(01_Parametres!$B$11="Oui",IF((01_Parametres!$B$4*(D1572&gt;0)+01_Parametres!$B$5*(E1572&gt;0)+01_Parametres!$B$6*(F1572&gt;0))=0,"",(01_Parametres!$B$4*IF(D1572&gt;0,D1572,0)+01_Parametres!$B$5*IF(E1572&gt;0,E1572,0)+01_Parametres!$B$6*IF(F1572&gt;0,F1572,0))/(01_Parametres!$B$4*(D1572&gt;0)+01_Parametres!$B$5*(E1572&gt;0)+01_Parametres!$B$6*(F1572&gt;0))),IF(01_Parametres!$B$8=0,"",(01_Parametres!$B$4*D1572+01_Parametres!$B$5*E1572+01_Parametres!$B$6*F1572)/01_Parametres!$B$8)))</x:f>
      </x:c>
      <x:c r="H1572">
        <x:f>IFERROR(VLOOKUP(C1572,02_Referentiels!$A$20:$D$99,3,FALSE),"")</x:f>
      </x:c>
      <x:c r="I1572">
        <x:f>IFERROR(VLOOKUP(B1572,02_Referentiels!$A$5:$C$16,2,FALSE),"")</x:f>
      </x:c>
      <x:c r="J1572">
        <x:f>IF(A1572="","",IF(OR(D1572="",E1572="",F1572=""),1,IF(OR(D1572&lt;0,D1572&gt;3,E1572&lt;0,E1572&gt;3,F1572&lt;0,F1572&gt;3),1,0)))</x:f>
      </x:c>
      <x:c r="K1572">
        <x:f>IF(A1572="","",IF(G1572="",1,0))</x:f>
      </x:c>
      <x:c r="L1572">
        <x:f>IF(A1572="","",IF(COUNTIFS($A$5:$A$2004,A1572,$C$5:$C$2004,C1572)&gt;1,1,0))</x:f>
      </x:c>
    </x:row>
    <x:row r="1573">
      <x:c r="A1573" s="8" t="n"/>
      <x:c r="B1573" s="8" t="n"/>
      <x:c r="C1573" s="8" t="n"/>
      <x:c r="D1573" s="8" t="n"/>
      <x:c r="E1573" s="8" t="n"/>
      <x:c r="F1573" s="8" t="n"/>
      <x:c r="G1573" s="7">
        <x:f>IF(A1573="","",IF(01_Parametres!$B$11="Oui",IF((01_Parametres!$B$4*(D1573&gt;0)+01_Parametres!$B$5*(E1573&gt;0)+01_Parametres!$B$6*(F1573&gt;0))=0,"",(01_Parametres!$B$4*IF(D1573&gt;0,D1573,0)+01_Parametres!$B$5*IF(E1573&gt;0,E1573,0)+01_Parametres!$B$6*IF(F1573&gt;0,F1573,0))/(01_Parametres!$B$4*(D1573&gt;0)+01_Parametres!$B$5*(E1573&gt;0)+01_Parametres!$B$6*(F1573&gt;0))),IF(01_Parametres!$B$8=0,"",(01_Parametres!$B$4*D1573+01_Parametres!$B$5*E1573+01_Parametres!$B$6*F1573)/01_Parametres!$B$8)))</x:f>
      </x:c>
      <x:c r="H1573">
        <x:f>IFERROR(VLOOKUP(C1573,02_Referentiels!$A$20:$D$99,3,FALSE),"")</x:f>
      </x:c>
      <x:c r="I1573">
        <x:f>IFERROR(VLOOKUP(B1573,02_Referentiels!$A$5:$C$16,2,FALSE),"")</x:f>
      </x:c>
      <x:c r="J1573">
        <x:f>IF(A1573="","",IF(OR(D1573="",E1573="",F1573=""),1,IF(OR(D1573&lt;0,D1573&gt;3,E1573&lt;0,E1573&gt;3,F1573&lt;0,F1573&gt;3),1,0)))</x:f>
      </x:c>
      <x:c r="K1573">
        <x:f>IF(A1573="","",IF(G1573="",1,0))</x:f>
      </x:c>
      <x:c r="L1573">
        <x:f>IF(A1573="","",IF(COUNTIFS($A$5:$A$2004,A1573,$C$5:$C$2004,C1573)&gt;1,1,0))</x:f>
      </x:c>
    </x:row>
    <x:row r="1574">
      <x:c r="A1574" s="8" t="n"/>
      <x:c r="B1574" s="8" t="n"/>
      <x:c r="C1574" s="8" t="n"/>
      <x:c r="D1574" s="8" t="n"/>
      <x:c r="E1574" s="8" t="n"/>
      <x:c r="F1574" s="8" t="n"/>
      <x:c r="G1574" s="7">
        <x:f>IF(A1574="","",IF(01_Parametres!$B$11="Oui",IF((01_Parametres!$B$4*(D1574&gt;0)+01_Parametres!$B$5*(E1574&gt;0)+01_Parametres!$B$6*(F1574&gt;0))=0,"",(01_Parametres!$B$4*IF(D1574&gt;0,D1574,0)+01_Parametres!$B$5*IF(E1574&gt;0,E1574,0)+01_Parametres!$B$6*IF(F1574&gt;0,F1574,0))/(01_Parametres!$B$4*(D1574&gt;0)+01_Parametres!$B$5*(E1574&gt;0)+01_Parametres!$B$6*(F1574&gt;0))),IF(01_Parametres!$B$8=0,"",(01_Parametres!$B$4*D1574+01_Parametres!$B$5*E1574+01_Parametres!$B$6*F1574)/01_Parametres!$B$8)))</x:f>
      </x:c>
      <x:c r="H1574">
        <x:f>IFERROR(VLOOKUP(C1574,02_Referentiels!$A$20:$D$99,3,FALSE),"")</x:f>
      </x:c>
      <x:c r="I1574">
        <x:f>IFERROR(VLOOKUP(B1574,02_Referentiels!$A$5:$C$16,2,FALSE),"")</x:f>
      </x:c>
      <x:c r="J1574">
        <x:f>IF(A1574="","",IF(OR(D1574="",E1574="",F1574=""),1,IF(OR(D1574&lt;0,D1574&gt;3,E1574&lt;0,E1574&gt;3,F1574&lt;0,F1574&gt;3),1,0)))</x:f>
      </x:c>
      <x:c r="K1574">
        <x:f>IF(A1574="","",IF(G1574="",1,0))</x:f>
      </x:c>
      <x:c r="L1574">
        <x:f>IF(A1574="","",IF(COUNTIFS($A$5:$A$2004,A1574,$C$5:$C$2004,C1574)&gt;1,1,0))</x:f>
      </x:c>
    </x:row>
    <x:row r="1575">
      <x:c r="A1575" s="8" t="n"/>
      <x:c r="B1575" s="8" t="n"/>
      <x:c r="C1575" s="8" t="n"/>
      <x:c r="D1575" s="8" t="n"/>
      <x:c r="E1575" s="8" t="n"/>
      <x:c r="F1575" s="8" t="n"/>
      <x:c r="G1575" s="7">
        <x:f>IF(A1575="","",IF(01_Parametres!$B$11="Oui",IF((01_Parametres!$B$4*(D1575&gt;0)+01_Parametres!$B$5*(E1575&gt;0)+01_Parametres!$B$6*(F1575&gt;0))=0,"",(01_Parametres!$B$4*IF(D1575&gt;0,D1575,0)+01_Parametres!$B$5*IF(E1575&gt;0,E1575,0)+01_Parametres!$B$6*IF(F1575&gt;0,F1575,0))/(01_Parametres!$B$4*(D1575&gt;0)+01_Parametres!$B$5*(E1575&gt;0)+01_Parametres!$B$6*(F1575&gt;0))),IF(01_Parametres!$B$8=0,"",(01_Parametres!$B$4*D1575+01_Parametres!$B$5*E1575+01_Parametres!$B$6*F1575)/01_Parametres!$B$8)))</x:f>
      </x:c>
      <x:c r="H1575">
        <x:f>IFERROR(VLOOKUP(C1575,02_Referentiels!$A$20:$D$99,3,FALSE),"")</x:f>
      </x:c>
      <x:c r="I1575">
        <x:f>IFERROR(VLOOKUP(B1575,02_Referentiels!$A$5:$C$16,2,FALSE),"")</x:f>
      </x:c>
      <x:c r="J1575">
        <x:f>IF(A1575="","",IF(OR(D1575="",E1575="",F1575=""),1,IF(OR(D1575&lt;0,D1575&gt;3,E1575&lt;0,E1575&gt;3,F1575&lt;0,F1575&gt;3),1,0)))</x:f>
      </x:c>
      <x:c r="K1575">
        <x:f>IF(A1575="","",IF(G1575="",1,0))</x:f>
      </x:c>
      <x:c r="L1575">
        <x:f>IF(A1575="","",IF(COUNTIFS($A$5:$A$2004,A1575,$C$5:$C$2004,C1575)&gt;1,1,0))</x:f>
      </x:c>
    </x:row>
    <x:row r="1576">
      <x:c r="A1576" s="8" t="n"/>
      <x:c r="B1576" s="8" t="n"/>
      <x:c r="C1576" s="8" t="n"/>
      <x:c r="D1576" s="8" t="n"/>
      <x:c r="E1576" s="8" t="n"/>
      <x:c r="F1576" s="8" t="n"/>
      <x:c r="G1576" s="7">
        <x:f>IF(A1576="","",IF(01_Parametres!$B$11="Oui",IF((01_Parametres!$B$4*(D1576&gt;0)+01_Parametres!$B$5*(E1576&gt;0)+01_Parametres!$B$6*(F1576&gt;0))=0,"",(01_Parametres!$B$4*IF(D1576&gt;0,D1576,0)+01_Parametres!$B$5*IF(E1576&gt;0,E1576,0)+01_Parametres!$B$6*IF(F1576&gt;0,F1576,0))/(01_Parametres!$B$4*(D1576&gt;0)+01_Parametres!$B$5*(E1576&gt;0)+01_Parametres!$B$6*(F1576&gt;0))),IF(01_Parametres!$B$8=0,"",(01_Parametres!$B$4*D1576+01_Parametres!$B$5*E1576+01_Parametres!$B$6*F1576)/01_Parametres!$B$8)))</x:f>
      </x:c>
      <x:c r="H1576">
        <x:f>IFERROR(VLOOKUP(C1576,02_Referentiels!$A$20:$D$99,3,FALSE),"")</x:f>
      </x:c>
      <x:c r="I1576">
        <x:f>IFERROR(VLOOKUP(B1576,02_Referentiels!$A$5:$C$16,2,FALSE),"")</x:f>
      </x:c>
      <x:c r="J1576">
        <x:f>IF(A1576="","",IF(OR(D1576="",E1576="",F1576=""),1,IF(OR(D1576&lt;0,D1576&gt;3,E1576&lt;0,E1576&gt;3,F1576&lt;0,F1576&gt;3),1,0)))</x:f>
      </x:c>
      <x:c r="K1576">
        <x:f>IF(A1576="","",IF(G1576="",1,0))</x:f>
      </x:c>
      <x:c r="L1576">
        <x:f>IF(A1576="","",IF(COUNTIFS($A$5:$A$2004,A1576,$C$5:$C$2004,C1576)&gt;1,1,0))</x:f>
      </x:c>
    </x:row>
    <x:row r="1577">
      <x:c r="A1577" s="8" t="n"/>
      <x:c r="B1577" s="8" t="n"/>
      <x:c r="C1577" s="8" t="n"/>
      <x:c r="D1577" s="8" t="n"/>
      <x:c r="E1577" s="8" t="n"/>
      <x:c r="F1577" s="8" t="n"/>
      <x:c r="G1577" s="7">
        <x:f>IF(A1577="","",IF(01_Parametres!$B$11="Oui",IF((01_Parametres!$B$4*(D1577&gt;0)+01_Parametres!$B$5*(E1577&gt;0)+01_Parametres!$B$6*(F1577&gt;0))=0,"",(01_Parametres!$B$4*IF(D1577&gt;0,D1577,0)+01_Parametres!$B$5*IF(E1577&gt;0,E1577,0)+01_Parametres!$B$6*IF(F1577&gt;0,F1577,0))/(01_Parametres!$B$4*(D1577&gt;0)+01_Parametres!$B$5*(E1577&gt;0)+01_Parametres!$B$6*(F1577&gt;0))),IF(01_Parametres!$B$8=0,"",(01_Parametres!$B$4*D1577+01_Parametres!$B$5*E1577+01_Parametres!$B$6*F1577)/01_Parametres!$B$8)))</x:f>
      </x:c>
      <x:c r="H1577">
        <x:f>IFERROR(VLOOKUP(C1577,02_Referentiels!$A$20:$D$99,3,FALSE),"")</x:f>
      </x:c>
      <x:c r="I1577">
        <x:f>IFERROR(VLOOKUP(B1577,02_Referentiels!$A$5:$C$16,2,FALSE),"")</x:f>
      </x:c>
      <x:c r="J1577">
        <x:f>IF(A1577="","",IF(OR(D1577="",E1577="",F1577=""),1,IF(OR(D1577&lt;0,D1577&gt;3,E1577&lt;0,E1577&gt;3,F1577&lt;0,F1577&gt;3),1,0)))</x:f>
      </x:c>
      <x:c r="K1577">
        <x:f>IF(A1577="","",IF(G1577="",1,0))</x:f>
      </x:c>
      <x:c r="L1577">
        <x:f>IF(A1577="","",IF(COUNTIFS($A$5:$A$2004,A1577,$C$5:$C$2004,C1577)&gt;1,1,0))</x:f>
      </x:c>
    </x:row>
    <x:row r="1578">
      <x:c r="A1578" s="8" t="n"/>
      <x:c r="B1578" s="8" t="n"/>
      <x:c r="C1578" s="8" t="n"/>
      <x:c r="D1578" s="8" t="n"/>
      <x:c r="E1578" s="8" t="n"/>
      <x:c r="F1578" s="8" t="n"/>
      <x:c r="G1578" s="7">
        <x:f>IF(A1578="","",IF(01_Parametres!$B$11="Oui",IF((01_Parametres!$B$4*(D1578&gt;0)+01_Parametres!$B$5*(E1578&gt;0)+01_Parametres!$B$6*(F1578&gt;0))=0,"",(01_Parametres!$B$4*IF(D1578&gt;0,D1578,0)+01_Parametres!$B$5*IF(E1578&gt;0,E1578,0)+01_Parametres!$B$6*IF(F1578&gt;0,F1578,0))/(01_Parametres!$B$4*(D1578&gt;0)+01_Parametres!$B$5*(E1578&gt;0)+01_Parametres!$B$6*(F1578&gt;0))),IF(01_Parametres!$B$8=0,"",(01_Parametres!$B$4*D1578+01_Parametres!$B$5*E1578+01_Parametres!$B$6*F1578)/01_Parametres!$B$8)))</x:f>
      </x:c>
      <x:c r="H1578">
        <x:f>IFERROR(VLOOKUP(C1578,02_Referentiels!$A$20:$D$99,3,FALSE),"")</x:f>
      </x:c>
      <x:c r="I1578">
        <x:f>IFERROR(VLOOKUP(B1578,02_Referentiels!$A$5:$C$16,2,FALSE),"")</x:f>
      </x:c>
      <x:c r="J1578">
        <x:f>IF(A1578="","",IF(OR(D1578="",E1578="",F1578=""),1,IF(OR(D1578&lt;0,D1578&gt;3,E1578&lt;0,E1578&gt;3,F1578&lt;0,F1578&gt;3),1,0)))</x:f>
      </x:c>
      <x:c r="K1578">
        <x:f>IF(A1578="","",IF(G1578="",1,0))</x:f>
      </x:c>
      <x:c r="L1578">
        <x:f>IF(A1578="","",IF(COUNTIFS($A$5:$A$2004,A1578,$C$5:$C$2004,C1578)&gt;1,1,0))</x:f>
      </x:c>
    </x:row>
    <x:row r="1579">
      <x:c r="A1579" s="8" t="n"/>
      <x:c r="B1579" s="8" t="n"/>
      <x:c r="C1579" s="8" t="n"/>
      <x:c r="D1579" s="8" t="n"/>
      <x:c r="E1579" s="8" t="n"/>
      <x:c r="F1579" s="8" t="n"/>
      <x:c r="G1579" s="7">
        <x:f>IF(A1579="","",IF(01_Parametres!$B$11="Oui",IF((01_Parametres!$B$4*(D1579&gt;0)+01_Parametres!$B$5*(E1579&gt;0)+01_Parametres!$B$6*(F1579&gt;0))=0,"",(01_Parametres!$B$4*IF(D1579&gt;0,D1579,0)+01_Parametres!$B$5*IF(E1579&gt;0,E1579,0)+01_Parametres!$B$6*IF(F1579&gt;0,F1579,0))/(01_Parametres!$B$4*(D1579&gt;0)+01_Parametres!$B$5*(E1579&gt;0)+01_Parametres!$B$6*(F1579&gt;0))),IF(01_Parametres!$B$8=0,"",(01_Parametres!$B$4*D1579+01_Parametres!$B$5*E1579+01_Parametres!$B$6*F1579)/01_Parametres!$B$8)))</x:f>
      </x:c>
      <x:c r="H1579">
        <x:f>IFERROR(VLOOKUP(C1579,02_Referentiels!$A$20:$D$99,3,FALSE),"")</x:f>
      </x:c>
      <x:c r="I1579">
        <x:f>IFERROR(VLOOKUP(B1579,02_Referentiels!$A$5:$C$16,2,FALSE),"")</x:f>
      </x:c>
      <x:c r="J1579">
        <x:f>IF(A1579="","",IF(OR(D1579="",E1579="",F1579=""),1,IF(OR(D1579&lt;0,D1579&gt;3,E1579&lt;0,E1579&gt;3,F1579&lt;0,F1579&gt;3),1,0)))</x:f>
      </x:c>
      <x:c r="K1579">
        <x:f>IF(A1579="","",IF(G1579="",1,0))</x:f>
      </x:c>
      <x:c r="L1579">
        <x:f>IF(A1579="","",IF(COUNTIFS($A$5:$A$2004,A1579,$C$5:$C$2004,C1579)&gt;1,1,0))</x:f>
      </x:c>
    </x:row>
    <x:row r="1580">
      <x:c r="A1580" s="8" t="n"/>
      <x:c r="B1580" s="8" t="n"/>
      <x:c r="C1580" s="8" t="n"/>
      <x:c r="D1580" s="8" t="n"/>
      <x:c r="E1580" s="8" t="n"/>
      <x:c r="F1580" s="8" t="n"/>
      <x:c r="G1580" s="7">
        <x:f>IF(A1580="","",IF(01_Parametres!$B$11="Oui",IF((01_Parametres!$B$4*(D1580&gt;0)+01_Parametres!$B$5*(E1580&gt;0)+01_Parametres!$B$6*(F1580&gt;0))=0,"",(01_Parametres!$B$4*IF(D1580&gt;0,D1580,0)+01_Parametres!$B$5*IF(E1580&gt;0,E1580,0)+01_Parametres!$B$6*IF(F1580&gt;0,F1580,0))/(01_Parametres!$B$4*(D1580&gt;0)+01_Parametres!$B$5*(E1580&gt;0)+01_Parametres!$B$6*(F1580&gt;0))),IF(01_Parametres!$B$8=0,"",(01_Parametres!$B$4*D1580+01_Parametres!$B$5*E1580+01_Parametres!$B$6*F1580)/01_Parametres!$B$8)))</x:f>
      </x:c>
      <x:c r="H1580">
        <x:f>IFERROR(VLOOKUP(C1580,02_Referentiels!$A$20:$D$99,3,FALSE),"")</x:f>
      </x:c>
      <x:c r="I1580">
        <x:f>IFERROR(VLOOKUP(B1580,02_Referentiels!$A$5:$C$16,2,FALSE),"")</x:f>
      </x:c>
      <x:c r="J1580">
        <x:f>IF(A1580="","",IF(OR(D1580="",E1580="",F1580=""),1,IF(OR(D1580&lt;0,D1580&gt;3,E1580&lt;0,E1580&gt;3,F1580&lt;0,F1580&gt;3),1,0)))</x:f>
      </x:c>
      <x:c r="K1580">
        <x:f>IF(A1580="","",IF(G1580="",1,0))</x:f>
      </x:c>
      <x:c r="L1580">
        <x:f>IF(A1580="","",IF(COUNTIFS($A$5:$A$2004,A1580,$C$5:$C$2004,C1580)&gt;1,1,0))</x:f>
      </x:c>
    </x:row>
    <x:row r="1581">
      <x:c r="A1581" s="8" t="n"/>
      <x:c r="B1581" s="8" t="n"/>
      <x:c r="C1581" s="8" t="n"/>
      <x:c r="D1581" s="8" t="n"/>
      <x:c r="E1581" s="8" t="n"/>
      <x:c r="F1581" s="8" t="n"/>
      <x:c r="G1581" s="7">
        <x:f>IF(A1581="","",IF(01_Parametres!$B$11="Oui",IF((01_Parametres!$B$4*(D1581&gt;0)+01_Parametres!$B$5*(E1581&gt;0)+01_Parametres!$B$6*(F1581&gt;0))=0,"",(01_Parametres!$B$4*IF(D1581&gt;0,D1581,0)+01_Parametres!$B$5*IF(E1581&gt;0,E1581,0)+01_Parametres!$B$6*IF(F1581&gt;0,F1581,0))/(01_Parametres!$B$4*(D1581&gt;0)+01_Parametres!$B$5*(E1581&gt;0)+01_Parametres!$B$6*(F1581&gt;0))),IF(01_Parametres!$B$8=0,"",(01_Parametres!$B$4*D1581+01_Parametres!$B$5*E1581+01_Parametres!$B$6*F1581)/01_Parametres!$B$8)))</x:f>
      </x:c>
      <x:c r="H1581">
        <x:f>IFERROR(VLOOKUP(C1581,02_Referentiels!$A$20:$D$99,3,FALSE),"")</x:f>
      </x:c>
      <x:c r="I1581">
        <x:f>IFERROR(VLOOKUP(B1581,02_Referentiels!$A$5:$C$16,2,FALSE),"")</x:f>
      </x:c>
      <x:c r="J1581">
        <x:f>IF(A1581="","",IF(OR(D1581="",E1581="",F1581=""),1,IF(OR(D1581&lt;0,D1581&gt;3,E1581&lt;0,E1581&gt;3,F1581&lt;0,F1581&gt;3),1,0)))</x:f>
      </x:c>
      <x:c r="K1581">
        <x:f>IF(A1581="","",IF(G1581="",1,0))</x:f>
      </x:c>
      <x:c r="L1581">
        <x:f>IF(A1581="","",IF(COUNTIFS($A$5:$A$2004,A1581,$C$5:$C$2004,C1581)&gt;1,1,0))</x:f>
      </x:c>
    </x:row>
    <x:row r="1582">
      <x:c r="A1582" s="8" t="n"/>
      <x:c r="B1582" s="8" t="n"/>
      <x:c r="C1582" s="8" t="n"/>
      <x:c r="D1582" s="8" t="n"/>
      <x:c r="E1582" s="8" t="n"/>
      <x:c r="F1582" s="8" t="n"/>
      <x:c r="G1582" s="7">
        <x:f>IF(A1582="","",IF(01_Parametres!$B$11="Oui",IF((01_Parametres!$B$4*(D1582&gt;0)+01_Parametres!$B$5*(E1582&gt;0)+01_Parametres!$B$6*(F1582&gt;0))=0,"",(01_Parametres!$B$4*IF(D1582&gt;0,D1582,0)+01_Parametres!$B$5*IF(E1582&gt;0,E1582,0)+01_Parametres!$B$6*IF(F1582&gt;0,F1582,0))/(01_Parametres!$B$4*(D1582&gt;0)+01_Parametres!$B$5*(E1582&gt;0)+01_Parametres!$B$6*(F1582&gt;0))),IF(01_Parametres!$B$8=0,"",(01_Parametres!$B$4*D1582+01_Parametres!$B$5*E1582+01_Parametres!$B$6*F1582)/01_Parametres!$B$8)))</x:f>
      </x:c>
      <x:c r="H1582">
        <x:f>IFERROR(VLOOKUP(C1582,02_Referentiels!$A$20:$D$99,3,FALSE),"")</x:f>
      </x:c>
      <x:c r="I1582">
        <x:f>IFERROR(VLOOKUP(B1582,02_Referentiels!$A$5:$C$16,2,FALSE),"")</x:f>
      </x:c>
      <x:c r="J1582">
        <x:f>IF(A1582="","",IF(OR(D1582="",E1582="",F1582=""),1,IF(OR(D1582&lt;0,D1582&gt;3,E1582&lt;0,E1582&gt;3,F1582&lt;0,F1582&gt;3),1,0)))</x:f>
      </x:c>
      <x:c r="K1582">
        <x:f>IF(A1582="","",IF(G1582="",1,0))</x:f>
      </x:c>
      <x:c r="L1582">
        <x:f>IF(A1582="","",IF(COUNTIFS($A$5:$A$2004,A1582,$C$5:$C$2004,C1582)&gt;1,1,0))</x:f>
      </x:c>
    </x:row>
    <x:row r="1583">
      <x:c r="A1583" s="8" t="n"/>
      <x:c r="B1583" s="8" t="n"/>
      <x:c r="C1583" s="8" t="n"/>
      <x:c r="D1583" s="8" t="n"/>
      <x:c r="E1583" s="8" t="n"/>
      <x:c r="F1583" s="8" t="n"/>
      <x:c r="G1583" s="7">
        <x:f>IF(A1583="","",IF(01_Parametres!$B$11="Oui",IF((01_Parametres!$B$4*(D1583&gt;0)+01_Parametres!$B$5*(E1583&gt;0)+01_Parametres!$B$6*(F1583&gt;0))=0,"",(01_Parametres!$B$4*IF(D1583&gt;0,D1583,0)+01_Parametres!$B$5*IF(E1583&gt;0,E1583,0)+01_Parametres!$B$6*IF(F1583&gt;0,F1583,0))/(01_Parametres!$B$4*(D1583&gt;0)+01_Parametres!$B$5*(E1583&gt;0)+01_Parametres!$B$6*(F1583&gt;0))),IF(01_Parametres!$B$8=0,"",(01_Parametres!$B$4*D1583+01_Parametres!$B$5*E1583+01_Parametres!$B$6*F1583)/01_Parametres!$B$8)))</x:f>
      </x:c>
      <x:c r="H1583">
        <x:f>IFERROR(VLOOKUP(C1583,02_Referentiels!$A$20:$D$99,3,FALSE),"")</x:f>
      </x:c>
      <x:c r="I1583">
        <x:f>IFERROR(VLOOKUP(B1583,02_Referentiels!$A$5:$C$16,2,FALSE),"")</x:f>
      </x:c>
      <x:c r="J1583">
        <x:f>IF(A1583="","",IF(OR(D1583="",E1583="",F1583=""),1,IF(OR(D1583&lt;0,D1583&gt;3,E1583&lt;0,E1583&gt;3,F1583&lt;0,F1583&gt;3),1,0)))</x:f>
      </x:c>
      <x:c r="K1583">
        <x:f>IF(A1583="","",IF(G1583="",1,0))</x:f>
      </x:c>
      <x:c r="L1583">
        <x:f>IF(A1583="","",IF(COUNTIFS($A$5:$A$2004,A1583,$C$5:$C$2004,C1583)&gt;1,1,0))</x:f>
      </x:c>
    </x:row>
    <x:row r="1584">
      <x:c r="A1584" s="8" t="n"/>
      <x:c r="B1584" s="8" t="n"/>
      <x:c r="C1584" s="8" t="n"/>
      <x:c r="D1584" s="8" t="n"/>
      <x:c r="E1584" s="8" t="n"/>
      <x:c r="F1584" s="8" t="n"/>
      <x:c r="G1584" s="7">
        <x:f>IF(A1584="","",IF(01_Parametres!$B$11="Oui",IF((01_Parametres!$B$4*(D1584&gt;0)+01_Parametres!$B$5*(E1584&gt;0)+01_Parametres!$B$6*(F1584&gt;0))=0,"",(01_Parametres!$B$4*IF(D1584&gt;0,D1584,0)+01_Parametres!$B$5*IF(E1584&gt;0,E1584,0)+01_Parametres!$B$6*IF(F1584&gt;0,F1584,0))/(01_Parametres!$B$4*(D1584&gt;0)+01_Parametres!$B$5*(E1584&gt;0)+01_Parametres!$B$6*(F1584&gt;0))),IF(01_Parametres!$B$8=0,"",(01_Parametres!$B$4*D1584+01_Parametres!$B$5*E1584+01_Parametres!$B$6*F1584)/01_Parametres!$B$8)))</x:f>
      </x:c>
      <x:c r="H1584">
        <x:f>IFERROR(VLOOKUP(C1584,02_Referentiels!$A$20:$D$99,3,FALSE),"")</x:f>
      </x:c>
      <x:c r="I1584">
        <x:f>IFERROR(VLOOKUP(B1584,02_Referentiels!$A$5:$C$16,2,FALSE),"")</x:f>
      </x:c>
      <x:c r="J1584">
        <x:f>IF(A1584="","",IF(OR(D1584="",E1584="",F1584=""),1,IF(OR(D1584&lt;0,D1584&gt;3,E1584&lt;0,E1584&gt;3,F1584&lt;0,F1584&gt;3),1,0)))</x:f>
      </x:c>
      <x:c r="K1584">
        <x:f>IF(A1584="","",IF(G1584="",1,0))</x:f>
      </x:c>
      <x:c r="L1584">
        <x:f>IF(A1584="","",IF(COUNTIFS($A$5:$A$2004,A1584,$C$5:$C$2004,C1584)&gt;1,1,0))</x:f>
      </x:c>
    </x:row>
    <x:row r="1585">
      <x:c r="A1585" s="8" t="n"/>
      <x:c r="B1585" s="8" t="n"/>
      <x:c r="C1585" s="8" t="n"/>
      <x:c r="D1585" s="8" t="n"/>
      <x:c r="E1585" s="8" t="n"/>
      <x:c r="F1585" s="8" t="n"/>
      <x:c r="G1585" s="7">
        <x:f>IF(A1585="","",IF(01_Parametres!$B$11="Oui",IF((01_Parametres!$B$4*(D1585&gt;0)+01_Parametres!$B$5*(E1585&gt;0)+01_Parametres!$B$6*(F1585&gt;0))=0,"",(01_Parametres!$B$4*IF(D1585&gt;0,D1585,0)+01_Parametres!$B$5*IF(E1585&gt;0,E1585,0)+01_Parametres!$B$6*IF(F1585&gt;0,F1585,0))/(01_Parametres!$B$4*(D1585&gt;0)+01_Parametres!$B$5*(E1585&gt;0)+01_Parametres!$B$6*(F1585&gt;0))),IF(01_Parametres!$B$8=0,"",(01_Parametres!$B$4*D1585+01_Parametres!$B$5*E1585+01_Parametres!$B$6*F1585)/01_Parametres!$B$8)))</x:f>
      </x:c>
      <x:c r="H1585">
        <x:f>IFERROR(VLOOKUP(C1585,02_Referentiels!$A$20:$D$99,3,FALSE),"")</x:f>
      </x:c>
      <x:c r="I1585">
        <x:f>IFERROR(VLOOKUP(B1585,02_Referentiels!$A$5:$C$16,2,FALSE),"")</x:f>
      </x:c>
      <x:c r="J1585">
        <x:f>IF(A1585="","",IF(OR(D1585="",E1585="",F1585=""),1,IF(OR(D1585&lt;0,D1585&gt;3,E1585&lt;0,E1585&gt;3,F1585&lt;0,F1585&gt;3),1,0)))</x:f>
      </x:c>
      <x:c r="K1585">
        <x:f>IF(A1585="","",IF(G1585="",1,0))</x:f>
      </x:c>
      <x:c r="L1585">
        <x:f>IF(A1585="","",IF(COUNTIFS($A$5:$A$2004,A1585,$C$5:$C$2004,C1585)&gt;1,1,0))</x:f>
      </x:c>
    </x:row>
    <x:row r="1586">
      <x:c r="A1586" s="8" t="n"/>
      <x:c r="B1586" s="8" t="n"/>
      <x:c r="C1586" s="8" t="n"/>
      <x:c r="D1586" s="8" t="n"/>
      <x:c r="E1586" s="8" t="n"/>
      <x:c r="F1586" s="8" t="n"/>
      <x:c r="G1586" s="7">
        <x:f>IF(A1586="","",IF(01_Parametres!$B$11="Oui",IF((01_Parametres!$B$4*(D1586&gt;0)+01_Parametres!$B$5*(E1586&gt;0)+01_Parametres!$B$6*(F1586&gt;0))=0,"",(01_Parametres!$B$4*IF(D1586&gt;0,D1586,0)+01_Parametres!$B$5*IF(E1586&gt;0,E1586,0)+01_Parametres!$B$6*IF(F1586&gt;0,F1586,0))/(01_Parametres!$B$4*(D1586&gt;0)+01_Parametres!$B$5*(E1586&gt;0)+01_Parametres!$B$6*(F1586&gt;0))),IF(01_Parametres!$B$8=0,"",(01_Parametres!$B$4*D1586+01_Parametres!$B$5*E1586+01_Parametres!$B$6*F1586)/01_Parametres!$B$8)))</x:f>
      </x:c>
      <x:c r="H1586">
        <x:f>IFERROR(VLOOKUP(C1586,02_Referentiels!$A$20:$D$99,3,FALSE),"")</x:f>
      </x:c>
      <x:c r="I1586">
        <x:f>IFERROR(VLOOKUP(B1586,02_Referentiels!$A$5:$C$16,2,FALSE),"")</x:f>
      </x:c>
      <x:c r="J1586">
        <x:f>IF(A1586="","",IF(OR(D1586="",E1586="",F1586=""),1,IF(OR(D1586&lt;0,D1586&gt;3,E1586&lt;0,E1586&gt;3,F1586&lt;0,F1586&gt;3),1,0)))</x:f>
      </x:c>
      <x:c r="K1586">
        <x:f>IF(A1586="","",IF(G1586="",1,0))</x:f>
      </x:c>
      <x:c r="L1586">
        <x:f>IF(A1586="","",IF(COUNTIFS($A$5:$A$2004,A1586,$C$5:$C$2004,C1586)&gt;1,1,0))</x:f>
      </x:c>
    </x:row>
    <x:row r="1587">
      <x:c r="A1587" s="8" t="n"/>
      <x:c r="B1587" s="8" t="n"/>
      <x:c r="C1587" s="8" t="n"/>
      <x:c r="D1587" s="8" t="n"/>
      <x:c r="E1587" s="8" t="n"/>
      <x:c r="F1587" s="8" t="n"/>
      <x:c r="G1587" s="7">
        <x:f>IF(A1587="","",IF(01_Parametres!$B$11="Oui",IF((01_Parametres!$B$4*(D1587&gt;0)+01_Parametres!$B$5*(E1587&gt;0)+01_Parametres!$B$6*(F1587&gt;0))=0,"",(01_Parametres!$B$4*IF(D1587&gt;0,D1587,0)+01_Parametres!$B$5*IF(E1587&gt;0,E1587,0)+01_Parametres!$B$6*IF(F1587&gt;0,F1587,0))/(01_Parametres!$B$4*(D1587&gt;0)+01_Parametres!$B$5*(E1587&gt;0)+01_Parametres!$B$6*(F1587&gt;0))),IF(01_Parametres!$B$8=0,"",(01_Parametres!$B$4*D1587+01_Parametres!$B$5*E1587+01_Parametres!$B$6*F1587)/01_Parametres!$B$8)))</x:f>
      </x:c>
      <x:c r="H1587">
        <x:f>IFERROR(VLOOKUP(C1587,02_Referentiels!$A$20:$D$99,3,FALSE),"")</x:f>
      </x:c>
      <x:c r="I1587">
        <x:f>IFERROR(VLOOKUP(B1587,02_Referentiels!$A$5:$C$16,2,FALSE),"")</x:f>
      </x:c>
      <x:c r="J1587">
        <x:f>IF(A1587="","",IF(OR(D1587="",E1587="",F1587=""),1,IF(OR(D1587&lt;0,D1587&gt;3,E1587&lt;0,E1587&gt;3,F1587&lt;0,F1587&gt;3),1,0)))</x:f>
      </x:c>
      <x:c r="K1587">
        <x:f>IF(A1587="","",IF(G1587="",1,0))</x:f>
      </x:c>
      <x:c r="L1587">
        <x:f>IF(A1587="","",IF(COUNTIFS($A$5:$A$2004,A1587,$C$5:$C$2004,C1587)&gt;1,1,0))</x:f>
      </x:c>
    </x:row>
    <x:row r="1588">
      <x:c r="A1588" s="8" t="n"/>
      <x:c r="B1588" s="8" t="n"/>
      <x:c r="C1588" s="8" t="n"/>
      <x:c r="D1588" s="8" t="n"/>
      <x:c r="E1588" s="8" t="n"/>
      <x:c r="F1588" s="8" t="n"/>
      <x:c r="G1588" s="7">
        <x:f>IF(A1588="","",IF(01_Parametres!$B$11="Oui",IF((01_Parametres!$B$4*(D1588&gt;0)+01_Parametres!$B$5*(E1588&gt;0)+01_Parametres!$B$6*(F1588&gt;0))=0,"",(01_Parametres!$B$4*IF(D1588&gt;0,D1588,0)+01_Parametres!$B$5*IF(E1588&gt;0,E1588,0)+01_Parametres!$B$6*IF(F1588&gt;0,F1588,0))/(01_Parametres!$B$4*(D1588&gt;0)+01_Parametres!$B$5*(E1588&gt;0)+01_Parametres!$B$6*(F1588&gt;0))),IF(01_Parametres!$B$8=0,"",(01_Parametres!$B$4*D1588+01_Parametres!$B$5*E1588+01_Parametres!$B$6*F1588)/01_Parametres!$B$8)))</x:f>
      </x:c>
      <x:c r="H1588">
        <x:f>IFERROR(VLOOKUP(C1588,02_Referentiels!$A$20:$D$99,3,FALSE),"")</x:f>
      </x:c>
      <x:c r="I1588">
        <x:f>IFERROR(VLOOKUP(B1588,02_Referentiels!$A$5:$C$16,2,FALSE),"")</x:f>
      </x:c>
      <x:c r="J1588">
        <x:f>IF(A1588="","",IF(OR(D1588="",E1588="",F1588=""),1,IF(OR(D1588&lt;0,D1588&gt;3,E1588&lt;0,E1588&gt;3,F1588&lt;0,F1588&gt;3),1,0)))</x:f>
      </x:c>
      <x:c r="K1588">
        <x:f>IF(A1588="","",IF(G1588="",1,0))</x:f>
      </x:c>
      <x:c r="L1588">
        <x:f>IF(A1588="","",IF(COUNTIFS($A$5:$A$2004,A1588,$C$5:$C$2004,C1588)&gt;1,1,0))</x:f>
      </x:c>
    </x:row>
    <x:row r="1589">
      <x:c r="A1589" s="8" t="n"/>
      <x:c r="B1589" s="8" t="n"/>
      <x:c r="C1589" s="8" t="n"/>
      <x:c r="D1589" s="8" t="n"/>
      <x:c r="E1589" s="8" t="n"/>
      <x:c r="F1589" s="8" t="n"/>
      <x:c r="G1589" s="7">
        <x:f>IF(A1589="","",IF(01_Parametres!$B$11="Oui",IF((01_Parametres!$B$4*(D1589&gt;0)+01_Parametres!$B$5*(E1589&gt;0)+01_Parametres!$B$6*(F1589&gt;0))=0,"",(01_Parametres!$B$4*IF(D1589&gt;0,D1589,0)+01_Parametres!$B$5*IF(E1589&gt;0,E1589,0)+01_Parametres!$B$6*IF(F1589&gt;0,F1589,0))/(01_Parametres!$B$4*(D1589&gt;0)+01_Parametres!$B$5*(E1589&gt;0)+01_Parametres!$B$6*(F1589&gt;0))),IF(01_Parametres!$B$8=0,"",(01_Parametres!$B$4*D1589+01_Parametres!$B$5*E1589+01_Parametres!$B$6*F1589)/01_Parametres!$B$8)))</x:f>
      </x:c>
      <x:c r="H1589">
        <x:f>IFERROR(VLOOKUP(C1589,02_Referentiels!$A$20:$D$99,3,FALSE),"")</x:f>
      </x:c>
      <x:c r="I1589">
        <x:f>IFERROR(VLOOKUP(B1589,02_Referentiels!$A$5:$C$16,2,FALSE),"")</x:f>
      </x:c>
      <x:c r="J1589">
        <x:f>IF(A1589="","",IF(OR(D1589="",E1589="",F1589=""),1,IF(OR(D1589&lt;0,D1589&gt;3,E1589&lt;0,E1589&gt;3,F1589&lt;0,F1589&gt;3),1,0)))</x:f>
      </x:c>
      <x:c r="K1589">
        <x:f>IF(A1589="","",IF(G1589="",1,0))</x:f>
      </x:c>
      <x:c r="L1589">
        <x:f>IF(A1589="","",IF(COUNTIFS($A$5:$A$2004,A1589,$C$5:$C$2004,C1589)&gt;1,1,0))</x:f>
      </x:c>
    </x:row>
    <x:row r="1590">
      <x:c r="A1590" s="8" t="n"/>
      <x:c r="B1590" s="8" t="n"/>
      <x:c r="C1590" s="8" t="n"/>
      <x:c r="D1590" s="8" t="n"/>
      <x:c r="E1590" s="8" t="n"/>
      <x:c r="F1590" s="8" t="n"/>
      <x:c r="G1590" s="7">
        <x:f>IF(A1590="","",IF(01_Parametres!$B$11="Oui",IF((01_Parametres!$B$4*(D1590&gt;0)+01_Parametres!$B$5*(E1590&gt;0)+01_Parametres!$B$6*(F1590&gt;0))=0,"",(01_Parametres!$B$4*IF(D1590&gt;0,D1590,0)+01_Parametres!$B$5*IF(E1590&gt;0,E1590,0)+01_Parametres!$B$6*IF(F1590&gt;0,F1590,0))/(01_Parametres!$B$4*(D1590&gt;0)+01_Parametres!$B$5*(E1590&gt;0)+01_Parametres!$B$6*(F1590&gt;0))),IF(01_Parametres!$B$8=0,"",(01_Parametres!$B$4*D1590+01_Parametres!$B$5*E1590+01_Parametres!$B$6*F1590)/01_Parametres!$B$8)))</x:f>
      </x:c>
      <x:c r="H1590">
        <x:f>IFERROR(VLOOKUP(C1590,02_Referentiels!$A$20:$D$99,3,FALSE),"")</x:f>
      </x:c>
      <x:c r="I1590">
        <x:f>IFERROR(VLOOKUP(B1590,02_Referentiels!$A$5:$C$16,2,FALSE),"")</x:f>
      </x:c>
      <x:c r="J1590">
        <x:f>IF(A1590="","",IF(OR(D1590="",E1590="",F1590=""),1,IF(OR(D1590&lt;0,D1590&gt;3,E1590&lt;0,E1590&gt;3,F1590&lt;0,F1590&gt;3),1,0)))</x:f>
      </x:c>
      <x:c r="K1590">
        <x:f>IF(A1590="","",IF(G1590="",1,0))</x:f>
      </x:c>
      <x:c r="L1590">
        <x:f>IF(A1590="","",IF(COUNTIFS($A$5:$A$2004,A1590,$C$5:$C$2004,C1590)&gt;1,1,0))</x:f>
      </x:c>
    </x:row>
    <x:row r="1591">
      <x:c r="A1591" s="8" t="n"/>
      <x:c r="B1591" s="8" t="n"/>
      <x:c r="C1591" s="8" t="n"/>
      <x:c r="D1591" s="8" t="n"/>
      <x:c r="E1591" s="8" t="n"/>
      <x:c r="F1591" s="8" t="n"/>
      <x:c r="G1591" s="7">
        <x:f>IF(A1591="","",IF(01_Parametres!$B$11="Oui",IF((01_Parametres!$B$4*(D1591&gt;0)+01_Parametres!$B$5*(E1591&gt;0)+01_Parametres!$B$6*(F1591&gt;0))=0,"",(01_Parametres!$B$4*IF(D1591&gt;0,D1591,0)+01_Parametres!$B$5*IF(E1591&gt;0,E1591,0)+01_Parametres!$B$6*IF(F1591&gt;0,F1591,0))/(01_Parametres!$B$4*(D1591&gt;0)+01_Parametres!$B$5*(E1591&gt;0)+01_Parametres!$B$6*(F1591&gt;0))),IF(01_Parametres!$B$8=0,"",(01_Parametres!$B$4*D1591+01_Parametres!$B$5*E1591+01_Parametres!$B$6*F1591)/01_Parametres!$B$8)))</x:f>
      </x:c>
      <x:c r="H1591">
        <x:f>IFERROR(VLOOKUP(C1591,02_Referentiels!$A$20:$D$99,3,FALSE),"")</x:f>
      </x:c>
      <x:c r="I1591">
        <x:f>IFERROR(VLOOKUP(B1591,02_Referentiels!$A$5:$C$16,2,FALSE),"")</x:f>
      </x:c>
      <x:c r="J1591">
        <x:f>IF(A1591="","",IF(OR(D1591="",E1591="",F1591=""),1,IF(OR(D1591&lt;0,D1591&gt;3,E1591&lt;0,E1591&gt;3,F1591&lt;0,F1591&gt;3),1,0)))</x:f>
      </x:c>
      <x:c r="K1591">
        <x:f>IF(A1591="","",IF(G1591="",1,0))</x:f>
      </x:c>
      <x:c r="L1591">
        <x:f>IF(A1591="","",IF(COUNTIFS($A$5:$A$2004,A1591,$C$5:$C$2004,C1591)&gt;1,1,0))</x:f>
      </x:c>
    </x:row>
    <x:row r="1592">
      <x:c r="A1592" s="8" t="n"/>
      <x:c r="B1592" s="8" t="n"/>
      <x:c r="C1592" s="8" t="n"/>
      <x:c r="D1592" s="8" t="n"/>
      <x:c r="E1592" s="8" t="n"/>
      <x:c r="F1592" s="8" t="n"/>
      <x:c r="G1592" s="7">
        <x:f>IF(A1592="","",IF(01_Parametres!$B$11="Oui",IF((01_Parametres!$B$4*(D1592&gt;0)+01_Parametres!$B$5*(E1592&gt;0)+01_Parametres!$B$6*(F1592&gt;0))=0,"",(01_Parametres!$B$4*IF(D1592&gt;0,D1592,0)+01_Parametres!$B$5*IF(E1592&gt;0,E1592,0)+01_Parametres!$B$6*IF(F1592&gt;0,F1592,0))/(01_Parametres!$B$4*(D1592&gt;0)+01_Parametres!$B$5*(E1592&gt;0)+01_Parametres!$B$6*(F1592&gt;0))),IF(01_Parametres!$B$8=0,"",(01_Parametres!$B$4*D1592+01_Parametres!$B$5*E1592+01_Parametres!$B$6*F1592)/01_Parametres!$B$8)))</x:f>
      </x:c>
      <x:c r="H1592">
        <x:f>IFERROR(VLOOKUP(C1592,02_Referentiels!$A$20:$D$99,3,FALSE),"")</x:f>
      </x:c>
      <x:c r="I1592">
        <x:f>IFERROR(VLOOKUP(B1592,02_Referentiels!$A$5:$C$16,2,FALSE),"")</x:f>
      </x:c>
      <x:c r="J1592">
        <x:f>IF(A1592="","",IF(OR(D1592="",E1592="",F1592=""),1,IF(OR(D1592&lt;0,D1592&gt;3,E1592&lt;0,E1592&gt;3,F1592&lt;0,F1592&gt;3),1,0)))</x:f>
      </x:c>
      <x:c r="K1592">
        <x:f>IF(A1592="","",IF(G1592="",1,0))</x:f>
      </x:c>
      <x:c r="L1592">
        <x:f>IF(A1592="","",IF(COUNTIFS($A$5:$A$2004,A1592,$C$5:$C$2004,C1592)&gt;1,1,0))</x:f>
      </x:c>
    </x:row>
    <x:row r="1593">
      <x:c r="A1593" s="8" t="n"/>
      <x:c r="B1593" s="8" t="n"/>
      <x:c r="C1593" s="8" t="n"/>
      <x:c r="D1593" s="8" t="n"/>
      <x:c r="E1593" s="8" t="n"/>
      <x:c r="F1593" s="8" t="n"/>
      <x:c r="G1593" s="7">
        <x:f>IF(A1593="","",IF(01_Parametres!$B$11="Oui",IF((01_Parametres!$B$4*(D1593&gt;0)+01_Parametres!$B$5*(E1593&gt;0)+01_Parametres!$B$6*(F1593&gt;0))=0,"",(01_Parametres!$B$4*IF(D1593&gt;0,D1593,0)+01_Parametres!$B$5*IF(E1593&gt;0,E1593,0)+01_Parametres!$B$6*IF(F1593&gt;0,F1593,0))/(01_Parametres!$B$4*(D1593&gt;0)+01_Parametres!$B$5*(E1593&gt;0)+01_Parametres!$B$6*(F1593&gt;0))),IF(01_Parametres!$B$8=0,"",(01_Parametres!$B$4*D1593+01_Parametres!$B$5*E1593+01_Parametres!$B$6*F1593)/01_Parametres!$B$8)))</x:f>
      </x:c>
      <x:c r="H1593">
        <x:f>IFERROR(VLOOKUP(C1593,02_Referentiels!$A$20:$D$99,3,FALSE),"")</x:f>
      </x:c>
      <x:c r="I1593">
        <x:f>IFERROR(VLOOKUP(B1593,02_Referentiels!$A$5:$C$16,2,FALSE),"")</x:f>
      </x:c>
      <x:c r="J1593">
        <x:f>IF(A1593="","",IF(OR(D1593="",E1593="",F1593=""),1,IF(OR(D1593&lt;0,D1593&gt;3,E1593&lt;0,E1593&gt;3,F1593&lt;0,F1593&gt;3),1,0)))</x:f>
      </x:c>
      <x:c r="K1593">
        <x:f>IF(A1593="","",IF(G1593="",1,0))</x:f>
      </x:c>
      <x:c r="L1593">
        <x:f>IF(A1593="","",IF(COUNTIFS($A$5:$A$2004,A1593,$C$5:$C$2004,C1593)&gt;1,1,0))</x:f>
      </x:c>
    </x:row>
    <x:row r="1594">
      <x:c r="A1594" s="8" t="n"/>
      <x:c r="B1594" s="8" t="n"/>
      <x:c r="C1594" s="8" t="n"/>
      <x:c r="D1594" s="8" t="n"/>
      <x:c r="E1594" s="8" t="n"/>
      <x:c r="F1594" s="8" t="n"/>
      <x:c r="G1594" s="7">
        <x:f>IF(A1594="","",IF(01_Parametres!$B$11="Oui",IF((01_Parametres!$B$4*(D1594&gt;0)+01_Parametres!$B$5*(E1594&gt;0)+01_Parametres!$B$6*(F1594&gt;0))=0,"",(01_Parametres!$B$4*IF(D1594&gt;0,D1594,0)+01_Parametres!$B$5*IF(E1594&gt;0,E1594,0)+01_Parametres!$B$6*IF(F1594&gt;0,F1594,0))/(01_Parametres!$B$4*(D1594&gt;0)+01_Parametres!$B$5*(E1594&gt;0)+01_Parametres!$B$6*(F1594&gt;0))),IF(01_Parametres!$B$8=0,"",(01_Parametres!$B$4*D1594+01_Parametres!$B$5*E1594+01_Parametres!$B$6*F1594)/01_Parametres!$B$8)))</x:f>
      </x:c>
      <x:c r="H1594">
        <x:f>IFERROR(VLOOKUP(C1594,02_Referentiels!$A$20:$D$99,3,FALSE),"")</x:f>
      </x:c>
      <x:c r="I1594">
        <x:f>IFERROR(VLOOKUP(B1594,02_Referentiels!$A$5:$C$16,2,FALSE),"")</x:f>
      </x:c>
      <x:c r="J1594">
        <x:f>IF(A1594="","",IF(OR(D1594="",E1594="",F1594=""),1,IF(OR(D1594&lt;0,D1594&gt;3,E1594&lt;0,E1594&gt;3,F1594&lt;0,F1594&gt;3),1,0)))</x:f>
      </x:c>
      <x:c r="K1594">
        <x:f>IF(A1594="","",IF(G1594="",1,0))</x:f>
      </x:c>
      <x:c r="L1594">
        <x:f>IF(A1594="","",IF(COUNTIFS($A$5:$A$2004,A1594,$C$5:$C$2004,C1594)&gt;1,1,0))</x:f>
      </x:c>
    </x:row>
    <x:row r="1595">
      <x:c r="A1595" s="8" t="n"/>
      <x:c r="B1595" s="8" t="n"/>
      <x:c r="C1595" s="8" t="n"/>
      <x:c r="D1595" s="8" t="n"/>
      <x:c r="E1595" s="8" t="n"/>
      <x:c r="F1595" s="8" t="n"/>
      <x:c r="G1595" s="7">
        <x:f>IF(A1595="","",IF(01_Parametres!$B$11="Oui",IF((01_Parametres!$B$4*(D1595&gt;0)+01_Parametres!$B$5*(E1595&gt;0)+01_Parametres!$B$6*(F1595&gt;0))=0,"",(01_Parametres!$B$4*IF(D1595&gt;0,D1595,0)+01_Parametres!$B$5*IF(E1595&gt;0,E1595,0)+01_Parametres!$B$6*IF(F1595&gt;0,F1595,0))/(01_Parametres!$B$4*(D1595&gt;0)+01_Parametres!$B$5*(E1595&gt;0)+01_Parametres!$B$6*(F1595&gt;0))),IF(01_Parametres!$B$8=0,"",(01_Parametres!$B$4*D1595+01_Parametres!$B$5*E1595+01_Parametres!$B$6*F1595)/01_Parametres!$B$8)))</x:f>
      </x:c>
      <x:c r="H1595">
        <x:f>IFERROR(VLOOKUP(C1595,02_Referentiels!$A$20:$D$99,3,FALSE),"")</x:f>
      </x:c>
      <x:c r="I1595">
        <x:f>IFERROR(VLOOKUP(B1595,02_Referentiels!$A$5:$C$16,2,FALSE),"")</x:f>
      </x:c>
      <x:c r="J1595">
        <x:f>IF(A1595="","",IF(OR(D1595="",E1595="",F1595=""),1,IF(OR(D1595&lt;0,D1595&gt;3,E1595&lt;0,E1595&gt;3,F1595&lt;0,F1595&gt;3),1,0)))</x:f>
      </x:c>
      <x:c r="K1595">
        <x:f>IF(A1595="","",IF(G1595="",1,0))</x:f>
      </x:c>
      <x:c r="L1595">
        <x:f>IF(A1595="","",IF(COUNTIFS($A$5:$A$2004,A1595,$C$5:$C$2004,C1595)&gt;1,1,0))</x:f>
      </x:c>
    </x:row>
    <x:row r="1596">
      <x:c r="A1596" s="8" t="n"/>
      <x:c r="B1596" s="8" t="n"/>
      <x:c r="C1596" s="8" t="n"/>
      <x:c r="D1596" s="8" t="n"/>
      <x:c r="E1596" s="8" t="n"/>
      <x:c r="F1596" s="8" t="n"/>
      <x:c r="G1596" s="7">
        <x:f>IF(A1596="","",IF(01_Parametres!$B$11="Oui",IF((01_Parametres!$B$4*(D1596&gt;0)+01_Parametres!$B$5*(E1596&gt;0)+01_Parametres!$B$6*(F1596&gt;0))=0,"",(01_Parametres!$B$4*IF(D1596&gt;0,D1596,0)+01_Parametres!$B$5*IF(E1596&gt;0,E1596,0)+01_Parametres!$B$6*IF(F1596&gt;0,F1596,0))/(01_Parametres!$B$4*(D1596&gt;0)+01_Parametres!$B$5*(E1596&gt;0)+01_Parametres!$B$6*(F1596&gt;0))),IF(01_Parametres!$B$8=0,"",(01_Parametres!$B$4*D1596+01_Parametres!$B$5*E1596+01_Parametres!$B$6*F1596)/01_Parametres!$B$8)))</x:f>
      </x:c>
      <x:c r="H1596">
        <x:f>IFERROR(VLOOKUP(C1596,02_Referentiels!$A$20:$D$99,3,FALSE),"")</x:f>
      </x:c>
      <x:c r="I1596">
        <x:f>IFERROR(VLOOKUP(B1596,02_Referentiels!$A$5:$C$16,2,FALSE),"")</x:f>
      </x:c>
      <x:c r="J1596">
        <x:f>IF(A1596="","",IF(OR(D1596="",E1596="",F1596=""),1,IF(OR(D1596&lt;0,D1596&gt;3,E1596&lt;0,E1596&gt;3,F1596&lt;0,F1596&gt;3),1,0)))</x:f>
      </x:c>
      <x:c r="K1596">
        <x:f>IF(A1596="","",IF(G1596="",1,0))</x:f>
      </x:c>
      <x:c r="L1596">
        <x:f>IF(A1596="","",IF(COUNTIFS($A$5:$A$2004,A1596,$C$5:$C$2004,C1596)&gt;1,1,0))</x:f>
      </x:c>
    </x:row>
    <x:row r="1597">
      <x:c r="A1597" s="8" t="n"/>
      <x:c r="B1597" s="8" t="n"/>
      <x:c r="C1597" s="8" t="n"/>
      <x:c r="D1597" s="8" t="n"/>
      <x:c r="E1597" s="8" t="n"/>
      <x:c r="F1597" s="8" t="n"/>
      <x:c r="G1597" s="7">
        <x:f>IF(A1597="","",IF(01_Parametres!$B$11="Oui",IF((01_Parametres!$B$4*(D1597&gt;0)+01_Parametres!$B$5*(E1597&gt;0)+01_Parametres!$B$6*(F1597&gt;0))=0,"",(01_Parametres!$B$4*IF(D1597&gt;0,D1597,0)+01_Parametres!$B$5*IF(E1597&gt;0,E1597,0)+01_Parametres!$B$6*IF(F1597&gt;0,F1597,0))/(01_Parametres!$B$4*(D1597&gt;0)+01_Parametres!$B$5*(E1597&gt;0)+01_Parametres!$B$6*(F1597&gt;0))),IF(01_Parametres!$B$8=0,"",(01_Parametres!$B$4*D1597+01_Parametres!$B$5*E1597+01_Parametres!$B$6*F1597)/01_Parametres!$B$8)))</x:f>
      </x:c>
      <x:c r="H1597">
        <x:f>IFERROR(VLOOKUP(C1597,02_Referentiels!$A$20:$D$99,3,FALSE),"")</x:f>
      </x:c>
      <x:c r="I1597">
        <x:f>IFERROR(VLOOKUP(B1597,02_Referentiels!$A$5:$C$16,2,FALSE),"")</x:f>
      </x:c>
      <x:c r="J1597">
        <x:f>IF(A1597="","",IF(OR(D1597="",E1597="",F1597=""),1,IF(OR(D1597&lt;0,D1597&gt;3,E1597&lt;0,E1597&gt;3,F1597&lt;0,F1597&gt;3),1,0)))</x:f>
      </x:c>
      <x:c r="K1597">
        <x:f>IF(A1597="","",IF(G1597="",1,0))</x:f>
      </x:c>
      <x:c r="L1597">
        <x:f>IF(A1597="","",IF(COUNTIFS($A$5:$A$2004,A1597,$C$5:$C$2004,C1597)&gt;1,1,0))</x:f>
      </x:c>
    </x:row>
    <x:row r="1598">
      <x:c r="A1598" s="8" t="n"/>
      <x:c r="B1598" s="8" t="n"/>
      <x:c r="C1598" s="8" t="n"/>
      <x:c r="D1598" s="8" t="n"/>
      <x:c r="E1598" s="8" t="n"/>
      <x:c r="F1598" s="8" t="n"/>
      <x:c r="G1598" s="7">
        <x:f>IF(A1598="","",IF(01_Parametres!$B$11="Oui",IF((01_Parametres!$B$4*(D1598&gt;0)+01_Parametres!$B$5*(E1598&gt;0)+01_Parametres!$B$6*(F1598&gt;0))=0,"",(01_Parametres!$B$4*IF(D1598&gt;0,D1598,0)+01_Parametres!$B$5*IF(E1598&gt;0,E1598,0)+01_Parametres!$B$6*IF(F1598&gt;0,F1598,0))/(01_Parametres!$B$4*(D1598&gt;0)+01_Parametres!$B$5*(E1598&gt;0)+01_Parametres!$B$6*(F1598&gt;0))),IF(01_Parametres!$B$8=0,"",(01_Parametres!$B$4*D1598+01_Parametres!$B$5*E1598+01_Parametres!$B$6*F1598)/01_Parametres!$B$8)))</x:f>
      </x:c>
      <x:c r="H1598">
        <x:f>IFERROR(VLOOKUP(C1598,02_Referentiels!$A$20:$D$99,3,FALSE),"")</x:f>
      </x:c>
      <x:c r="I1598">
        <x:f>IFERROR(VLOOKUP(B1598,02_Referentiels!$A$5:$C$16,2,FALSE),"")</x:f>
      </x:c>
      <x:c r="J1598">
        <x:f>IF(A1598="","",IF(OR(D1598="",E1598="",F1598=""),1,IF(OR(D1598&lt;0,D1598&gt;3,E1598&lt;0,E1598&gt;3,F1598&lt;0,F1598&gt;3),1,0)))</x:f>
      </x:c>
      <x:c r="K1598">
        <x:f>IF(A1598="","",IF(G1598="",1,0))</x:f>
      </x:c>
      <x:c r="L1598">
        <x:f>IF(A1598="","",IF(COUNTIFS($A$5:$A$2004,A1598,$C$5:$C$2004,C1598)&gt;1,1,0))</x:f>
      </x:c>
    </x:row>
    <x:row r="1599">
      <x:c r="A1599" s="8" t="n"/>
      <x:c r="B1599" s="8" t="n"/>
      <x:c r="C1599" s="8" t="n"/>
      <x:c r="D1599" s="8" t="n"/>
      <x:c r="E1599" s="8" t="n"/>
      <x:c r="F1599" s="8" t="n"/>
      <x:c r="G1599" s="7">
        <x:f>IF(A1599="","",IF(01_Parametres!$B$11="Oui",IF((01_Parametres!$B$4*(D1599&gt;0)+01_Parametres!$B$5*(E1599&gt;0)+01_Parametres!$B$6*(F1599&gt;0))=0,"",(01_Parametres!$B$4*IF(D1599&gt;0,D1599,0)+01_Parametres!$B$5*IF(E1599&gt;0,E1599,0)+01_Parametres!$B$6*IF(F1599&gt;0,F1599,0))/(01_Parametres!$B$4*(D1599&gt;0)+01_Parametres!$B$5*(E1599&gt;0)+01_Parametres!$B$6*(F1599&gt;0))),IF(01_Parametres!$B$8=0,"",(01_Parametres!$B$4*D1599+01_Parametres!$B$5*E1599+01_Parametres!$B$6*F1599)/01_Parametres!$B$8)))</x:f>
      </x:c>
      <x:c r="H1599">
        <x:f>IFERROR(VLOOKUP(C1599,02_Referentiels!$A$20:$D$99,3,FALSE),"")</x:f>
      </x:c>
      <x:c r="I1599">
        <x:f>IFERROR(VLOOKUP(B1599,02_Referentiels!$A$5:$C$16,2,FALSE),"")</x:f>
      </x:c>
      <x:c r="J1599">
        <x:f>IF(A1599="","",IF(OR(D1599="",E1599="",F1599=""),1,IF(OR(D1599&lt;0,D1599&gt;3,E1599&lt;0,E1599&gt;3,F1599&lt;0,F1599&gt;3),1,0)))</x:f>
      </x:c>
      <x:c r="K1599">
        <x:f>IF(A1599="","",IF(G1599="",1,0))</x:f>
      </x:c>
      <x:c r="L1599">
        <x:f>IF(A1599="","",IF(COUNTIFS($A$5:$A$2004,A1599,$C$5:$C$2004,C1599)&gt;1,1,0))</x:f>
      </x:c>
    </x:row>
    <x:row r="1600">
      <x:c r="A1600" s="8" t="n"/>
      <x:c r="B1600" s="8" t="n"/>
      <x:c r="C1600" s="8" t="n"/>
      <x:c r="D1600" s="8" t="n"/>
      <x:c r="E1600" s="8" t="n"/>
      <x:c r="F1600" s="8" t="n"/>
      <x:c r="G1600" s="7">
        <x:f>IF(A1600="","",IF(01_Parametres!$B$11="Oui",IF((01_Parametres!$B$4*(D1600&gt;0)+01_Parametres!$B$5*(E1600&gt;0)+01_Parametres!$B$6*(F1600&gt;0))=0,"",(01_Parametres!$B$4*IF(D1600&gt;0,D1600,0)+01_Parametres!$B$5*IF(E1600&gt;0,E1600,0)+01_Parametres!$B$6*IF(F1600&gt;0,F1600,0))/(01_Parametres!$B$4*(D1600&gt;0)+01_Parametres!$B$5*(E1600&gt;0)+01_Parametres!$B$6*(F1600&gt;0))),IF(01_Parametres!$B$8=0,"",(01_Parametres!$B$4*D1600+01_Parametres!$B$5*E1600+01_Parametres!$B$6*F1600)/01_Parametres!$B$8)))</x:f>
      </x:c>
      <x:c r="H1600">
        <x:f>IFERROR(VLOOKUP(C1600,02_Referentiels!$A$20:$D$99,3,FALSE),"")</x:f>
      </x:c>
      <x:c r="I1600">
        <x:f>IFERROR(VLOOKUP(B1600,02_Referentiels!$A$5:$C$16,2,FALSE),"")</x:f>
      </x:c>
      <x:c r="J1600">
        <x:f>IF(A1600="","",IF(OR(D1600="",E1600="",F1600=""),1,IF(OR(D1600&lt;0,D1600&gt;3,E1600&lt;0,E1600&gt;3,F1600&lt;0,F1600&gt;3),1,0)))</x:f>
      </x:c>
      <x:c r="K1600">
        <x:f>IF(A1600="","",IF(G1600="",1,0))</x:f>
      </x:c>
      <x:c r="L1600">
        <x:f>IF(A1600="","",IF(COUNTIFS($A$5:$A$2004,A1600,$C$5:$C$2004,C1600)&gt;1,1,0))</x:f>
      </x:c>
    </x:row>
    <x:row r="1601">
      <x:c r="A1601" s="8" t="n"/>
      <x:c r="B1601" s="8" t="n"/>
      <x:c r="C1601" s="8" t="n"/>
      <x:c r="D1601" s="8" t="n"/>
      <x:c r="E1601" s="8" t="n"/>
      <x:c r="F1601" s="8" t="n"/>
      <x:c r="G1601" s="7">
        <x:f>IF(A1601="","",IF(01_Parametres!$B$11="Oui",IF((01_Parametres!$B$4*(D1601&gt;0)+01_Parametres!$B$5*(E1601&gt;0)+01_Parametres!$B$6*(F1601&gt;0))=0,"",(01_Parametres!$B$4*IF(D1601&gt;0,D1601,0)+01_Parametres!$B$5*IF(E1601&gt;0,E1601,0)+01_Parametres!$B$6*IF(F1601&gt;0,F1601,0))/(01_Parametres!$B$4*(D1601&gt;0)+01_Parametres!$B$5*(E1601&gt;0)+01_Parametres!$B$6*(F1601&gt;0))),IF(01_Parametres!$B$8=0,"",(01_Parametres!$B$4*D1601+01_Parametres!$B$5*E1601+01_Parametres!$B$6*F1601)/01_Parametres!$B$8)))</x:f>
      </x:c>
      <x:c r="H1601">
        <x:f>IFERROR(VLOOKUP(C1601,02_Referentiels!$A$20:$D$99,3,FALSE),"")</x:f>
      </x:c>
      <x:c r="I1601">
        <x:f>IFERROR(VLOOKUP(B1601,02_Referentiels!$A$5:$C$16,2,FALSE),"")</x:f>
      </x:c>
      <x:c r="J1601">
        <x:f>IF(A1601="","",IF(OR(D1601="",E1601="",F1601=""),1,IF(OR(D1601&lt;0,D1601&gt;3,E1601&lt;0,E1601&gt;3,F1601&lt;0,F1601&gt;3),1,0)))</x:f>
      </x:c>
      <x:c r="K1601">
        <x:f>IF(A1601="","",IF(G1601="",1,0))</x:f>
      </x:c>
      <x:c r="L1601">
        <x:f>IF(A1601="","",IF(COUNTIFS($A$5:$A$2004,A1601,$C$5:$C$2004,C1601)&gt;1,1,0))</x:f>
      </x:c>
    </x:row>
    <x:row r="1602">
      <x:c r="A1602" s="8" t="n"/>
      <x:c r="B1602" s="8" t="n"/>
      <x:c r="C1602" s="8" t="n"/>
      <x:c r="D1602" s="8" t="n"/>
      <x:c r="E1602" s="8" t="n"/>
      <x:c r="F1602" s="8" t="n"/>
      <x:c r="G1602" s="7">
        <x:f>IF(A1602="","",IF(01_Parametres!$B$11="Oui",IF((01_Parametres!$B$4*(D1602&gt;0)+01_Parametres!$B$5*(E1602&gt;0)+01_Parametres!$B$6*(F1602&gt;0))=0,"",(01_Parametres!$B$4*IF(D1602&gt;0,D1602,0)+01_Parametres!$B$5*IF(E1602&gt;0,E1602,0)+01_Parametres!$B$6*IF(F1602&gt;0,F1602,0))/(01_Parametres!$B$4*(D1602&gt;0)+01_Parametres!$B$5*(E1602&gt;0)+01_Parametres!$B$6*(F1602&gt;0))),IF(01_Parametres!$B$8=0,"",(01_Parametres!$B$4*D1602+01_Parametres!$B$5*E1602+01_Parametres!$B$6*F1602)/01_Parametres!$B$8)))</x:f>
      </x:c>
      <x:c r="H1602">
        <x:f>IFERROR(VLOOKUP(C1602,02_Referentiels!$A$20:$D$99,3,FALSE),"")</x:f>
      </x:c>
      <x:c r="I1602">
        <x:f>IFERROR(VLOOKUP(B1602,02_Referentiels!$A$5:$C$16,2,FALSE),"")</x:f>
      </x:c>
      <x:c r="J1602">
        <x:f>IF(A1602="","",IF(OR(D1602="",E1602="",F1602=""),1,IF(OR(D1602&lt;0,D1602&gt;3,E1602&lt;0,E1602&gt;3,F1602&lt;0,F1602&gt;3),1,0)))</x:f>
      </x:c>
      <x:c r="K1602">
        <x:f>IF(A1602="","",IF(G1602="",1,0))</x:f>
      </x:c>
      <x:c r="L1602">
        <x:f>IF(A1602="","",IF(COUNTIFS($A$5:$A$2004,A1602,$C$5:$C$2004,C1602)&gt;1,1,0))</x:f>
      </x:c>
    </x:row>
    <x:row r="1603">
      <x:c r="A1603" s="8" t="n"/>
      <x:c r="B1603" s="8" t="n"/>
      <x:c r="C1603" s="8" t="n"/>
      <x:c r="D1603" s="8" t="n"/>
      <x:c r="E1603" s="8" t="n"/>
      <x:c r="F1603" s="8" t="n"/>
      <x:c r="G1603" s="7">
        <x:f>IF(A1603="","",IF(01_Parametres!$B$11="Oui",IF((01_Parametres!$B$4*(D1603&gt;0)+01_Parametres!$B$5*(E1603&gt;0)+01_Parametres!$B$6*(F1603&gt;0))=0,"",(01_Parametres!$B$4*IF(D1603&gt;0,D1603,0)+01_Parametres!$B$5*IF(E1603&gt;0,E1603,0)+01_Parametres!$B$6*IF(F1603&gt;0,F1603,0))/(01_Parametres!$B$4*(D1603&gt;0)+01_Parametres!$B$5*(E1603&gt;0)+01_Parametres!$B$6*(F1603&gt;0))),IF(01_Parametres!$B$8=0,"",(01_Parametres!$B$4*D1603+01_Parametres!$B$5*E1603+01_Parametres!$B$6*F1603)/01_Parametres!$B$8)))</x:f>
      </x:c>
      <x:c r="H1603">
        <x:f>IFERROR(VLOOKUP(C1603,02_Referentiels!$A$20:$D$99,3,FALSE),"")</x:f>
      </x:c>
      <x:c r="I1603">
        <x:f>IFERROR(VLOOKUP(B1603,02_Referentiels!$A$5:$C$16,2,FALSE),"")</x:f>
      </x:c>
      <x:c r="J1603">
        <x:f>IF(A1603="","",IF(OR(D1603="",E1603="",F1603=""),1,IF(OR(D1603&lt;0,D1603&gt;3,E1603&lt;0,E1603&gt;3,F1603&lt;0,F1603&gt;3),1,0)))</x:f>
      </x:c>
      <x:c r="K1603">
        <x:f>IF(A1603="","",IF(G1603="",1,0))</x:f>
      </x:c>
      <x:c r="L1603">
        <x:f>IF(A1603="","",IF(COUNTIFS($A$5:$A$2004,A1603,$C$5:$C$2004,C1603)&gt;1,1,0))</x:f>
      </x:c>
    </x:row>
    <x:row r="1604">
      <x:c r="A1604" s="8" t="n"/>
      <x:c r="B1604" s="8" t="n"/>
      <x:c r="C1604" s="8" t="n"/>
      <x:c r="D1604" s="8" t="n"/>
      <x:c r="E1604" s="8" t="n"/>
      <x:c r="F1604" s="8" t="n"/>
      <x:c r="G1604" s="7">
        <x:f>IF(A1604="","",IF(01_Parametres!$B$11="Oui",IF((01_Parametres!$B$4*(D1604&gt;0)+01_Parametres!$B$5*(E1604&gt;0)+01_Parametres!$B$6*(F1604&gt;0))=0,"",(01_Parametres!$B$4*IF(D1604&gt;0,D1604,0)+01_Parametres!$B$5*IF(E1604&gt;0,E1604,0)+01_Parametres!$B$6*IF(F1604&gt;0,F1604,0))/(01_Parametres!$B$4*(D1604&gt;0)+01_Parametres!$B$5*(E1604&gt;0)+01_Parametres!$B$6*(F1604&gt;0))),IF(01_Parametres!$B$8=0,"",(01_Parametres!$B$4*D1604+01_Parametres!$B$5*E1604+01_Parametres!$B$6*F1604)/01_Parametres!$B$8)))</x:f>
      </x:c>
      <x:c r="H1604">
        <x:f>IFERROR(VLOOKUP(C1604,02_Referentiels!$A$20:$D$99,3,FALSE),"")</x:f>
      </x:c>
      <x:c r="I1604">
        <x:f>IFERROR(VLOOKUP(B1604,02_Referentiels!$A$5:$C$16,2,FALSE),"")</x:f>
      </x:c>
      <x:c r="J1604">
        <x:f>IF(A1604="","",IF(OR(D1604="",E1604="",F1604=""),1,IF(OR(D1604&lt;0,D1604&gt;3,E1604&lt;0,E1604&gt;3,F1604&lt;0,F1604&gt;3),1,0)))</x:f>
      </x:c>
      <x:c r="K1604">
        <x:f>IF(A1604="","",IF(G1604="",1,0))</x:f>
      </x:c>
      <x:c r="L1604">
        <x:f>IF(A1604="","",IF(COUNTIFS($A$5:$A$2004,A1604,$C$5:$C$2004,C1604)&gt;1,1,0))</x:f>
      </x:c>
    </x:row>
    <x:row r="1605">
      <x:c r="A1605" s="8" t="n"/>
      <x:c r="B1605" s="8" t="n"/>
      <x:c r="C1605" s="8" t="n"/>
      <x:c r="D1605" s="8" t="n"/>
      <x:c r="E1605" s="8" t="n"/>
      <x:c r="F1605" s="8" t="n"/>
      <x:c r="G1605" s="7">
        <x:f>IF(A1605="","",IF(01_Parametres!$B$11="Oui",IF((01_Parametres!$B$4*(D1605&gt;0)+01_Parametres!$B$5*(E1605&gt;0)+01_Parametres!$B$6*(F1605&gt;0))=0,"",(01_Parametres!$B$4*IF(D1605&gt;0,D1605,0)+01_Parametres!$B$5*IF(E1605&gt;0,E1605,0)+01_Parametres!$B$6*IF(F1605&gt;0,F1605,0))/(01_Parametres!$B$4*(D1605&gt;0)+01_Parametres!$B$5*(E1605&gt;0)+01_Parametres!$B$6*(F1605&gt;0))),IF(01_Parametres!$B$8=0,"",(01_Parametres!$B$4*D1605+01_Parametres!$B$5*E1605+01_Parametres!$B$6*F1605)/01_Parametres!$B$8)))</x:f>
      </x:c>
      <x:c r="H1605">
        <x:f>IFERROR(VLOOKUP(C1605,02_Referentiels!$A$20:$D$99,3,FALSE),"")</x:f>
      </x:c>
      <x:c r="I1605">
        <x:f>IFERROR(VLOOKUP(B1605,02_Referentiels!$A$5:$C$16,2,FALSE),"")</x:f>
      </x:c>
      <x:c r="J1605">
        <x:f>IF(A1605="","",IF(OR(D1605="",E1605="",F1605=""),1,IF(OR(D1605&lt;0,D1605&gt;3,E1605&lt;0,E1605&gt;3,F1605&lt;0,F1605&gt;3),1,0)))</x:f>
      </x:c>
      <x:c r="K1605">
        <x:f>IF(A1605="","",IF(G1605="",1,0))</x:f>
      </x:c>
      <x:c r="L1605">
        <x:f>IF(A1605="","",IF(COUNTIFS($A$5:$A$2004,A1605,$C$5:$C$2004,C1605)&gt;1,1,0))</x:f>
      </x:c>
    </x:row>
    <x:row r="1606">
      <x:c r="A1606" s="8" t="n"/>
      <x:c r="B1606" s="8" t="n"/>
      <x:c r="C1606" s="8" t="n"/>
      <x:c r="D1606" s="8" t="n"/>
      <x:c r="E1606" s="8" t="n"/>
      <x:c r="F1606" s="8" t="n"/>
      <x:c r="G1606" s="7">
        <x:f>IF(A1606="","",IF(01_Parametres!$B$11="Oui",IF((01_Parametres!$B$4*(D1606&gt;0)+01_Parametres!$B$5*(E1606&gt;0)+01_Parametres!$B$6*(F1606&gt;0))=0,"",(01_Parametres!$B$4*IF(D1606&gt;0,D1606,0)+01_Parametres!$B$5*IF(E1606&gt;0,E1606,0)+01_Parametres!$B$6*IF(F1606&gt;0,F1606,0))/(01_Parametres!$B$4*(D1606&gt;0)+01_Parametres!$B$5*(E1606&gt;0)+01_Parametres!$B$6*(F1606&gt;0))),IF(01_Parametres!$B$8=0,"",(01_Parametres!$B$4*D1606+01_Parametres!$B$5*E1606+01_Parametres!$B$6*F1606)/01_Parametres!$B$8)))</x:f>
      </x:c>
      <x:c r="H1606">
        <x:f>IFERROR(VLOOKUP(C1606,02_Referentiels!$A$20:$D$99,3,FALSE),"")</x:f>
      </x:c>
      <x:c r="I1606">
        <x:f>IFERROR(VLOOKUP(B1606,02_Referentiels!$A$5:$C$16,2,FALSE),"")</x:f>
      </x:c>
      <x:c r="J1606">
        <x:f>IF(A1606="","",IF(OR(D1606="",E1606="",F1606=""),1,IF(OR(D1606&lt;0,D1606&gt;3,E1606&lt;0,E1606&gt;3,F1606&lt;0,F1606&gt;3),1,0)))</x:f>
      </x:c>
      <x:c r="K1606">
        <x:f>IF(A1606="","",IF(G1606="",1,0))</x:f>
      </x:c>
      <x:c r="L1606">
        <x:f>IF(A1606="","",IF(COUNTIFS($A$5:$A$2004,A1606,$C$5:$C$2004,C1606)&gt;1,1,0))</x:f>
      </x:c>
    </x:row>
    <x:row r="1607">
      <x:c r="A1607" s="8" t="n"/>
      <x:c r="B1607" s="8" t="n"/>
      <x:c r="C1607" s="8" t="n"/>
      <x:c r="D1607" s="8" t="n"/>
      <x:c r="E1607" s="8" t="n"/>
      <x:c r="F1607" s="8" t="n"/>
      <x:c r="G1607" s="7">
        <x:f>IF(A1607="","",IF(01_Parametres!$B$11="Oui",IF((01_Parametres!$B$4*(D1607&gt;0)+01_Parametres!$B$5*(E1607&gt;0)+01_Parametres!$B$6*(F1607&gt;0))=0,"",(01_Parametres!$B$4*IF(D1607&gt;0,D1607,0)+01_Parametres!$B$5*IF(E1607&gt;0,E1607,0)+01_Parametres!$B$6*IF(F1607&gt;0,F1607,0))/(01_Parametres!$B$4*(D1607&gt;0)+01_Parametres!$B$5*(E1607&gt;0)+01_Parametres!$B$6*(F1607&gt;0))),IF(01_Parametres!$B$8=0,"",(01_Parametres!$B$4*D1607+01_Parametres!$B$5*E1607+01_Parametres!$B$6*F1607)/01_Parametres!$B$8)))</x:f>
      </x:c>
      <x:c r="H1607">
        <x:f>IFERROR(VLOOKUP(C1607,02_Referentiels!$A$20:$D$99,3,FALSE),"")</x:f>
      </x:c>
      <x:c r="I1607">
        <x:f>IFERROR(VLOOKUP(B1607,02_Referentiels!$A$5:$C$16,2,FALSE),"")</x:f>
      </x:c>
      <x:c r="J1607">
        <x:f>IF(A1607="","",IF(OR(D1607="",E1607="",F1607=""),1,IF(OR(D1607&lt;0,D1607&gt;3,E1607&lt;0,E1607&gt;3,F1607&lt;0,F1607&gt;3),1,0)))</x:f>
      </x:c>
      <x:c r="K1607">
        <x:f>IF(A1607="","",IF(G1607="",1,0))</x:f>
      </x:c>
      <x:c r="L1607">
        <x:f>IF(A1607="","",IF(COUNTIFS($A$5:$A$2004,A1607,$C$5:$C$2004,C1607)&gt;1,1,0))</x:f>
      </x:c>
    </x:row>
    <x:row r="1608">
      <x:c r="A1608" s="8" t="n"/>
      <x:c r="B1608" s="8" t="n"/>
      <x:c r="C1608" s="8" t="n"/>
      <x:c r="D1608" s="8" t="n"/>
      <x:c r="E1608" s="8" t="n"/>
      <x:c r="F1608" s="8" t="n"/>
      <x:c r="G1608" s="7">
        <x:f>IF(A1608="","",IF(01_Parametres!$B$11="Oui",IF((01_Parametres!$B$4*(D1608&gt;0)+01_Parametres!$B$5*(E1608&gt;0)+01_Parametres!$B$6*(F1608&gt;0))=0,"",(01_Parametres!$B$4*IF(D1608&gt;0,D1608,0)+01_Parametres!$B$5*IF(E1608&gt;0,E1608,0)+01_Parametres!$B$6*IF(F1608&gt;0,F1608,0))/(01_Parametres!$B$4*(D1608&gt;0)+01_Parametres!$B$5*(E1608&gt;0)+01_Parametres!$B$6*(F1608&gt;0))),IF(01_Parametres!$B$8=0,"",(01_Parametres!$B$4*D1608+01_Parametres!$B$5*E1608+01_Parametres!$B$6*F1608)/01_Parametres!$B$8)))</x:f>
      </x:c>
      <x:c r="H1608">
        <x:f>IFERROR(VLOOKUP(C1608,02_Referentiels!$A$20:$D$99,3,FALSE),"")</x:f>
      </x:c>
      <x:c r="I1608">
        <x:f>IFERROR(VLOOKUP(B1608,02_Referentiels!$A$5:$C$16,2,FALSE),"")</x:f>
      </x:c>
      <x:c r="J1608">
        <x:f>IF(A1608="","",IF(OR(D1608="",E1608="",F1608=""),1,IF(OR(D1608&lt;0,D1608&gt;3,E1608&lt;0,E1608&gt;3,F1608&lt;0,F1608&gt;3),1,0)))</x:f>
      </x:c>
      <x:c r="K1608">
        <x:f>IF(A1608="","",IF(G1608="",1,0))</x:f>
      </x:c>
      <x:c r="L1608">
        <x:f>IF(A1608="","",IF(COUNTIFS($A$5:$A$2004,A1608,$C$5:$C$2004,C1608)&gt;1,1,0))</x:f>
      </x:c>
    </x:row>
    <x:row r="1609">
      <x:c r="A1609" s="8" t="n"/>
      <x:c r="B1609" s="8" t="n"/>
      <x:c r="C1609" s="8" t="n"/>
      <x:c r="D1609" s="8" t="n"/>
      <x:c r="E1609" s="8" t="n"/>
      <x:c r="F1609" s="8" t="n"/>
      <x:c r="G1609" s="7">
        <x:f>IF(A1609="","",IF(01_Parametres!$B$11="Oui",IF((01_Parametres!$B$4*(D1609&gt;0)+01_Parametres!$B$5*(E1609&gt;0)+01_Parametres!$B$6*(F1609&gt;0))=0,"",(01_Parametres!$B$4*IF(D1609&gt;0,D1609,0)+01_Parametres!$B$5*IF(E1609&gt;0,E1609,0)+01_Parametres!$B$6*IF(F1609&gt;0,F1609,0))/(01_Parametres!$B$4*(D1609&gt;0)+01_Parametres!$B$5*(E1609&gt;0)+01_Parametres!$B$6*(F1609&gt;0))),IF(01_Parametres!$B$8=0,"",(01_Parametres!$B$4*D1609+01_Parametres!$B$5*E1609+01_Parametres!$B$6*F1609)/01_Parametres!$B$8)))</x:f>
      </x:c>
      <x:c r="H1609">
        <x:f>IFERROR(VLOOKUP(C1609,02_Referentiels!$A$20:$D$99,3,FALSE),"")</x:f>
      </x:c>
      <x:c r="I1609">
        <x:f>IFERROR(VLOOKUP(B1609,02_Referentiels!$A$5:$C$16,2,FALSE),"")</x:f>
      </x:c>
      <x:c r="J1609">
        <x:f>IF(A1609="","",IF(OR(D1609="",E1609="",F1609=""),1,IF(OR(D1609&lt;0,D1609&gt;3,E1609&lt;0,E1609&gt;3,F1609&lt;0,F1609&gt;3),1,0)))</x:f>
      </x:c>
      <x:c r="K1609">
        <x:f>IF(A1609="","",IF(G1609="",1,0))</x:f>
      </x:c>
      <x:c r="L1609">
        <x:f>IF(A1609="","",IF(COUNTIFS($A$5:$A$2004,A1609,$C$5:$C$2004,C1609)&gt;1,1,0))</x:f>
      </x:c>
    </x:row>
    <x:row r="1610">
      <x:c r="A1610" s="8" t="n"/>
      <x:c r="B1610" s="8" t="n"/>
      <x:c r="C1610" s="8" t="n"/>
      <x:c r="D1610" s="8" t="n"/>
      <x:c r="E1610" s="8" t="n"/>
      <x:c r="F1610" s="8" t="n"/>
      <x:c r="G1610" s="7">
        <x:f>IF(A1610="","",IF(01_Parametres!$B$11="Oui",IF((01_Parametres!$B$4*(D1610&gt;0)+01_Parametres!$B$5*(E1610&gt;0)+01_Parametres!$B$6*(F1610&gt;0))=0,"",(01_Parametres!$B$4*IF(D1610&gt;0,D1610,0)+01_Parametres!$B$5*IF(E1610&gt;0,E1610,0)+01_Parametres!$B$6*IF(F1610&gt;0,F1610,0))/(01_Parametres!$B$4*(D1610&gt;0)+01_Parametres!$B$5*(E1610&gt;0)+01_Parametres!$B$6*(F1610&gt;0))),IF(01_Parametres!$B$8=0,"",(01_Parametres!$B$4*D1610+01_Parametres!$B$5*E1610+01_Parametres!$B$6*F1610)/01_Parametres!$B$8)))</x:f>
      </x:c>
      <x:c r="H1610">
        <x:f>IFERROR(VLOOKUP(C1610,02_Referentiels!$A$20:$D$99,3,FALSE),"")</x:f>
      </x:c>
      <x:c r="I1610">
        <x:f>IFERROR(VLOOKUP(B1610,02_Referentiels!$A$5:$C$16,2,FALSE),"")</x:f>
      </x:c>
      <x:c r="J1610">
        <x:f>IF(A1610="","",IF(OR(D1610="",E1610="",F1610=""),1,IF(OR(D1610&lt;0,D1610&gt;3,E1610&lt;0,E1610&gt;3,F1610&lt;0,F1610&gt;3),1,0)))</x:f>
      </x:c>
      <x:c r="K1610">
        <x:f>IF(A1610="","",IF(G1610="",1,0))</x:f>
      </x:c>
      <x:c r="L1610">
        <x:f>IF(A1610="","",IF(COUNTIFS($A$5:$A$2004,A1610,$C$5:$C$2004,C1610)&gt;1,1,0))</x:f>
      </x:c>
    </x:row>
    <x:row r="1611">
      <x:c r="A1611" s="8" t="n"/>
      <x:c r="B1611" s="8" t="n"/>
      <x:c r="C1611" s="8" t="n"/>
      <x:c r="D1611" s="8" t="n"/>
      <x:c r="E1611" s="8" t="n"/>
      <x:c r="F1611" s="8" t="n"/>
      <x:c r="G1611" s="7">
        <x:f>IF(A1611="","",IF(01_Parametres!$B$11="Oui",IF((01_Parametres!$B$4*(D1611&gt;0)+01_Parametres!$B$5*(E1611&gt;0)+01_Parametres!$B$6*(F1611&gt;0))=0,"",(01_Parametres!$B$4*IF(D1611&gt;0,D1611,0)+01_Parametres!$B$5*IF(E1611&gt;0,E1611,0)+01_Parametres!$B$6*IF(F1611&gt;0,F1611,0))/(01_Parametres!$B$4*(D1611&gt;0)+01_Parametres!$B$5*(E1611&gt;0)+01_Parametres!$B$6*(F1611&gt;0))),IF(01_Parametres!$B$8=0,"",(01_Parametres!$B$4*D1611+01_Parametres!$B$5*E1611+01_Parametres!$B$6*F1611)/01_Parametres!$B$8)))</x:f>
      </x:c>
      <x:c r="H1611">
        <x:f>IFERROR(VLOOKUP(C1611,02_Referentiels!$A$20:$D$99,3,FALSE),"")</x:f>
      </x:c>
      <x:c r="I1611">
        <x:f>IFERROR(VLOOKUP(B1611,02_Referentiels!$A$5:$C$16,2,FALSE),"")</x:f>
      </x:c>
      <x:c r="J1611">
        <x:f>IF(A1611="","",IF(OR(D1611="",E1611="",F1611=""),1,IF(OR(D1611&lt;0,D1611&gt;3,E1611&lt;0,E1611&gt;3,F1611&lt;0,F1611&gt;3),1,0)))</x:f>
      </x:c>
      <x:c r="K1611">
        <x:f>IF(A1611="","",IF(G1611="",1,0))</x:f>
      </x:c>
      <x:c r="L1611">
        <x:f>IF(A1611="","",IF(COUNTIFS($A$5:$A$2004,A1611,$C$5:$C$2004,C1611)&gt;1,1,0))</x:f>
      </x:c>
    </x:row>
    <x:row r="1612">
      <x:c r="A1612" s="8" t="n"/>
      <x:c r="B1612" s="8" t="n"/>
      <x:c r="C1612" s="8" t="n"/>
      <x:c r="D1612" s="8" t="n"/>
      <x:c r="E1612" s="8" t="n"/>
      <x:c r="F1612" s="8" t="n"/>
      <x:c r="G1612" s="7">
        <x:f>IF(A1612="","",IF(01_Parametres!$B$11="Oui",IF((01_Parametres!$B$4*(D1612&gt;0)+01_Parametres!$B$5*(E1612&gt;0)+01_Parametres!$B$6*(F1612&gt;0))=0,"",(01_Parametres!$B$4*IF(D1612&gt;0,D1612,0)+01_Parametres!$B$5*IF(E1612&gt;0,E1612,0)+01_Parametres!$B$6*IF(F1612&gt;0,F1612,0))/(01_Parametres!$B$4*(D1612&gt;0)+01_Parametres!$B$5*(E1612&gt;0)+01_Parametres!$B$6*(F1612&gt;0))),IF(01_Parametres!$B$8=0,"",(01_Parametres!$B$4*D1612+01_Parametres!$B$5*E1612+01_Parametres!$B$6*F1612)/01_Parametres!$B$8)))</x:f>
      </x:c>
      <x:c r="H1612">
        <x:f>IFERROR(VLOOKUP(C1612,02_Referentiels!$A$20:$D$99,3,FALSE),"")</x:f>
      </x:c>
      <x:c r="I1612">
        <x:f>IFERROR(VLOOKUP(B1612,02_Referentiels!$A$5:$C$16,2,FALSE),"")</x:f>
      </x:c>
      <x:c r="J1612">
        <x:f>IF(A1612="","",IF(OR(D1612="",E1612="",F1612=""),1,IF(OR(D1612&lt;0,D1612&gt;3,E1612&lt;0,E1612&gt;3,F1612&lt;0,F1612&gt;3),1,0)))</x:f>
      </x:c>
      <x:c r="K1612">
        <x:f>IF(A1612="","",IF(G1612="",1,0))</x:f>
      </x:c>
      <x:c r="L1612">
        <x:f>IF(A1612="","",IF(COUNTIFS($A$5:$A$2004,A1612,$C$5:$C$2004,C1612)&gt;1,1,0))</x:f>
      </x:c>
    </x:row>
    <x:row r="1613">
      <x:c r="A1613" s="8" t="n"/>
      <x:c r="B1613" s="8" t="n"/>
      <x:c r="C1613" s="8" t="n"/>
      <x:c r="D1613" s="8" t="n"/>
      <x:c r="E1613" s="8" t="n"/>
      <x:c r="F1613" s="8" t="n"/>
      <x:c r="G1613" s="7">
        <x:f>IF(A1613="","",IF(01_Parametres!$B$11="Oui",IF((01_Parametres!$B$4*(D1613&gt;0)+01_Parametres!$B$5*(E1613&gt;0)+01_Parametres!$B$6*(F1613&gt;0))=0,"",(01_Parametres!$B$4*IF(D1613&gt;0,D1613,0)+01_Parametres!$B$5*IF(E1613&gt;0,E1613,0)+01_Parametres!$B$6*IF(F1613&gt;0,F1613,0))/(01_Parametres!$B$4*(D1613&gt;0)+01_Parametres!$B$5*(E1613&gt;0)+01_Parametres!$B$6*(F1613&gt;0))),IF(01_Parametres!$B$8=0,"",(01_Parametres!$B$4*D1613+01_Parametres!$B$5*E1613+01_Parametres!$B$6*F1613)/01_Parametres!$B$8)))</x:f>
      </x:c>
      <x:c r="H1613">
        <x:f>IFERROR(VLOOKUP(C1613,02_Referentiels!$A$20:$D$99,3,FALSE),"")</x:f>
      </x:c>
      <x:c r="I1613">
        <x:f>IFERROR(VLOOKUP(B1613,02_Referentiels!$A$5:$C$16,2,FALSE),"")</x:f>
      </x:c>
      <x:c r="J1613">
        <x:f>IF(A1613="","",IF(OR(D1613="",E1613="",F1613=""),1,IF(OR(D1613&lt;0,D1613&gt;3,E1613&lt;0,E1613&gt;3,F1613&lt;0,F1613&gt;3),1,0)))</x:f>
      </x:c>
      <x:c r="K1613">
        <x:f>IF(A1613="","",IF(G1613="",1,0))</x:f>
      </x:c>
      <x:c r="L1613">
        <x:f>IF(A1613="","",IF(COUNTIFS($A$5:$A$2004,A1613,$C$5:$C$2004,C1613)&gt;1,1,0))</x:f>
      </x:c>
    </x:row>
    <x:row r="1614">
      <x:c r="A1614" s="8" t="n"/>
      <x:c r="B1614" s="8" t="n"/>
      <x:c r="C1614" s="8" t="n"/>
      <x:c r="D1614" s="8" t="n"/>
      <x:c r="E1614" s="8" t="n"/>
      <x:c r="F1614" s="8" t="n"/>
      <x:c r="G1614" s="7">
        <x:f>IF(A1614="","",IF(01_Parametres!$B$11="Oui",IF((01_Parametres!$B$4*(D1614&gt;0)+01_Parametres!$B$5*(E1614&gt;0)+01_Parametres!$B$6*(F1614&gt;0))=0,"",(01_Parametres!$B$4*IF(D1614&gt;0,D1614,0)+01_Parametres!$B$5*IF(E1614&gt;0,E1614,0)+01_Parametres!$B$6*IF(F1614&gt;0,F1614,0))/(01_Parametres!$B$4*(D1614&gt;0)+01_Parametres!$B$5*(E1614&gt;0)+01_Parametres!$B$6*(F1614&gt;0))),IF(01_Parametres!$B$8=0,"",(01_Parametres!$B$4*D1614+01_Parametres!$B$5*E1614+01_Parametres!$B$6*F1614)/01_Parametres!$B$8)))</x:f>
      </x:c>
      <x:c r="H1614">
        <x:f>IFERROR(VLOOKUP(C1614,02_Referentiels!$A$20:$D$99,3,FALSE),"")</x:f>
      </x:c>
      <x:c r="I1614">
        <x:f>IFERROR(VLOOKUP(B1614,02_Referentiels!$A$5:$C$16,2,FALSE),"")</x:f>
      </x:c>
      <x:c r="J1614">
        <x:f>IF(A1614="","",IF(OR(D1614="",E1614="",F1614=""),1,IF(OR(D1614&lt;0,D1614&gt;3,E1614&lt;0,E1614&gt;3,F1614&lt;0,F1614&gt;3),1,0)))</x:f>
      </x:c>
      <x:c r="K1614">
        <x:f>IF(A1614="","",IF(G1614="",1,0))</x:f>
      </x:c>
      <x:c r="L1614">
        <x:f>IF(A1614="","",IF(COUNTIFS($A$5:$A$2004,A1614,$C$5:$C$2004,C1614)&gt;1,1,0))</x:f>
      </x:c>
    </x:row>
    <x:row r="1615">
      <x:c r="A1615" s="8" t="n"/>
      <x:c r="B1615" s="8" t="n"/>
      <x:c r="C1615" s="8" t="n"/>
      <x:c r="D1615" s="8" t="n"/>
      <x:c r="E1615" s="8" t="n"/>
      <x:c r="F1615" s="8" t="n"/>
      <x:c r="G1615" s="7">
        <x:f>IF(A1615="","",IF(01_Parametres!$B$11="Oui",IF((01_Parametres!$B$4*(D1615&gt;0)+01_Parametres!$B$5*(E1615&gt;0)+01_Parametres!$B$6*(F1615&gt;0))=0,"",(01_Parametres!$B$4*IF(D1615&gt;0,D1615,0)+01_Parametres!$B$5*IF(E1615&gt;0,E1615,0)+01_Parametres!$B$6*IF(F1615&gt;0,F1615,0))/(01_Parametres!$B$4*(D1615&gt;0)+01_Parametres!$B$5*(E1615&gt;0)+01_Parametres!$B$6*(F1615&gt;0))),IF(01_Parametres!$B$8=0,"",(01_Parametres!$B$4*D1615+01_Parametres!$B$5*E1615+01_Parametres!$B$6*F1615)/01_Parametres!$B$8)))</x:f>
      </x:c>
      <x:c r="H1615">
        <x:f>IFERROR(VLOOKUP(C1615,02_Referentiels!$A$20:$D$99,3,FALSE),"")</x:f>
      </x:c>
      <x:c r="I1615">
        <x:f>IFERROR(VLOOKUP(B1615,02_Referentiels!$A$5:$C$16,2,FALSE),"")</x:f>
      </x:c>
      <x:c r="J1615">
        <x:f>IF(A1615="","",IF(OR(D1615="",E1615="",F1615=""),1,IF(OR(D1615&lt;0,D1615&gt;3,E1615&lt;0,E1615&gt;3,F1615&lt;0,F1615&gt;3),1,0)))</x:f>
      </x:c>
      <x:c r="K1615">
        <x:f>IF(A1615="","",IF(G1615="",1,0))</x:f>
      </x:c>
      <x:c r="L1615">
        <x:f>IF(A1615="","",IF(COUNTIFS($A$5:$A$2004,A1615,$C$5:$C$2004,C1615)&gt;1,1,0))</x:f>
      </x:c>
    </x:row>
    <x:row r="1616">
      <x:c r="A1616" s="8" t="n"/>
      <x:c r="B1616" s="8" t="n"/>
      <x:c r="C1616" s="8" t="n"/>
      <x:c r="D1616" s="8" t="n"/>
      <x:c r="E1616" s="8" t="n"/>
      <x:c r="F1616" s="8" t="n"/>
      <x:c r="G1616" s="7">
        <x:f>IF(A1616="","",IF(01_Parametres!$B$11="Oui",IF((01_Parametres!$B$4*(D1616&gt;0)+01_Parametres!$B$5*(E1616&gt;0)+01_Parametres!$B$6*(F1616&gt;0))=0,"",(01_Parametres!$B$4*IF(D1616&gt;0,D1616,0)+01_Parametres!$B$5*IF(E1616&gt;0,E1616,0)+01_Parametres!$B$6*IF(F1616&gt;0,F1616,0))/(01_Parametres!$B$4*(D1616&gt;0)+01_Parametres!$B$5*(E1616&gt;0)+01_Parametres!$B$6*(F1616&gt;0))),IF(01_Parametres!$B$8=0,"",(01_Parametres!$B$4*D1616+01_Parametres!$B$5*E1616+01_Parametres!$B$6*F1616)/01_Parametres!$B$8)))</x:f>
      </x:c>
      <x:c r="H1616">
        <x:f>IFERROR(VLOOKUP(C1616,02_Referentiels!$A$20:$D$99,3,FALSE),"")</x:f>
      </x:c>
      <x:c r="I1616">
        <x:f>IFERROR(VLOOKUP(B1616,02_Referentiels!$A$5:$C$16,2,FALSE),"")</x:f>
      </x:c>
      <x:c r="J1616">
        <x:f>IF(A1616="","",IF(OR(D1616="",E1616="",F1616=""),1,IF(OR(D1616&lt;0,D1616&gt;3,E1616&lt;0,E1616&gt;3,F1616&lt;0,F1616&gt;3),1,0)))</x:f>
      </x:c>
      <x:c r="K1616">
        <x:f>IF(A1616="","",IF(G1616="",1,0))</x:f>
      </x:c>
      <x:c r="L1616">
        <x:f>IF(A1616="","",IF(COUNTIFS($A$5:$A$2004,A1616,$C$5:$C$2004,C1616)&gt;1,1,0))</x:f>
      </x:c>
    </x:row>
    <x:row r="1617">
      <x:c r="A1617" s="8" t="n"/>
      <x:c r="B1617" s="8" t="n"/>
      <x:c r="C1617" s="8" t="n"/>
      <x:c r="D1617" s="8" t="n"/>
      <x:c r="E1617" s="8" t="n"/>
      <x:c r="F1617" s="8" t="n"/>
      <x:c r="G1617" s="7">
        <x:f>IF(A1617="","",IF(01_Parametres!$B$11="Oui",IF((01_Parametres!$B$4*(D1617&gt;0)+01_Parametres!$B$5*(E1617&gt;0)+01_Parametres!$B$6*(F1617&gt;0))=0,"",(01_Parametres!$B$4*IF(D1617&gt;0,D1617,0)+01_Parametres!$B$5*IF(E1617&gt;0,E1617,0)+01_Parametres!$B$6*IF(F1617&gt;0,F1617,0))/(01_Parametres!$B$4*(D1617&gt;0)+01_Parametres!$B$5*(E1617&gt;0)+01_Parametres!$B$6*(F1617&gt;0))),IF(01_Parametres!$B$8=0,"",(01_Parametres!$B$4*D1617+01_Parametres!$B$5*E1617+01_Parametres!$B$6*F1617)/01_Parametres!$B$8)))</x:f>
      </x:c>
      <x:c r="H1617">
        <x:f>IFERROR(VLOOKUP(C1617,02_Referentiels!$A$20:$D$99,3,FALSE),"")</x:f>
      </x:c>
      <x:c r="I1617">
        <x:f>IFERROR(VLOOKUP(B1617,02_Referentiels!$A$5:$C$16,2,FALSE),"")</x:f>
      </x:c>
      <x:c r="J1617">
        <x:f>IF(A1617="","",IF(OR(D1617="",E1617="",F1617=""),1,IF(OR(D1617&lt;0,D1617&gt;3,E1617&lt;0,E1617&gt;3,F1617&lt;0,F1617&gt;3),1,0)))</x:f>
      </x:c>
      <x:c r="K1617">
        <x:f>IF(A1617="","",IF(G1617="",1,0))</x:f>
      </x:c>
      <x:c r="L1617">
        <x:f>IF(A1617="","",IF(COUNTIFS($A$5:$A$2004,A1617,$C$5:$C$2004,C1617)&gt;1,1,0))</x:f>
      </x:c>
    </x:row>
    <x:row r="1618">
      <x:c r="A1618" s="8" t="n"/>
      <x:c r="B1618" s="8" t="n"/>
      <x:c r="C1618" s="8" t="n"/>
      <x:c r="D1618" s="8" t="n"/>
      <x:c r="E1618" s="8" t="n"/>
      <x:c r="F1618" s="8" t="n"/>
      <x:c r="G1618" s="7">
        <x:f>IF(A1618="","",IF(01_Parametres!$B$11="Oui",IF((01_Parametres!$B$4*(D1618&gt;0)+01_Parametres!$B$5*(E1618&gt;0)+01_Parametres!$B$6*(F1618&gt;0))=0,"",(01_Parametres!$B$4*IF(D1618&gt;0,D1618,0)+01_Parametres!$B$5*IF(E1618&gt;0,E1618,0)+01_Parametres!$B$6*IF(F1618&gt;0,F1618,0))/(01_Parametres!$B$4*(D1618&gt;0)+01_Parametres!$B$5*(E1618&gt;0)+01_Parametres!$B$6*(F1618&gt;0))),IF(01_Parametres!$B$8=0,"",(01_Parametres!$B$4*D1618+01_Parametres!$B$5*E1618+01_Parametres!$B$6*F1618)/01_Parametres!$B$8)))</x:f>
      </x:c>
      <x:c r="H1618">
        <x:f>IFERROR(VLOOKUP(C1618,02_Referentiels!$A$20:$D$99,3,FALSE),"")</x:f>
      </x:c>
      <x:c r="I1618">
        <x:f>IFERROR(VLOOKUP(B1618,02_Referentiels!$A$5:$C$16,2,FALSE),"")</x:f>
      </x:c>
      <x:c r="J1618">
        <x:f>IF(A1618="","",IF(OR(D1618="",E1618="",F1618=""),1,IF(OR(D1618&lt;0,D1618&gt;3,E1618&lt;0,E1618&gt;3,F1618&lt;0,F1618&gt;3),1,0)))</x:f>
      </x:c>
      <x:c r="K1618">
        <x:f>IF(A1618="","",IF(G1618="",1,0))</x:f>
      </x:c>
      <x:c r="L1618">
        <x:f>IF(A1618="","",IF(COUNTIFS($A$5:$A$2004,A1618,$C$5:$C$2004,C1618)&gt;1,1,0))</x:f>
      </x:c>
    </x:row>
    <x:row r="1619">
      <x:c r="A1619" s="8" t="n"/>
      <x:c r="B1619" s="8" t="n"/>
      <x:c r="C1619" s="8" t="n"/>
      <x:c r="D1619" s="8" t="n"/>
      <x:c r="E1619" s="8" t="n"/>
      <x:c r="F1619" s="8" t="n"/>
      <x:c r="G1619" s="7">
        <x:f>IF(A1619="","",IF(01_Parametres!$B$11="Oui",IF((01_Parametres!$B$4*(D1619&gt;0)+01_Parametres!$B$5*(E1619&gt;0)+01_Parametres!$B$6*(F1619&gt;0))=0,"",(01_Parametres!$B$4*IF(D1619&gt;0,D1619,0)+01_Parametres!$B$5*IF(E1619&gt;0,E1619,0)+01_Parametres!$B$6*IF(F1619&gt;0,F1619,0))/(01_Parametres!$B$4*(D1619&gt;0)+01_Parametres!$B$5*(E1619&gt;0)+01_Parametres!$B$6*(F1619&gt;0))),IF(01_Parametres!$B$8=0,"",(01_Parametres!$B$4*D1619+01_Parametres!$B$5*E1619+01_Parametres!$B$6*F1619)/01_Parametres!$B$8)))</x:f>
      </x:c>
      <x:c r="H1619">
        <x:f>IFERROR(VLOOKUP(C1619,02_Referentiels!$A$20:$D$99,3,FALSE),"")</x:f>
      </x:c>
      <x:c r="I1619">
        <x:f>IFERROR(VLOOKUP(B1619,02_Referentiels!$A$5:$C$16,2,FALSE),"")</x:f>
      </x:c>
      <x:c r="J1619">
        <x:f>IF(A1619="","",IF(OR(D1619="",E1619="",F1619=""),1,IF(OR(D1619&lt;0,D1619&gt;3,E1619&lt;0,E1619&gt;3,F1619&lt;0,F1619&gt;3),1,0)))</x:f>
      </x:c>
      <x:c r="K1619">
        <x:f>IF(A1619="","",IF(G1619="",1,0))</x:f>
      </x:c>
      <x:c r="L1619">
        <x:f>IF(A1619="","",IF(COUNTIFS($A$5:$A$2004,A1619,$C$5:$C$2004,C1619)&gt;1,1,0))</x:f>
      </x:c>
    </x:row>
    <x:row r="1620">
      <x:c r="A1620" s="8" t="n"/>
      <x:c r="B1620" s="8" t="n"/>
      <x:c r="C1620" s="8" t="n"/>
      <x:c r="D1620" s="8" t="n"/>
      <x:c r="E1620" s="8" t="n"/>
      <x:c r="F1620" s="8" t="n"/>
      <x:c r="G1620" s="7">
        <x:f>IF(A1620="","",IF(01_Parametres!$B$11="Oui",IF((01_Parametres!$B$4*(D1620&gt;0)+01_Parametres!$B$5*(E1620&gt;0)+01_Parametres!$B$6*(F1620&gt;0))=0,"",(01_Parametres!$B$4*IF(D1620&gt;0,D1620,0)+01_Parametres!$B$5*IF(E1620&gt;0,E1620,0)+01_Parametres!$B$6*IF(F1620&gt;0,F1620,0))/(01_Parametres!$B$4*(D1620&gt;0)+01_Parametres!$B$5*(E1620&gt;0)+01_Parametres!$B$6*(F1620&gt;0))),IF(01_Parametres!$B$8=0,"",(01_Parametres!$B$4*D1620+01_Parametres!$B$5*E1620+01_Parametres!$B$6*F1620)/01_Parametres!$B$8)))</x:f>
      </x:c>
      <x:c r="H1620">
        <x:f>IFERROR(VLOOKUP(C1620,02_Referentiels!$A$20:$D$99,3,FALSE),"")</x:f>
      </x:c>
      <x:c r="I1620">
        <x:f>IFERROR(VLOOKUP(B1620,02_Referentiels!$A$5:$C$16,2,FALSE),"")</x:f>
      </x:c>
      <x:c r="J1620">
        <x:f>IF(A1620="","",IF(OR(D1620="",E1620="",F1620=""),1,IF(OR(D1620&lt;0,D1620&gt;3,E1620&lt;0,E1620&gt;3,F1620&lt;0,F1620&gt;3),1,0)))</x:f>
      </x:c>
      <x:c r="K1620">
        <x:f>IF(A1620="","",IF(G1620="",1,0))</x:f>
      </x:c>
      <x:c r="L1620">
        <x:f>IF(A1620="","",IF(COUNTIFS($A$5:$A$2004,A1620,$C$5:$C$2004,C1620)&gt;1,1,0))</x:f>
      </x:c>
    </x:row>
    <x:row r="1621">
      <x:c r="A1621" s="8" t="n"/>
      <x:c r="B1621" s="8" t="n"/>
      <x:c r="C1621" s="8" t="n"/>
      <x:c r="D1621" s="8" t="n"/>
      <x:c r="E1621" s="8" t="n"/>
      <x:c r="F1621" s="8" t="n"/>
      <x:c r="G1621" s="7">
        <x:f>IF(A1621="","",IF(01_Parametres!$B$11="Oui",IF((01_Parametres!$B$4*(D1621&gt;0)+01_Parametres!$B$5*(E1621&gt;0)+01_Parametres!$B$6*(F1621&gt;0))=0,"",(01_Parametres!$B$4*IF(D1621&gt;0,D1621,0)+01_Parametres!$B$5*IF(E1621&gt;0,E1621,0)+01_Parametres!$B$6*IF(F1621&gt;0,F1621,0))/(01_Parametres!$B$4*(D1621&gt;0)+01_Parametres!$B$5*(E1621&gt;0)+01_Parametres!$B$6*(F1621&gt;0))),IF(01_Parametres!$B$8=0,"",(01_Parametres!$B$4*D1621+01_Parametres!$B$5*E1621+01_Parametres!$B$6*F1621)/01_Parametres!$B$8)))</x:f>
      </x:c>
      <x:c r="H1621">
        <x:f>IFERROR(VLOOKUP(C1621,02_Referentiels!$A$20:$D$99,3,FALSE),"")</x:f>
      </x:c>
      <x:c r="I1621">
        <x:f>IFERROR(VLOOKUP(B1621,02_Referentiels!$A$5:$C$16,2,FALSE),"")</x:f>
      </x:c>
      <x:c r="J1621">
        <x:f>IF(A1621="","",IF(OR(D1621="",E1621="",F1621=""),1,IF(OR(D1621&lt;0,D1621&gt;3,E1621&lt;0,E1621&gt;3,F1621&lt;0,F1621&gt;3),1,0)))</x:f>
      </x:c>
      <x:c r="K1621">
        <x:f>IF(A1621="","",IF(G1621="",1,0))</x:f>
      </x:c>
      <x:c r="L1621">
        <x:f>IF(A1621="","",IF(COUNTIFS($A$5:$A$2004,A1621,$C$5:$C$2004,C1621)&gt;1,1,0))</x:f>
      </x:c>
    </x:row>
    <x:row r="1622">
      <x:c r="A1622" s="8" t="n"/>
      <x:c r="B1622" s="8" t="n"/>
      <x:c r="C1622" s="8" t="n"/>
      <x:c r="D1622" s="8" t="n"/>
      <x:c r="E1622" s="8" t="n"/>
      <x:c r="F1622" s="8" t="n"/>
      <x:c r="G1622" s="7">
        <x:f>IF(A1622="","",IF(01_Parametres!$B$11="Oui",IF((01_Parametres!$B$4*(D1622&gt;0)+01_Parametres!$B$5*(E1622&gt;0)+01_Parametres!$B$6*(F1622&gt;0))=0,"",(01_Parametres!$B$4*IF(D1622&gt;0,D1622,0)+01_Parametres!$B$5*IF(E1622&gt;0,E1622,0)+01_Parametres!$B$6*IF(F1622&gt;0,F1622,0))/(01_Parametres!$B$4*(D1622&gt;0)+01_Parametres!$B$5*(E1622&gt;0)+01_Parametres!$B$6*(F1622&gt;0))),IF(01_Parametres!$B$8=0,"",(01_Parametres!$B$4*D1622+01_Parametres!$B$5*E1622+01_Parametres!$B$6*F1622)/01_Parametres!$B$8)))</x:f>
      </x:c>
      <x:c r="H1622">
        <x:f>IFERROR(VLOOKUP(C1622,02_Referentiels!$A$20:$D$99,3,FALSE),"")</x:f>
      </x:c>
      <x:c r="I1622">
        <x:f>IFERROR(VLOOKUP(B1622,02_Referentiels!$A$5:$C$16,2,FALSE),"")</x:f>
      </x:c>
      <x:c r="J1622">
        <x:f>IF(A1622="","",IF(OR(D1622="",E1622="",F1622=""),1,IF(OR(D1622&lt;0,D1622&gt;3,E1622&lt;0,E1622&gt;3,F1622&lt;0,F1622&gt;3),1,0)))</x:f>
      </x:c>
      <x:c r="K1622">
        <x:f>IF(A1622="","",IF(G1622="",1,0))</x:f>
      </x:c>
      <x:c r="L1622">
        <x:f>IF(A1622="","",IF(COUNTIFS($A$5:$A$2004,A1622,$C$5:$C$2004,C1622)&gt;1,1,0))</x:f>
      </x:c>
    </x:row>
    <x:row r="1623">
      <x:c r="A1623" s="8" t="n"/>
      <x:c r="B1623" s="8" t="n"/>
      <x:c r="C1623" s="8" t="n"/>
      <x:c r="D1623" s="8" t="n"/>
      <x:c r="E1623" s="8" t="n"/>
      <x:c r="F1623" s="8" t="n"/>
      <x:c r="G1623" s="7">
        <x:f>IF(A1623="","",IF(01_Parametres!$B$11="Oui",IF((01_Parametres!$B$4*(D1623&gt;0)+01_Parametres!$B$5*(E1623&gt;0)+01_Parametres!$B$6*(F1623&gt;0))=0,"",(01_Parametres!$B$4*IF(D1623&gt;0,D1623,0)+01_Parametres!$B$5*IF(E1623&gt;0,E1623,0)+01_Parametres!$B$6*IF(F1623&gt;0,F1623,0))/(01_Parametres!$B$4*(D1623&gt;0)+01_Parametres!$B$5*(E1623&gt;0)+01_Parametres!$B$6*(F1623&gt;0))),IF(01_Parametres!$B$8=0,"",(01_Parametres!$B$4*D1623+01_Parametres!$B$5*E1623+01_Parametres!$B$6*F1623)/01_Parametres!$B$8)))</x:f>
      </x:c>
      <x:c r="H1623">
        <x:f>IFERROR(VLOOKUP(C1623,02_Referentiels!$A$20:$D$99,3,FALSE),"")</x:f>
      </x:c>
      <x:c r="I1623">
        <x:f>IFERROR(VLOOKUP(B1623,02_Referentiels!$A$5:$C$16,2,FALSE),"")</x:f>
      </x:c>
      <x:c r="J1623">
        <x:f>IF(A1623="","",IF(OR(D1623="",E1623="",F1623=""),1,IF(OR(D1623&lt;0,D1623&gt;3,E1623&lt;0,E1623&gt;3,F1623&lt;0,F1623&gt;3),1,0)))</x:f>
      </x:c>
      <x:c r="K1623">
        <x:f>IF(A1623="","",IF(G1623="",1,0))</x:f>
      </x:c>
      <x:c r="L1623">
        <x:f>IF(A1623="","",IF(COUNTIFS($A$5:$A$2004,A1623,$C$5:$C$2004,C1623)&gt;1,1,0))</x:f>
      </x:c>
    </x:row>
    <x:row r="1624">
      <x:c r="A1624" s="8" t="n"/>
      <x:c r="B1624" s="8" t="n"/>
      <x:c r="C1624" s="8" t="n"/>
      <x:c r="D1624" s="8" t="n"/>
      <x:c r="E1624" s="8" t="n"/>
      <x:c r="F1624" s="8" t="n"/>
      <x:c r="G1624" s="7">
        <x:f>IF(A1624="","",IF(01_Parametres!$B$11="Oui",IF((01_Parametres!$B$4*(D1624&gt;0)+01_Parametres!$B$5*(E1624&gt;0)+01_Parametres!$B$6*(F1624&gt;0))=0,"",(01_Parametres!$B$4*IF(D1624&gt;0,D1624,0)+01_Parametres!$B$5*IF(E1624&gt;0,E1624,0)+01_Parametres!$B$6*IF(F1624&gt;0,F1624,0))/(01_Parametres!$B$4*(D1624&gt;0)+01_Parametres!$B$5*(E1624&gt;0)+01_Parametres!$B$6*(F1624&gt;0))),IF(01_Parametres!$B$8=0,"",(01_Parametres!$B$4*D1624+01_Parametres!$B$5*E1624+01_Parametres!$B$6*F1624)/01_Parametres!$B$8)))</x:f>
      </x:c>
      <x:c r="H1624">
        <x:f>IFERROR(VLOOKUP(C1624,02_Referentiels!$A$20:$D$99,3,FALSE),"")</x:f>
      </x:c>
      <x:c r="I1624">
        <x:f>IFERROR(VLOOKUP(B1624,02_Referentiels!$A$5:$C$16,2,FALSE),"")</x:f>
      </x:c>
      <x:c r="J1624">
        <x:f>IF(A1624="","",IF(OR(D1624="",E1624="",F1624=""),1,IF(OR(D1624&lt;0,D1624&gt;3,E1624&lt;0,E1624&gt;3,F1624&lt;0,F1624&gt;3),1,0)))</x:f>
      </x:c>
      <x:c r="K1624">
        <x:f>IF(A1624="","",IF(G1624="",1,0))</x:f>
      </x:c>
      <x:c r="L1624">
        <x:f>IF(A1624="","",IF(COUNTIFS($A$5:$A$2004,A1624,$C$5:$C$2004,C1624)&gt;1,1,0))</x:f>
      </x:c>
    </x:row>
    <x:row r="1625">
      <x:c r="A1625" s="8" t="n"/>
      <x:c r="B1625" s="8" t="n"/>
      <x:c r="C1625" s="8" t="n"/>
      <x:c r="D1625" s="8" t="n"/>
      <x:c r="E1625" s="8" t="n"/>
      <x:c r="F1625" s="8" t="n"/>
      <x:c r="G1625" s="7">
        <x:f>IF(A1625="","",IF(01_Parametres!$B$11="Oui",IF((01_Parametres!$B$4*(D1625&gt;0)+01_Parametres!$B$5*(E1625&gt;0)+01_Parametres!$B$6*(F1625&gt;0))=0,"",(01_Parametres!$B$4*IF(D1625&gt;0,D1625,0)+01_Parametres!$B$5*IF(E1625&gt;0,E1625,0)+01_Parametres!$B$6*IF(F1625&gt;0,F1625,0))/(01_Parametres!$B$4*(D1625&gt;0)+01_Parametres!$B$5*(E1625&gt;0)+01_Parametres!$B$6*(F1625&gt;0))),IF(01_Parametres!$B$8=0,"",(01_Parametres!$B$4*D1625+01_Parametres!$B$5*E1625+01_Parametres!$B$6*F1625)/01_Parametres!$B$8)))</x:f>
      </x:c>
      <x:c r="H1625">
        <x:f>IFERROR(VLOOKUP(C1625,02_Referentiels!$A$20:$D$99,3,FALSE),"")</x:f>
      </x:c>
      <x:c r="I1625">
        <x:f>IFERROR(VLOOKUP(B1625,02_Referentiels!$A$5:$C$16,2,FALSE),"")</x:f>
      </x:c>
      <x:c r="J1625">
        <x:f>IF(A1625="","",IF(OR(D1625="",E1625="",F1625=""),1,IF(OR(D1625&lt;0,D1625&gt;3,E1625&lt;0,E1625&gt;3,F1625&lt;0,F1625&gt;3),1,0)))</x:f>
      </x:c>
      <x:c r="K1625">
        <x:f>IF(A1625="","",IF(G1625="",1,0))</x:f>
      </x:c>
      <x:c r="L1625">
        <x:f>IF(A1625="","",IF(COUNTIFS($A$5:$A$2004,A1625,$C$5:$C$2004,C1625)&gt;1,1,0))</x:f>
      </x:c>
    </x:row>
    <x:row r="1626">
      <x:c r="A1626" s="8" t="n"/>
      <x:c r="B1626" s="8" t="n"/>
      <x:c r="C1626" s="8" t="n"/>
      <x:c r="D1626" s="8" t="n"/>
      <x:c r="E1626" s="8" t="n"/>
      <x:c r="F1626" s="8" t="n"/>
      <x:c r="G1626" s="7">
        <x:f>IF(A1626="","",IF(01_Parametres!$B$11="Oui",IF((01_Parametres!$B$4*(D1626&gt;0)+01_Parametres!$B$5*(E1626&gt;0)+01_Parametres!$B$6*(F1626&gt;0))=0,"",(01_Parametres!$B$4*IF(D1626&gt;0,D1626,0)+01_Parametres!$B$5*IF(E1626&gt;0,E1626,0)+01_Parametres!$B$6*IF(F1626&gt;0,F1626,0))/(01_Parametres!$B$4*(D1626&gt;0)+01_Parametres!$B$5*(E1626&gt;0)+01_Parametres!$B$6*(F1626&gt;0))),IF(01_Parametres!$B$8=0,"",(01_Parametres!$B$4*D1626+01_Parametres!$B$5*E1626+01_Parametres!$B$6*F1626)/01_Parametres!$B$8)))</x:f>
      </x:c>
      <x:c r="H1626">
        <x:f>IFERROR(VLOOKUP(C1626,02_Referentiels!$A$20:$D$99,3,FALSE),"")</x:f>
      </x:c>
      <x:c r="I1626">
        <x:f>IFERROR(VLOOKUP(B1626,02_Referentiels!$A$5:$C$16,2,FALSE),"")</x:f>
      </x:c>
      <x:c r="J1626">
        <x:f>IF(A1626="","",IF(OR(D1626="",E1626="",F1626=""),1,IF(OR(D1626&lt;0,D1626&gt;3,E1626&lt;0,E1626&gt;3,F1626&lt;0,F1626&gt;3),1,0)))</x:f>
      </x:c>
      <x:c r="K1626">
        <x:f>IF(A1626="","",IF(G1626="",1,0))</x:f>
      </x:c>
      <x:c r="L1626">
        <x:f>IF(A1626="","",IF(COUNTIFS($A$5:$A$2004,A1626,$C$5:$C$2004,C1626)&gt;1,1,0))</x:f>
      </x:c>
    </x:row>
    <x:row r="1627">
      <x:c r="A1627" s="8" t="n"/>
      <x:c r="B1627" s="8" t="n"/>
      <x:c r="C1627" s="8" t="n"/>
      <x:c r="D1627" s="8" t="n"/>
      <x:c r="E1627" s="8" t="n"/>
      <x:c r="F1627" s="8" t="n"/>
      <x:c r="G1627" s="7">
        <x:f>IF(A1627="","",IF(01_Parametres!$B$11="Oui",IF((01_Parametres!$B$4*(D1627&gt;0)+01_Parametres!$B$5*(E1627&gt;0)+01_Parametres!$B$6*(F1627&gt;0))=0,"",(01_Parametres!$B$4*IF(D1627&gt;0,D1627,0)+01_Parametres!$B$5*IF(E1627&gt;0,E1627,0)+01_Parametres!$B$6*IF(F1627&gt;0,F1627,0))/(01_Parametres!$B$4*(D1627&gt;0)+01_Parametres!$B$5*(E1627&gt;0)+01_Parametres!$B$6*(F1627&gt;0))),IF(01_Parametres!$B$8=0,"",(01_Parametres!$B$4*D1627+01_Parametres!$B$5*E1627+01_Parametres!$B$6*F1627)/01_Parametres!$B$8)))</x:f>
      </x:c>
      <x:c r="H1627">
        <x:f>IFERROR(VLOOKUP(C1627,02_Referentiels!$A$20:$D$99,3,FALSE),"")</x:f>
      </x:c>
      <x:c r="I1627">
        <x:f>IFERROR(VLOOKUP(B1627,02_Referentiels!$A$5:$C$16,2,FALSE),"")</x:f>
      </x:c>
      <x:c r="J1627">
        <x:f>IF(A1627="","",IF(OR(D1627="",E1627="",F1627=""),1,IF(OR(D1627&lt;0,D1627&gt;3,E1627&lt;0,E1627&gt;3,F1627&lt;0,F1627&gt;3),1,0)))</x:f>
      </x:c>
      <x:c r="K1627">
        <x:f>IF(A1627="","",IF(G1627="",1,0))</x:f>
      </x:c>
      <x:c r="L1627">
        <x:f>IF(A1627="","",IF(COUNTIFS($A$5:$A$2004,A1627,$C$5:$C$2004,C1627)&gt;1,1,0))</x:f>
      </x:c>
    </x:row>
    <x:row r="1628">
      <x:c r="A1628" s="8" t="n"/>
      <x:c r="B1628" s="8" t="n"/>
      <x:c r="C1628" s="8" t="n"/>
      <x:c r="D1628" s="8" t="n"/>
      <x:c r="E1628" s="8" t="n"/>
      <x:c r="F1628" s="8" t="n"/>
      <x:c r="G1628" s="7">
        <x:f>IF(A1628="","",IF(01_Parametres!$B$11="Oui",IF((01_Parametres!$B$4*(D1628&gt;0)+01_Parametres!$B$5*(E1628&gt;0)+01_Parametres!$B$6*(F1628&gt;0))=0,"",(01_Parametres!$B$4*IF(D1628&gt;0,D1628,0)+01_Parametres!$B$5*IF(E1628&gt;0,E1628,0)+01_Parametres!$B$6*IF(F1628&gt;0,F1628,0))/(01_Parametres!$B$4*(D1628&gt;0)+01_Parametres!$B$5*(E1628&gt;0)+01_Parametres!$B$6*(F1628&gt;0))),IF(01_Parametres!$B$8=0,"",(01_Parametres!$B$4*D1628+01_Parametres!$B$5*E1628+01_Parametres!$B$6*F1628)/01_Parametres!$B$8)))</x:f>
      </x:c>
      <x:c r="H1628">
        <x:f>IFERROR(VLOOKUP(C1628,02_Referentiels!$A$20:$D$99,3,FALSE),"")</x:f>
      </x:c>
      <x:c r="I1628">
        <x:f>IFERROR(VLOOKUP(B1628,02_Referentiels!$A$5:$C$16,2,FALSE),"")</x:f>
      </x:c>
      <x:c r="J1628">
        <x:f>IF(A1628="","",IF(OR(D1628="",E1628="",F1628=""),1,IF(OR(D1628&lt;0,D1628&gt;3,E1628&lt;0,E1628&gt;3,F1628&lt;0,F1628&gt;3),1,0)))</x:f>
      </x:c>
      <x:c r="K1628">
        <x:f>IF(A1628="","",IF(G1628="",1,0))</x:f>
      </x:c>
      <x:c r="L1628">
        <x:f>IF(A1628="","",IF(COUNTIFS($A$5:$A$2004,A1628,$C$5:$C$2004,C1628)&gt;1,1,0))</x:f>
      </x:c>
    </x:row>
    <x:row r="1629">
      <x:c r="A1629" s="8" t="n"/>
      <x:c r="B1629" s="8" t="n"/>
      <x:c r="C1629" s="8" t="n"/>
      <x:c r="D1629" s="8" t="n"/>
      <x:c r="E1629" s="8" t="n"/>
      <x:c r="F1629" s="8" t="n"/>
      <x:c r="G1629" s="7">
        <x:f>IF(A1629="","",IF(01_Parametres!$B$11="Oui",IF((01_Parametres!$B$4*(D1629&gt;0)+01_Parametres!$B$5*(E1629&gt;0)+01_Parametres!$B$6*(F1629&gt;0))=0,"",(01_Parametres!$B$4*IF(D1629&gt;0,D1629,0)+01_Parametres!$B$5*IF(E1629&gt;0,E1629,0)+01_Parametres!$B$6*IF(F1629&gt;0,F1629,0))/(01_Parametres!$B$4*(D1629&gt;0)+01_Parametres!$B$5*(E1629&gt;0)+01_Parametres!$B$6*(F1629&gt;0))),IF(01_Parametres!$B$8=0,"",(01_Parametres!$B$4*D1629+01_Parametres!$B$5*E1629+01_Parametres!$B$6*F1629)/01_Parametres!$B$8)))</x:f>
      </x:c>
      <x:c r="H1629">
        <x:f>IFERROR(VLOOKUP(C1629,02_Referentiels!$A$20:$D$99,3,FALSE),"")</x:f>
      </x:c>
      <x:c r="I1629">
        <x:f>IFERROR(VLOOKUP(B1629,02_Referentiels!$A$5:$C$16,2,FALSE),"")</x:f>
      </x:c>
      <x:c r="J1629">
        <x:f>IF(A1629="","",IF(OR(D1629="",E1629="",F1629=""),1,IF(OR(D1629&lt;0,D1629&gt;3,E1629&lt;0,E1629&gt;3,F1629&lt;0,F1629&gt;3),1,0)))</x:f>
      </x:c>
      <x:c r="K1629">
        <x:f>IF(A1629="","",IF(G1629="",1,0))</x:f>
      </x:c>
      <x:c r="L1629">
        <x:f>IF(A1629="","",IF(COUNTIFS($A$5:$A$2004,A1629,$C$5:$C$2004,C1629)&gt;1,1,0))</x:f>
      </x:c>
    </x:row>
    <x:row r="1630">
      <x:c r="A1630" s="8" t="n"/>
      <x:c r="B1630" s="8" t="n"/>
      <x:c r="C1630" s="8" t="n"/>
      <x:c r="D1630" s="8" t="n"/>
      <x:c r="E1630" s="8" t="n"/>
      <x:c r="F1630" s="8" t="n"/>
      <x:c r="G1630" s="7">
        <x:f>IF(A1630="","",IF(01_Parametres!$B$11="Oui",IF((01_Parametres!$B$4*(D1630&gt;0)+01_Parametres!$B$5*(E1630&gt;0)+01_Parametres!$B$6*(F1630&gt;0))=0,"",(01_Parametres!$B$4*IF(D1630&gt;0,D1630,0)+01_Parametres!$B$5*IF(E1630&gt;0,E1630,0)+01_Parametres!$B$6*IF(F1630&gt;0,F1630,0))/(01_Parametres!$B$4*(D1630&gt;0)+01_Parametres!$B$5*(E1630&gt;0)+01_Parametres!$B$6*(F1630&gt;0))),IF(01_Parametres!$B$8=0,"",(01_Parametres!$B$4*D1630+01_Parametres!$B$5*E1630+01_Parametres!$B$6*F1630)/01_Parametres!$B$8)))</x:f>
      </x:c>
      <x:c r="H1630">
        <x:f>IFERROR(VLOOKUP(C1630,02_Referentiels!$A$20:$D$99,3,FALSE),"")</x:f>
      </x:c>
      <x:c r="I1630">
        <x:f>IFERROR(VLOOKUP(B1630,02_Referentiels!$A$5:$C$16,2,FALSE),"")</x:f>
      </x:c>
      <x:c r="J1630">
        <x:f>IF(A1630="","",IF(OR(D1630="",E1630="",F1630=""),1,IF(OR(D1630&lt;0,D1630&gt;3,E1630&lt;0,E1630&gt;3,F1630&lt;0,F1630&gt;3),1,0)))</x:f>
      </x:c>
      <x:c r="K1630">
        <x:f>IF(A1630="","",IF(G1630="",1,0))</x:f>
      </x:c>
      <x:c r="L1630">
        <x:f>IF(A1630="","",IF(COUNTIFS($A$5:$A$2004,A1630,$C$5:$C$2004,C1630)&gt;1,1,0))</x:f>
      </x:c>
    </x:row>
    <x:row r="1631">
      <x:c r="A1631" s="8" t="n"/>
      <x:c r="B1631" s="8" t="n"/>
      <x:c r="C1631" s="8" t="n"/>
      <x:c r="D1631" s="8" t="n"/>
      <x:c r="E1631" s="8" t="n"/>
      <x:c r="F1631" s="8" t="n"/>
      <x:c r="G1631" s="7">
        <x:f>IF(A1631="","",IF(01_Parametres!$B$11="Oui",IF((01_Parametres!$B$4*(D1631&gt;0)+01_Parametres!$B$5*(E1631&gt;0)+01_Parametres!$B$6*(F1631&gt;0))=0,"",(01_Parametres!$B$4*IF(D1631&gt;0,D1631,0)+01_Parametres!$B$5*IF(E1631&gt;0,E1631,0)+01_Parametres!$B$6*IF(F1631&gt;0,F1631,0))/(01_Parametres!$B$4*(D1631&gt;0)+01_Parametres!$B$5*(E1631&gt;0)+01_Parametres!$B$6*(F1631&gt;0))),IF(01_Parametres!$B$8=0,"",(01_Parametres!$B$4*D1631+01_Parametres!$B$5*E1631+01_Parametres!$B$6*F1631)/01_Parametres!$B$8)))</x:f>
      </x:c>
      <x:c r="H1631">
        <x:f>IFERROR(VLOOKUP(C1631,02_Referentiels!$A$20:$D$99,3,FALSE),"")</x:f>
      </x:c>
      <x:c r="I1631">
        <x:f>IFERROR(VLOOKUP(B1631,02_Referentiels!$A$5:$C$16,2,FALSE),"")</x:f>
      </x:c>
      <x:c r="J1631">
        <x:f>IF(A1631="","",IF(OR(D1631="",E1631="",F1631=""),1,IF(OR(D1631&lt;0,D1631&gt;3,E1631&lt;0,E1631&gt;3,F1631&lt;0,F1631&gt;3),1,0)))</x:f>
      </x:c>
      <x:c r="K1631">
        <x:f>IF(A1631="","",IF(G1631="",1,0))</x:f>
      </x:c>
      <x:c r="L1631">
        <x:f>IF(A1631="","",IF(COUNTIFS($A$5:$A$2004,A1631,$C$5:$C$2004,C1631)&gt;1,1,0))</x:f>
      </x:c>
    </x:row>
    <x:row r="1632">
      <x:c r="A1632" s="8" t="n"/>
      <x:c r="B1632" s="8" t="n"/>
      <x:c r="C1632" s="8" t="n"/>
      <x:c r="D1632" s="8" t="n"/>
      <x:c r="E1632" s="8" t="n"/>
      <x:c r="F1632" s="8" t="n"/>
      <x:c r="G1632" s="7">
        <x:f>IF(A1632="","",IF(01_Parametres!$B$11="Oui",IF((01_Parametres!$B$4*(D1632&gt;0)+01_Parametres!$B$5*(E1632&gt;0)+01_Parametres!$B$6*(F1632&gt;0))=0,"",(01_Parametres!$B$4*IF(D1632&gt;0,D1632,0)+01_Parametres!$B$5*IF(E1632&gt;0,E1632,0)+01_Parametres!$B$6*IF(F1632&gt;0,F1632,0))/(01_Parametres!$B$4*(D1632&gt;0)+01_Parametres!$B$5*(E1632&gt;0)+01_Parametres!$B$6*(F1632&gt;0))),IF(01_Parametres!$B$8=0,"",(01_Parametres!$B$4*D1632+01_Parametres!$B$5*E1632+01_Parametres!$B$6*F1632)/01_Parametres!$B$8)))</x:f>
      </x:c>
      <x:c r="H1632">
        <x:f>IFERROR(VLOOKUP(C1632,02_Referentiels!$A$20:$D$99,3,FALSE),"")</x:f>
      </x:c>
      <x:c r="I1632">
        <x:f>IFERROR(VLOOKUP(B1632,02_Referentiels!$A$5:$C$16,2,FALSE),"")</x:f>
      </x:c>
      <x:c r="J1632">
        <x:f>IF(A1632="","",IF(OR(D1632="",E1632="",F1632=""),1,IF(OR(D1632&lt;0,D1632&gt;3,E1632&lt;0,E1632&gt;3,F1632&lt;0,F1632&gt;3),1,0)))</x:f>
      </x:c>
      <x:c r="K1632">
        <x:f>IF(A1632="","",IF(G1632="",1,0))</x:f>
      </x:c>
      <x:c r="L1632">
        <x:f>IF(A1632="","",IF(COUNTIFS($A$5:$A$2004,A1632,$C$5:$C$2004,C1632)&gt;1,1,0))</x:f>
      </x:c>
    </x:row>
    <x:row r="1633">
      <x:c r="A1633" s="8" t="n"/>
      <x:c r="B1633" s="8" t="n"/>
      <x:c r="C1633" s="8" t="n"/>
      <x:c r="D1633" s="8" t="n"/>
      <x:c r="E1633" s="8" t="n"/>
      <x:c r="F1633" s="8" t="n"/>
      <x:c r="G1633" s="7">
        <x:f>IF(A1633="","",IF(01_Parametres!$B$11="Oui",IF((01_Parametres!$B$4*(D1633&gt;0)+01_Parametres!$B$5*(E1633&gt;0)+01_Parametres!$B$6*(F1633&gt;0))=0,"",(01_Parametres!$B$4*IF(D1633&gt;0,D1633,0)+01_Parametres!$B$5*IF(E1633&gt;0,E1633,0)+01_Parametres!$B$6*IF(F1633&gt;0,F1633,0))/(01_Parametres!$B$4*(D1633&gt;0)+01_Parametres!$B$5*(E1633&gt;0)+01_Parametres!$B$6*(F1633&gt;0))),IF(01_Parametres!$B$8=0,"",(01_Parametres!$B$4*D1633+01_Parametres!$B$5*E1633+01_Parametres!$B$6*F1633)/01_Parametres!$B$8)))</x:f>
      </x:c>
      <x:c r="H1633">
        <x:f>IFERROR(VLOOKUP(C1633,02_Referentiels!$A$20:$D$99,3,FALSE),"")</x:f>
      </x:c>
      <x:c r="I1633">
        <x:f>IFERROR(VLOOKUP(B1633,02_Referentiels!$A$5:$C$16,2,FALSE),"")</x:f>
      </x:c>
      <x:c r="J1633">
        <x:f>IF(A1633="","",IF(OR(D1633="",E1633="",F1633=""),1,IF(OR(D1633&lt;0,D1633&gt;3,E1633&lt;0,E1633&gt;3,F1633&lt;0,F1633&gt;3),1,0)))</x:f>
      </x:c>
      <x:c r="K1633">
        <x:f>IF(A1633="","",IF(G1633="",1,0))</x:f>
      </x:c>
      <x:c r="L1633">
        <x:f>IF(A1633="","",IF(COUNTIFS($A$5:$A$2004,A1633,$C$5:$C$2004,C1633)&gt;1,1,0))</x:f>
      </x:c>
    </x:row>
    <x:row r="1634">
      <x:c r="A1634" s="8" t="n"/>
      <x:c r="B1634" s="8" t="n"/>
      <x:c r="C1634" s="8" t="n"/>
      <x:c r="D1634" s="8" t="n"/>
      <x:c r="E1634" s="8" t="n"/>
      <x:c r="F1634" s="8" t="n"/>
      <x:c r="G1634" s="7">
        <x:f>IF(A1634="","",IF(01_Parametres!$B$11="Oui",IF((01_Parametres!$B$4*(D1634&gt;0)+01_Parametres!$B$5*(E1634&gt;0)+01_Parametres!$B$6*(F1634&gt;0))=0,"",(01_Parametres!$B$4*IF(D1634&gt;0,D1634,0)+01_Parametres!$B$5*IF(E1634&gt;0,E1634,0)+01_Parametres!$B$6*IF(F1634&gt;0,F1634,0))/(01_Parametres!$B$4*(D1634&gt;0)+01_Parametres!$B$5*(E1634&gt;0)+01_Parametres!$B$6*(F1634&gt;0))),IF(01_Parametres!$B$8=0,"",(01_Parametres!$B$4*D1634+01_Parametres!$B$5*E1634+01_Parametres!$B$6*F1634)/01_Parametres!$B$8)))</x:f>
      </x:c>
      <x:c r="H1634">
        <x:f>IFERROR(VLOOKUP(C1634,02_Referentiels!$A$20:$D$99,3,FALSE),"")</x:f>
      </x:c>
      <x:c r="I1634">
        <x:f>IFERROR(VLOOKUP(B1634,02_Referentiels!$A$5:$C$16,2,FALSE),"")</x:f>
      </x:c>
      <x:c r="J1634">
        <x:f>IF(A1634="","",IF(OR(D1634="",E1634="",F1634=""),1,IF(OR(D1634&lt;0,D1634&gt;3,E1634&lt;0,E1634&gt;3,F1634&lt;0,F1634&gt;3),1,0)))</x:f>
      </x:c>
      <x:c r="K1634">
        <x:f>IF(A1634="","",IF(G1634="",1,0))</x:f>
      </x:c>
      <x:c r="L1634">
        <x:f>IF(A1634="","",IF(COUNTIFS($A$5:$A$2004,A1634,$C$5:$C$2004,C1634)&gt;1,1,0))</x:f>
      </x:c>
    </x:row>
    <x:row r="1635">
      <x:c r="A1635" s="8" t="n"/>
      <x:c r="B1635" s="8" t="n"/>
      <x:c r="C1635" s="8" t="n"/>
      <x:c r="D1635" s="8" t="n"/>
      <x:c r="E1635" s="8" t="n"/>
      <x:c r="F1635" s="8" t="n"/>
      <x:c r="G1635" s="7">
        <x:f>IF(A1635="","",IF(01_Parametres!$B$11="Oui",IF((01_Parametres!$B$4*(D1635&gt;0)+01_Parametres!$B$5*(E1635&gt;0)+01_Parametres!$B$6*(F1635&gt;0))=0,"",(01_Parametres!$B$4*IF(D1635&gt;0,D1635,0)+01_Parametres!$B$5*IF(E1635&gt;0,E1635,0)+01_Parametres!$B$6*IF(F1635&gt;0,F1635,0))/(01_Parametres!$B$4*(D1635&gt;0)+01_Parametres!$B$5*(E1635&gt;0)+01_Parametres!$B$6*(F1635&gt;0))),IF(01_Parametres!$B$8=0,"",(01_Parametres!$B$4*D1635+01_Parametres!$B$5*E1635+01_Parametres!$B$6*F1635)/01_Parametres!$B$8)))</x:f>
      </x:c>
      <x:c r="H1635">
        <x:f>IFERROR(VLOOKUP(C1635,02_Referentiels!$A$20:$D$99,3,FALSE),"")</x:f>
      </x:c>
      <x:c r="I1635">
        <x:f>IFERROR(VLOOKUP(B1635,02_Referentiels!$A$5:$C$16,2,FALSE),"")</x:f>
      </x:c>
      <x:c r="J1635">
        <x:f>IF(A1635="","",IF(OR(D1635="",E1635="",F1635=""),1,IF(OR(D1635&lt;0,D1635&gt;3,E1635&lt;0,E1635&gt;3,F1635&lt;0,F1635&gt;3),1,0)))</x:f>
      </x:c>
      <x:c r="K1635">
        <x:f>IF(A1635="","",IF(G1635="",1,0))</x:f>
      </x:c>
      <x:c r="L1635">
        <x:f>IF(A1635="","",IF(COUNTIFS($A$5:$A$2004,A1635,$C$5:$C$2004,C1635)&gt;1,1,0))</x:f>
      </x:c>
    </x:row>
    <x:row r="1636">
      <x:c r="A1636" s="8" t="n"/>
      <x:c r="B1636" s="8" t="n"/>
      <x:c r="C1636" s="8" t="n"/>
      <x:c r="D1636" s="8" t="n"/>
      <x:c r="E1636" s="8" t="n"/>
      <x:c r="F1636" s="8" t="n"/>
      <x:c r="G1636" s="7">
        <x:f>IF(A1636="","",IF(01_Parametres!$B$11="Oui",IF((01_Parametres!$B$4*(D1636&gt;0)+01_Parametres!$B$5*(E1636&gt;0)+01_Parametres!$B$6*(F1636&gt;0))=0,"",(01_Parametres!$B$4*IF(D1636&gt;0,D1636,0)+01_Parametres!$B$5*IF(E1636&gt;0,E1636,0)+01_Parametres!$B$6*IF(F1636&gt;0,F1636,0))/(01_Parametres!$B$4*(D1636&gt;0)+01_Parametres!$B$5*(E1636&gt;0)+01_Parametres!$B$6*(F1636&gt;0))),IF(01_Parametres!$B$8=0,"",(01_Parametres!$B$4*D1636+01_Parametres!$B$5*E1636+01_Parametres!$B$6*F1636)/01_Parametres!$B$8)))</x:f>
      </x:c>
      <x:c r="H1636">
        <x:f>IFERROR(VLOOKUP(C1636,02_Referentiels!$A$20:$D$99,3,FALSE),"")</x:f>
      </x:c>
      <x:c r="I1636">
        <x:f>IFERROR(VLOOKUP(B1636,02_Referentiels!$A$5:$C$16,2,FALSE),"")</x:f>
      </x:c>
      <x:c r="J1636">
        <x:f>IF(A1636="","",IF(OR(D1636="",E1636="",F1636=""),1,IF(OR(D1636&lt;0,D1636&gt;3,E1636&lt;0,E1636&gt;3,F1636&lt;0,F1636&gt;3),1,0)))</x:f>
      </x:c>
      <x:c r="K1636">
        <x:f>IF(A1636="","",IF(G1636="",1,0))</x:f>
      </x:c>
      <x:c r="L1636">
        <x:f>IF(A1636="","",IF(COUNTIFS($A$5:$A$2004,A1636,$C$5:$C$2004,C1636)&gt;1,1,0))</x:f>
      </x:c>
    </x:row>
    <x:row r="1637">
      <x:c r="A1637" s="8" t="n"/>
      <x:c r="B1637" s="8" t="n"/>
      <x:c r="C1637" s="8" t="n"/>
      <x:c r="D1637" s="8" t="n"/>
      <x:c r="E1637" s="8" t="n"/>
      <x:c r="F1637" s="8" t="n"/>
      <x:c r="G1637" s="7">
        <x:f>IF(A1637="","",IF(01_Parametres!$B$11="Oui",IF((01_Parametres!$B$4*(D1637&gt;0)+01_Parametres!$B$5*(E1637&gt;0)+01_Parametres!$B$6*(F1637&gt;0))=0,"",(01_Parametres!$B$4*IF(D1637&gt;0,D1637,0)+01_Parametres!$B$5*IF(E1637&gt;0,E1637,0)+01_Parametres!$B$6*IF(F1637&gt;0,F1637,0))/(01_Parametres!$B$4*(D1637&gt;0)+01_Parametres!$B$5*(E1637&gt;0)+01_Parametres!$B$6*(F1637&gt;0))),IF(01_Parametres!$B$8=0,"",(01_Parametres!$B$4*D1637+01_Parametres!$B$5*E1637+01_Parametres!$B$6*F1637)/01_Parametres!$B$8)))</x:f>
      </x:c>
      <x:c r="H1637">
        <x:f>IFERROR(VLOOKUP(C1637,02_Referentiels!$A$20:$D$99,3,FALSE),"")</x:f>
      </x:c>
      <x:c r="I1637">
        <x:f>IFERROR(VLOOKUP(B1637,02_Referentiels!$A$5:$C$16,2,FALSE),"")</x:f>
      </x:c>
      <x:c r="J1637">
        <x:f>IF(A1637="","",IF(OR(D1637="",E1637="",F1637=""),1,IF(OR(D1637&lt;0,D1637&gt;3,E1637&lt;0,E1637&gt;3,F1637&lt;0,F1637&gt;3),1,0)))</x:f>
      </x:c>
      <x:c r="K1637">
        <x:f>IF(A1637="","",IF(G1637="",1,0))</x:f>
      </x:c>
      <x:c r="L1637">
        <x:f>IF(A1637="","",IF(COUNTIFS($A$5:$A$2004,A1637,$C$5:$C$2004,C1637)&gt;1,1,0))</x:f>
      </x:c>
    </x:row>
    <x:row r="1638">
      <x:c r="A1638" s="8" t="n"/>
      <x:c r="B1638" s="8" t="n"/>
      <x:c r="C1638" s="8" t="n"/>
      <x:c r="D1638" s="8" t="n"/>
      <x:c r="E1638" s="8" t="n"/>
      <x:c r="F1638" s="8" t="n"/>
      <x:c r="G1638" s="7">
        <x:f>IF(A1638="","",IF(01_Parametres!$B$11="Oui",IF((01_Parametres!$B$4*(D1638&gt;0)+01_Parametres!$B$5*(E1638&gt;0)+01_Parametres!$B$6*(F1638&gt;0))=0,"",(01_Parametres!$B$4*IF(D1638&gt;0,D1638,0)+01_Parametres!$B$5*IF(E1638&gt;0,E1638,0)+01_Parametres!$B$6*IF(F1638&gt;0,F1638,0))/(01_Parametres!$B$4*(D1638&gt;0)+01_Parametres!$B$5*(E1638&gt;0)+01_Parametres!$B$6*(F1638&gt;0))),IF(01_Parametres!$B$8=0,"",(01_Parametres!$B$4*D1638+01_Parametres!$B$5*E1638+01_Parametres!$B$6*F1638)/01_Parametres!$B$8)))</x:f>
      </x:c>
      <x:c r="H1638">
        <x:f>IFERROR(VLOOKUP(C1638,02_Referentiels!$A$20:$D$99,3,FALSE),"")</x:f>
      </x:c>
      <x:c r="I1638">
        <x:f>IFERROR(VLOOKUP(B1638,02_Referentiels!$A$5:$C$16,2,FALSE),"")</x:f>
      </x:c>
      <x:c r="J1638">
        <x:f>IF(A1638="","",IF(OR(D1638="",E1638="",F1638=""),1,IF(OR(D1638&lt;0,D1638&gt;3,E1638&lt;0,E1638&gt;3,F1638&lt;0,F1638&gt;3),1,0)))</x:f>
      </x:c>
      <x:c r="K1638">
        <x:f>IF(A1638="","",IF(G1638="",1,0))</x:f>
      </x:c>
      <x:c r="L1638">
        <x:f>IF(A1638="","",IF(COUNTIFS($A$5:$A$2004,A1638,$C$5:$C$2004,C1638)&gt;1,1,0))</x:f>
      </x:c>
    </x:row>
    <x:row r="1639">
      <x:c r="A1639" s="8" t="n"/>
      <x:c r="B1639" s="8" t="n"/>
      <x:c r="C1639" s="8" t="n"/>
      <x:c r="D1639" s="8" t="n"/>
      <x:c r="E1639" s="8" t="n"/>
      <x:c r="F1639" s="8" t="n"/>
      <x:c r="G1639" s="7">
        <x:f>IF(A1639="","",IF(01_Parametres!$B$11="Oui",IF((01_Parametres!$B$4*(D1639&gt;0)+01_Parametres!$B$5*(E1639&gt;0)+01_Parametres!$B$6*(F1639&gt;0))=0,"",(01_Parametres!$B$4*IF(D1639&gt;0,D1639,0)+01_Parametres!$B$5*IF(E1639&gt;0,E1639,0)+01_Parametres!$B$6*IF(F1639&gt;0,F1639,0))/(01_Parametres!$B$4*(D1639&gt;0)+01_Parametres!$B$5*(E1639&gt;0)+01_Parametres!$B$6*(F1639&gt;0))),IF(01_Parametres!$B$8=0,"",(01_Parametres!$B$4*D1639+01_Parametres!$B$5*E1639+01_Parametres!$B$6*F1639)/01_Parametres!$B$8)))</x:f>
      </x:c>
      <x:c r="H1639">
        <x:f>IFERROR(VLOOKUP(C1639,02_Referentiels!$A$20:$D$99,3,FALSE),"")</x:f>
      </x:c>
      <x:c r="I1639">
        <x:f>IFERROR(VLOOKUP(B1639,02_Referentiels!$A$5:$C$16,2,FALSE),"")</x:f>
      </x:c>
      <x:c r="J1639">
        <x:f>IF(A1639="","",IF(OR(D1639="",E1639="",F1639=""),1,IF(OR(D1639&lt;0,D1639&gt;3,E1639&lt;0,E1639&gt;3,F1639&lt;0,F1639&gt;3),1,0)))</x:f>
      </x:c>
      <x:c r="K1639">
        <x:f>IF(A1639="","",IF(G1639="",1,0))</x:f>
      </x:c>
      <x:c r="L1639">
        <x:f>IF(A1639="","",IF(COUNTIFS($A$5:$A$2004,A1639,$C$5:$C$2004,C1639)&gt;1,1,0))</x:f>
      </x:c>
    </x:row>
    <x:row r="1640">
      <x:c r="A1640" s="8" t="n"/>
      <x:c r="B1640" s="8" t="n"/>
      <x:c r="C1640" s="8" t="n"/>
      <x:c r="D1640" s="8" t="n"/>
      <x:c r="E1640" s="8" t="n"/>
      <x:c r="F1640" s="8" t="n"/>
      <x:c r="G1640" s="7">
        <x:f>IF(A1640="","",IF(01_Parametres!$B$11="Oui",IF((01_Parametres!$B$4*(D1640&gt;0)+01_Parametres!$B$5*(E1640&gt;0)+01_Parametres!$B$6*(F1640&gt;0))=0,"",(01_Parametres!$B$4*IF(D1640&gt;0,D1640,0)+01_Parametres!$B$5*IF(E1640&gt;0,E1640,0)+01_Parametres!$B$6*IF(F1640&gt;0,F1640,0))/(01_Parametres!$B$4*(D1640&gt;0)+01_Parametres!$B$5*(E1640&gt;0)+01_Parametres!$B$6*(F1640&gt;0))),IF(01_Parametres!$B$8=0,"",(01_Parametres!$B$4*D1640+01_Parametres!$B$5*E1640+01_Parametres!$B$6*F1640)/01_Parametres!$B$8)))</x:f>
      </x:c>
      <x:c r="H1640">
        <x:f>IFERROR(VLOOKUP(C1640,02_Referentiels!$A$20:$D$99,3,FALSE),"")</x:f>
      </x:c>
      <x:c r="I1640">
        <x:f>IFERROR(VLOOKUP(B1640,02_Referentiels!$A$5:$C$16,2,FALSE),"")</x:f>
      </x:c>
      <x:c r="J1640">
        <x:f>IF(A1640="","",IF(OR(D1640="",E1640="",F1640=""),1,IF(OR(D1640&lt;0,D1640&gt;3,E1640&lt;0,E1640&gt;3,F1640&lt;0,F1640&gt;3),1,0)))</x:f>
      </x:c>
      <x:c r="K1640">
        <x:f>IF(A1640="","",IF(G1640="",1,0))</x:f>
      </x:c>
      <x:c r="L1640">
        <x:f>IF(A1640="","",IF(COUNTIFS($A$5:$A$2004,A1640,$C$5:$C$2004,C1640)&gt;1,1,0))</x:f>
      </x:c>
    </x:row>
    <x:row r="1641">
      <x:c r="A1641" s="8" t="n"/>
      <x:c r="B1641" s="8" t="n"/>
      <x:c r="C1641" s="8" t="n"/>
      <x:c r="D1641" s="8" t="n"/>
      <x:c r="E1641" s="8" t="n"/>
      <x:c r="F1641" s="8" t="n"/>
      <x:c r="G1641" s="7">
        <x:f>IF(A1641="","",IF(01_Parametres!$B$11="Oui",IF((01_Parametres!$B$4*(D1641&gt;0)+01_Parametres!$B$5*(E1641&gt;0)+01_Parametres!$B$6*(F1641&gt;0))=0,"",(01_Parametres!$B$4*IF(D1641&gt;0,D1641,0)+01_Parametres!$B$5*IF(E1641&gt;0,E1641,0)+01_Parametres!$B$6*IF(F1641&gt;0,F1641,0))/(01_Parametres!$B$4*(D1641&gt;0)+01_Parametres!$B$5*(E1641&gt;0)+01_Parametres!$B$6*(F1641&gt;0))),IF(01_Parametres!$B$8=0,"",(01_Parametres!$B$4*D1641+01_Parametres!$B$5*E1641+01_Parametres!$B$6*F1641)/01_Parametres!$B$8)))</x:f>
      </x:c>
      <x:c r="H1641">
        <x:f>IFERROR(VLOOKUP(C1641,02_Referentiels!$A$20:$D$99,3,FALSE),"")</x:f>
      </x:c>
      <x:c r="I1641">
        <x:f>IFERROR(VLOOKUP(B1641,02_Referentiels!$A$5:$C$16,2,FALSE),"")</x:f>
      </x:c>
      <x:c r="J1641">
        <x:f>IF(A1641="","",IF(OR(D1641="",E1641="",F1641=""),1,IF(OR(D1641&lt;0,D1641&gt;3,E1641&lt;0,E1641&gt;3,F1641&lt;0,F1641&gt;3),1,0)))</x:f>
      </x:c>
      <x:c r="K1641">
        <x:f>IF(A1641="","",IF(G1641="",1,0))</x:f>
      </x:c>
      <x:c r="L1641">
        <x:f>IF(A1641="","",IF(COUNTIFS($A$5:$A$2004,A1641,$C$5:$C$2004,C1641)&gt;1,1,0))</x:f>
      </x:c>
    </x:row>
    <x:row r="1642">
      <x:c r="A1642" s="8" t="n"/>
      <x:c r="B1642" s="8" t="n"/>
      <x:c r="C1642" s="8" t="n"/>
      <x:c r="D1642" s="8" t="n"/>
      <x:c r="E1642" s="8" t="n"/>
      <x:c r="F1642" s="8" t="n"/>
      <x:c r="G1642" s="7">
        <x:f>IF(A1642="","",IF(01_Parametres!$B$11="Oui",IF((01_Parametres!$B$4*(D1642&gt;0)+01_Parametres!$B$5*(E1642&gt;0)+01_Parametres!$B$6*(F1642&gt;0))=0,"",(01_Parametres!$B$4*IF(D1642&gt;0,D1642,0)+01_Parametres!$B$5*IF(E1642&gt;0,E1642,0)+01_Parametres!$B$6*IF(F1642&gt;0,F1642,0))/(01_Parametres!$B$4*(D1642&gt;0)+01_Parametres!$B$5*(E1642&gt;0)+01_Parametres!$B$6*(F1642&gt;0))),IF(01_Parametres!$B$8=0,"",(01_Parametres!$B$4*D1642+01_Parametres!$B$5*E1642+01_Parametres!$B$6*F1642)/01_Parametres!$B$8)))</x:f>
      </x:c>
      <x:c r="H1642">
        <x:f>IFERROR(VLOOKUP(C1642,02_Referentiels!$A$20:$D$99,3,FALSE),"")</x:f>
      </x:c>
      <x:c r="I1642">
        <x:f>IFERROR(VLOOKUP(B1642,02_Referentiels!$A$5:$C$16,2,FALSE),"")</x:f>
      </x:c>
      <x:c r="J1642">
        <x:f>IF(A1642="","",IF(OR(D1642="",E1642="",F1642=""),1,IF(OR(D1642&lt;0,D1642&gt;3,E1642&lt;0,E1642&gt;3,F1642&lt;0,F1642&gt;3),1,0)))</x:f>
      </x:c>
      <x:c r="K1642">
        <x:f>IF(A1642="","",IF(G1642="",1,0))</x:f>
      </x:c>
      <x:c r="L1642">
        <x:f>IF(A1642="","",IF(COUNTIFS($A$5:$A$2004,A1642,$C$5:$C$2004,C1642)&gt;1,1,0))</x:f>
      </x:c>
    </x:row>
    <x:row r="1643">
      <x:c r="A1643" s="8" t="n"/>
      <x:c r="B1643" s="8" t="n"/>
      <x:c r="C1643" s="8" t="n"/>
      <x:c r="D1643" s="8" t="n"/>
      <x:c r="E1643" s="8" t="n"/>
      <x:c r="F1643" s="8" t="n"/>
      <x:c r="G1643" s="7">
        <x:f>IF(A1643="","",IF(01_Parametres!$B$11="Oui",IF((01_Parametres!$B$4*(D1643&gt;0)+01_Parametres!$B$5*(E1643&gt;0)+01_Parametres!$B$6*(F1643&gt;0))=0,"",(01_Parametres!$B$4*IF(D1643&gt;0,D1643,0)+01_Parametres!$B$5*IF(E1643&gt;0,E1643,0)+01_Parametres!$B$6*IF(F1643&gt;0,F1643,0))/(01_Parametres!$B$4*(D1643&gt;0)+01_Parametres!$B$5*(E1643&gt;0)+01_Parametres!$B$6*(F1643&gt;0))),IF(01_Parametres!$B$8=0,"",(01_Parametres!$B$4*D1643+01_Parametres!$B$5*E1643+01_Parametres!$B$6*F1643)/01_Parametres!$B$8)))</x:f>
      </x:c>
      <x:c r="H1643">
        <x:f>IFERROR(VLOOKUP(C1643,02_Referentiels!$A$20:$D$99,3,FALSE),"")</x:f>
      </x:c>
      <x:c r="I1643">
        <x:f>IFERROR(VLOOKUP(B1643,02_Referentiels!$A$5:$C$16,2,FALSE),"")</x:f>
      </x:c>
      <x:c r="J1643">
        <x:f>IF(A1643="","",IF(OR(D1643="",E1643="",F1643=""),1,IF(OR(D1643&lt;0,D1643&gt;3,E1643&lt;0,E1643&gt;3,F1643&lt;0,F1643&gt;3),1,0)))</x:f>
      </x:c>
      <x:c r="K1643">
        <x:f>IF(A1643="","",IF(G1643="",1,0))</x:f>
      </x:c>
      <x:c r="L1643">
        <x:f>IF(A1643="","",IF(COUNTIFS($A$5:$A$2004,A1643,$C$5:$C$2004,C1643)&gt;1,1,0))</x:f>
      </x:c>
    </x:row>
    <x:row r="1644">
      <x:c r="A1644" s="8" t="n"/>
      <x:c r="B1644" s="8" t="n"/>
      <x:c r="C1644" s="8" t="n"/>
      <x:c r="D1644" s="8" t="n"/>
      <x:c r="E1644" s="8" t="n"/>
      <x:c r="F1644" s="8" t="n"/>
      <x:c r="G1644" s="7">
        <x:f>IF(A1644="","",IF(01_Parametres!$B$11="Oui",IF((01_Parametres!$B$4*(D1644&gt;0)+01_Parametres!$B$5*(E1644&gt;0)+01_Parametres!$B$6*(F1644&gt;0))=0,"",(01_Parametres!$B$4*IF(D1644&gt;0,D1644,0)+01_Parametres!$B$5*IF(E1644&gt;0,E1644,0)+01_Parametres!$B$6*IF(F1644&gt;0,F1644,0))/(01_Parametres!$B$4*(D1644&gt;0)+01_Parametres!$B$5*(E1644&gt;0)+01_Parametres!$B$6*(F1644&gt;0))),IF(01_Parametres!$B$8=0,"",(01_Parametres!$B$4*D1644+01_Parametres!$B$5*E1644+01_Parametres!$B$6*F1644)/01_Parametres!$B$8)))</x:f>
      </x:c>
      <x:c r="H1644">
        <x:f>IFERROR(VLOOKUP(C1644,02_Referentiels!$A$20:$D$99,3,FALSE),"")</x:f>
      </x:c>
      <x:c r="I1644">
        <x:f>IFERROR(VLOOKUP(B1644,02_Referentiels!$A$5:$C$16,2,FALSE),"")</x:f>
      </x:c>
      <x:c r="J1644">
        <x:f>IF(A1644="","",IF(OR(D1644="",E1644="",F1644=""),1,IF(OR(D1644&lt;0,D1644&gt;3,E1644&lt;0,E1644&gt;3,F1644&lt;0,F1644&gt;3),1,0)))</x:f>
      </x:c>
      <x:c r="K1644">
        <x:f>IF(A1644="","",IF(G1644="",1,0))</x:f>
      </x:c>
      <x:c r="L1644">
        <x:f>IF(A1644="","",IF(COUNTIFS($A$5:$A$2004,A1644,$C$5:$C$2004,C1644)&gt;1,1,0))</x:f>
      </x:c>
    </x:row>
    <x:row r="1645">
      <x:c r="A1645" s="8" t="n"/>
      <x:c r="B1645" s="8" t="n"/>
      <x:c r="C1645" s="8" t="n"/>
      <x:c r="D1645" s="8" t="n"/>
      <x:c r="E1645" s="8" t="n"/>
      <x:c r="F1645" s="8" t="n"/>
      <x:c r="G1645" s="7">
        <x:f>IF(A1645="","",IF(01_Parametres!$B$11="Oui",IF((01_Parametres!$B$4*(D1645&gt;0)+01_Parametres!$B$5*(E1645&gt;0)+01_Parametres!$B$6*(F1645&gt;0))=0,"",(01_Parametres!$B$4*IF(D1645&gt;0,D1645,0)+01_Parametres!$B$5*IF(E1645&gt;0,E1645,0)+01_Parametres!$B$6*IF(F1645&gt;0,F1645,0))/(01_Parametres!$B$4*(D1645&gt;0)+01_Parametres!$B$5*(E1645&gt;0)+01_Parametres!$B$6*(F1645&gt;0))),IF(01_Parametres!$B$8=0,"",(01_Parametres!$B$4*D1645+01_Parametres!$B$5*E1645+01_Parametres!$B$6*F1645)/01_Parametres!$B$8)))</x:f>
      </x:c>
      <x:c r="H1645">
        <x:f>IFERROR(VLOOKUP(C1645,02_Referentiels!$A$20:$D$99,3,FALSE),"")</x:f>
      </x:c>
      <x:c r="I1645">
        <x:f>IFERROR(VLOOKUP(B1645,02_Referentiels!$A$5:$C$16,2,FALSE),"")</x:f>
      </x:c>
      <x:c r="J1645">
        <x:f>IF(A1645="","",IF(OR(D1645="",E1645="",F1645=""),1,IF(OR(D1645&lt;0,D1645&gt;3,E1645&lt;0,E1645&gt;3,F1645&lt;0,F1645&gt;3),1,0)))</x:f>
      </x:c>
      <x:c r="K1645">
        <x:f>IF(A1645="","",IF(G1645="",1,0))</x:f>
      </x:c>
      <x:c r="L1645">
        <x:f>IF(A1645="","",IF(COUNTIFS($A$5:$A$2004,A1645,$C$5:$C$2004,C1645)&gt;1,1,0))</x:f>
      </x:c>
    </x:row>
    <x:row r="1646">
      <x:c r="A1646" s="8" t="n"/>
      <x:c r="B1646" s="8" t="n"/>
      <x:c r="C1646" s="8" t="n"/>
      <x:c r="D1646" s="8" t="n"/>
      <x:c r="E1646" s="8" t="n"/>
      <x:c r="F1646" s="8" t="n"/>
      <x:c r="G1646" s="7">
        <x:f>IF(A1646="","",IF(01_Parametres!$B$11="Oui",IF((01_Parametres!$B$4*(D1646&gt;0)+01_Parametres!$B$5*(E1646&gt;0)+01_Parametres!$B$6*(F1646&gt;0))=0,"",(01_Parametres!$B$4*IF(D1646&gt;0,D1646,0)+01_Parametres!$B$5*IF(E1646&gt;0,E1646,0)+01_Parametres!$B$6*IF(F1646&gt;0,F1646,0))/(01_Parametres!$B$4*(D1646&gt;0)+01_Parametres!$B$5*(E1646&gt;0)+01_Parametres!$B$6*(F1646&gt;0))),IF(01_Parametres!$B$8=0,"",(01_Parametres!$B$4*D1646+01_Parametres!$B$5*E1646+01_Parametres!$B$6*F1646)/01_Parametres!$B$8)))</x:f>
      </x:c>
      <x:c r="H1646">
        <x:f>IFERROR(VLOOKUP(C1646,02_Referentiels!$A$20:$D$99,3,FALSE),"")</x:f>
      </x:c>
      <x:c r="I1646">
        <x:f>IFERROR(VLOOKUP(B1646,02_Referentiels!$A$5:$C$16,2,FALSE),"")</x:f>
      </x:c>
      <x:c r="J1646">
        <x:f>IF(A1646="","",IF(OR(D1646="",E1646="",F1646=""),1,IF(OR(D1646&lt;0,D1646&gt;3,E1646&lt;0,E1646&gt;3,F1646&lt;0,F1646&gt;3),1,0)))</x:f>
      </x:c>
      <x:c r="K1646">
        <x:f>IF(A1646="","",IF(G1646="",1,0))</x:f>
      </x:c>
      <x:c r="L1646">
        <x:f>IF(A1646="","",IF(COUNTIFS($A$5:$A$2004,A1646,$C$5:$C$2004,C1646)&gt;1,1,0))</x:f>
      </x:c>
    </x:row>
    <x:row r="1647">
      <x:c r="A1647" s="8" t="n"/>
      <x:c r="B1647" s="8" t="n"/>
      <x:c r="C1647" s="8" t="n"/>
      <x:c r="D1647" s="8" t="n"/>
      <x:c r="E1647" s="8" t="n"/>
      <x:c r="F1647" s="8" t="n"/>
      <x:c r="G1647" s="7">
        <x:f>IF(A1647="","",IF(01_Parametres!$B$11="Oui",IF((01_Parametres!$B$4*(D1647&gt;0)+01_Parametres!$B$5*(E1647&gt;0)+01_Parametres!$B$6*(F1647&gt;0))=0,"",(01_Parametres!$B$4*IF(D1647&gt;0,D1647,0)+01_Parametres!$B$5*IF(E1647&gt;0,E1647,0)+01_Parametres!$B$6*IF(F1647&gt;0,F1647,0))/(01_Parametres!$B$4*(D1647&gt;0)+01_Parametres!$B$5*(E1647&gt;0)+01_Parametres!$B$6*(F1647&gt;0))),IF(01_Parametres!$B$8=0,"",(01_Parametres!$B$4*D1647+01_Parametres!$B$5*E1647+01_Parametres!$B$6*F1647)/01_Parametres!$B$8)))</x:f>
      </x:c>
      <x:c r="H1647">
        <x:f>IFERROR(VLOOKUP(C1647,02_Referentiels!$A$20:$D$99,3,FALSE),"")</x:f>
      </x:c>
      <x:c r="I1647">
        <x:f>IFERROR(VLOOKUP(B1647,02_Referentiels!$A$5:$C$16,2,FALSE),"")</x:f>
      </x:c>
      <x:c r="J1647">
        <x:f>IF(A1647="","",IF(OR(D1647="",E1647="",F1647=""),1,IF(OR(D1647&lt;0,D1647&gt;3,E1647&lt;0,E1647&gt;3,F1647&lt;0,F1647&gt;3),1,0)))</x:f>
      </x:c>
      <x:c r="K1647">
        <x:f>IF(A1647="","",IF(G1647="",1,0))</x:f>
      </x:c>
      <x:c r="L1647">
        <x:f>IF(A1647="","",IF(COUNTIFS($A$5:$A$2004,A1647,$C$5:$C$2004,C1647)&gt;1,1,0))</x:f>
      </x:c>
    </x:row>
    <x:row r="1648">
      <x:c r="A1648" s="8" t="n"/>
      <x:c r="B1648" s="8" t="n"/>
      <x:c r="C1648" s="8" t="n"/>
      <x:c r="D1648" s="8" t="n"/>
      <x:c r="E1648" s="8" t="n"/>
      <x:c r="F1648" s="8" t="n"/>
      <x:c r="G1648" s="7">
        <x:f>IF(A1648="","",IF(01_Parametres!$B$11="Oui",IF((01_Parametres!$B$4*(D1648&gt;0)+01_Parametres!$B$5*(E1648&gt;0)+01_Parametres!$B$6*(F1648&gt;0))=0,"",(01_Parametres!$B$4*IF(D1648&gt;0,D1648,0)+01_Parametres!$B$5*IF(E1648&gt;0,E1648,0)+01_Parametres!$B$6*IF(F1648&gt;0,F1648,0))/(01_Parametres!$B$4*(D1648&gt;0)+01_Parametres!$B$5*(E1648&gt;0)+01_Parametres!$B$6*(F1648&gt;0))),IF(01_Parametres!$B$8=0,"",(01_Parametres!$B$4*D1648+01_Parametres!$B$5*E1648+01_Parametres!$B$6*F1648)/01_Parametres!$B$8)))</x:f>
      </x:c>
      <x:c r="H1648">
        <x:f>IFERROR(VLOOKUP(C1648,02_Referentiels!$A$20:$D$99,3,FALSE),"")</x:f>
      </x:c>
      <x:c r="I1648">
        <x:f>IFERROR(VLOOKUP(B1648,02_Referentiels!$A$5:$C$16,2,FALSE),"")</x:f>
      </x:c>
      <x:c r="J1648">
        <x:f>IF(A1648="","",IF(OR(D1648="",E1648="",F1648=""),1,IF(OR(D1648&lt;0,D1648&gt;3,E1648&lt;0,E1648&gt;3,F1648&lt;0,F1648&gt;3),1,0)))</x:f>
      </x:c>
      <x:c r="K1648">
        <x:f>IF(A1648="","",IF(G1648="",1,0))</x:f>
      </x:c>
      <x:c r="L1648">
        <x:f>IF(A1648="","",IF(COUNTIFS($A$5:$A$2004,A1648,$C$5:$C$2004,C1648)&gt;1,1,0))</x:f>
      </x:c>
    </x:row>
    <x:row r="1649">
      <x:c r="A1649" s="8" t="n"/>
      <x:c r="B1649" s="8" t="n"/>
      <x:c r="C1649" s="8" t="n"/>
      <x:c r="D1649" s="8" t="n"/>
      <x:c r="E1649" s="8" t="n"/>
      <x:c r="F1649" s="8" t="n"/>
      <x:c r="G1649" s="7">
        <x:f>IF(A1649="","",IF(01_Parametres!$B$11="Oui",IF((01_Parametres!$B$4*(D1649&gt;0)+01_Parametres!$B$5*(E1649&gt;0)+01_Parametres!$B$6*(F1649&gt;0))=0,"",(01_Parametres!$B$4*IF(D1649&gt;0,D1649,0)+01_Parametres!$B$5*IF(E1649&gt;0,E1649,0)+01_Parametres!$B$6*IF(F1649&gt;0,F1649,0))/(01_Parametres!$B$4*(D1649&gt;0)+01_Parametres!$B$5*(E1649&gt;0)+01_Parametres!$B$6*(F1649&gt;0))),IF(01_Parametres!$B$8=0,"",(01_Parametres!$B$4*D1649+01_Parametres!$B$5*E1649+01_Parametres!$B$6*F1649)/01_Parametres!$B$8)))</x:f>
      </x:c>
      <x:c r="H1649">
        <x:f>IFERROR(VLOOKUP(C1649,02_Referentiels!$A$20:$D$99,3,FALSE),"")</x:f>
      </x:c>
      <x:c r="I1649">
        <x:f>IFERROR(VLOOKUP(B1649,02_Referentiels!$A$5:$C$16,2,FALSE),"")</x:f>
      </x:c>
      <x:c r="J1649">
        <x:f>IF(A1649="","",IF(OR(D1649="",E1649="",F1649=""),1,IF(OR(D1649&lt;0,D1649&gt;3,E1649&lt;0,E1649&gt;3,F1649&lt;0,F1649&gt;3),1,0)))</x:f>
      </x:c>
      <x:c r="K1649">
        <x:f>IF(A1649="","",IF(G1649="",1,0))</x:f>
      </x:c>
      <x:c r="L1649">
        <x:f>IF(A1649="","",IF(COUNTIFS($A$5:$A$2004,A1649,$C$5:$C$2004,C1649)&gt;1,1,0))</x:f>
      </x:c>
    </x:row>
    <x:row r="1650">
      <x:c r="A1650" s="8" t="n"/>
      <x:c r="B1650" s="8" t="n"/>
      <x:c r="C1650" s="8" t="n"/>
      <x:c r="D1650" s="8" t="n"/>
      <x:c r="E1650" s="8" t="n"/>
      <x:c r="F1650" s="8" t="n"/>
      <x:c r="G1650" s="7">
        <x:f>IF(A1650="","",IF(01_Parametres!$B$11="Oui",IF((01_Parametres!$B$4*(D1650&gt;0)+01_Parametres!$B$5*(E1650&gt;0)+01_Parametres!$B$6*(F1650&gt;0))=0,"",(01_Parametres!$B$4*IF(D1650&gt;0,D1650,0)+01_Parametres!$B$5*IF(E1650&gt;0,E1650,0)+01_Parametres!$B$6*IF(F1650&gt;0,F1650,0))/(01_Parametres!$B$4*(D1650&gt;0)+01_Parametres!$B$5*(E1650&gt;0)+01_Parametres!$B$6*(F1650&gt;0))),IF(01_Parametres!$B$8=0,"",(01_Parametres!$B$4*D1650+01_Parametres!$B$5*E1650+01_Parametres!$B$6*F1650)/01_Parametres!$B$8)))</x:f>
      </x:c>
      <x:c r="H1650">
        <x:f>IFERROR(VLOOKUP(C1650,02_Referentiels!$A$20:$D$99,3,FALSE),"")</x:f>
      </x:c>
      <x:c r="I1650">
        <x:f>IFERROR(VLOOKUP(B1650,02_Referentiels!$A$5:$C$16,2,FALSE),"")</x:f>
      </x:c>
      <x:c r="J1650">
        <x:f>IF(A1650="","",IF(OR(D1650="",E1650="",F1650=""),1,IF(OR(D1650&lt;0,D1650&gt;3,E1650&lt;0,E1650&gt;3,F1650&lt;0,F1650&gt;3),1,0)))</x:f>
      </x:c>
      <x:c r="K1650">
        <x:f>IF(A1650="","",IF(G1650="",1,0))</x:f>
      </x:c>
      <x:c r="L1650">
        <x:f>IF(A1650="","",IF(COUNTIFS($A$5:$A$2004,A1650,$C$5:$C$2004,C1650)&gt;1,1,0))</x:f>
      </x:c>
    </x:row>
    <x:row r="1651">
      <x:c r="A1651" s="8" t="n"/>
      <x:c r="B1651" s="8" t="n"/>
      <x:c r="C1651" s="8" t="n"/>
      <x:c r="D1651" s="8" t="n"/>
      <x:c r="E1651" s="8" t="n"/>
      <x:c r="F1651" s="8" t="n"/>
      <x:c r="G1651" s="7">
        <x:f>IF(A1651="","",IF(01_Parametres!$B$11="Oui",IF((01_Parametres!$B$4*(D1651&gt;0)+01_Parametres!$B$5*(E1651&gt;0)+01_Parametres!$B$6*(F1651&gt;0))=0,"",(01_Parametres!$B$4*IF(D1651&gt;0,D1651,0)+01_Parametres!$B$5*IF(E1651&gt;0,E1651,0)+01_Parametres!$B$6*IF(F1651&gt;0,F1651,0))/(01_Parametres!$B$4*(D1651&gt;0)+01_Parametres!$B$5*(E1651&gt;0)+01_Parametres!$B$6*(F1651&gt;0))),IF(01_Parametres!$B$8=0,"",(01_Parametres!$B$4*D1651+01_Parametres!$B$5*E1651+01_Parametres!$B$6*F1651)/01_Parametres!$B$8)))</x:f>
      </x:c>
      <x:c r="H1651">
        <x:f>IFERROR(VLOOKUP(C1651,02_Referentiels!$A$20:$D$99,3,FALSE),"")</x:f>
      </x:c>
      <x:c r="I1651">
        <x:f>IFERROR(VLOOKUP(B1651,02_Referentiels!$A$5:$C$16,2,FALSE),"")</x:f>
      </x:c>
      <x:c r="J1651">
        <x:f>IF(A1651="","",IF(OR(D1651="",E1651="",F1651=""),1,IF(OR(D1651&lt;0,D1651&gt;3,E1651&lt;0,E1651&gt;3,F1651&lt;0,F1651&gt;3),1,0)))</x:f>
      </x:c>
      <x:c r="K1651">
        <x:f>IF(A1651="","",IF(G1651="",1,0))</x:f>
      </x:c>
      <x:c r="L1651">
        <x:f>IF(A1651="","",IF(COUNTIFS($A$5:$A$2004,A1651,$C$5:$C$2004,C1651)&gt;1,1,0))</x:f>
      </x:c>
    </x:row>
    <x:row r="1652">
      <x:c r="A1652" s="8" t="n"/>
      <x:c r="B1652" s="8" t="n"/>
      <x:c r="C1652" s="8" t="n"/>
      <x:c r="D1652" s="8" t="n"/>
      <x:c r="E1652" s="8" t="n"/>
      <x:c r="F1652" s="8" t="n"/>
      <x:c r="G1652" s="7">
        <x:f>IF(A1652="","",IF(01_Parametres!$B$11="Oui",IF((01_Parametres!$B$4*(D1652&gt;0)+01_Parametres!$B$5*(E1652&gt;0)+01_Parametres!$B$6*(F1652&gt;0))=0,"",(01_Parametres!$B$4*IF(D1652&gt;0,D1652,0)+01_Parametres!$B$5*IF(E1652&gt;0,E1652,0)+01_Parametres!$B$6*IF(F1652&gt;0,F1652,0))/(01_Parametres!$B$4*(D1652&gt;0)+01_Parametres!$B$5*(E1652&gt;0)+01_Parametres!$B$6*(F1652&gt;0))),IF(01_Parametres!$B$8=0,"",(01_Parametres!$B$4*D1652+01_Parametres!$B$5*E1652+01_Parametres!$B$6*F1652)/01_Parametres!$B$8)))</x:f>
      </x:c>
      <x:c r="H1652">
        <x:f>IFERROR(VLOOKUP(C1652,02_Referentiels!$A$20:$D$99,3,FALSE),"")</x:f>
      </x:c>
      <x:c r="I1652">
        <x:f>IFERROR(VLOOKUP(B1652,02_Referentiels!$A$5:$C$16,2,FALSE),"")</x:f>
      </x:c>
      <x:c r="J1652">
        <x:f>IF(A1652="","",IF(OR(D1652="",E1652="",F1652=""),1,IF(OR(D1652&lt;0,D1652&gt;3,E1652&lt;0,E1652&gt;3,F1652&lt;0,F1652&gt;3),1,0)))</x:f>
      </x:c>
      <x:c r="K1652">
        <x:f>IF(A1652="","",IF(G1652="",1,0))</x:f>
      </x:c>
      <x:c r="L1652">
        <x:f>IF(A1652="","",IF(COUNTIFS($A$5:$A$2004,A1652,$C$5:$C$2004,C1652)&gt;1,1,0))</x:f>
      </x:c>
    </x:row>
    <x:row r="1653">
      <x:c r="A1653" s="8" t="n"/>
      <x:c r="B1653" s="8" t="n"/>
      <x:c r="C1653" s="8" t="n"/>
      <x:c r="D1653" s="8" t="n"/>
      <x:c r="E1653" s="8" t="n"/>
      <x:c r="F1653" s="8" t="n"/>
      <x:c r="G1653" s="7">
        <x:f>IF(A1653="","",IF(01_Parametres!$B$11="Oui",IF((01_Parametres!$B$4*(D1653&gt;0)+01_Parametres!$B$5*(E1653&gt;0)+01_Parametres!$B$6*(F1653&gt;0))=0,"",(01_Parametres!$B$4*IF(D1653&gt;0,D1653,0)+01_Parametres!$B$5*IF(E1653&gt;0,E1653,0)+01_Parametres!$B$6*IF(F1653&gt;0,F1653,0))/(01_Parametres!$B$4*(D1653&gt;0)+01_Parametres!$B$5*(E1653&gt;0)+01_Parametres!$B$6*(F1653&gt;0))),IF(01_Parametres!$B$8=0,"",(01_Parametres!$B$4*D1653+01_Parametres!$B$5*E1653+01_Parametres!$B$6*F1653)/01_Parametres!$B$8)))</x:f>
      </x:c>
      <x:c r="H1653">
        <x:f>IFERROR(VLOOKUP(C1653,02_Referentiels!$A$20:$D$99,3,FALSE),"")</x:f>
      </x:c>
      <x:c r="I1653">
        <x:f>IFERROR(VLOOKUP(B1653,02_Referentiels!$A$5:$C$16,2,FALSE),"")</x:f>
      </x:c>
      <x:c r="J1653">
        <x:f>IF(A1653="","",IF(OR(D1653="",E1653="",F1653=""),1,IF(OR(D1653&lt;0,D1653&gt;3,E1653&lt;0,E1653&gt;3,F1653&lt;0,F1653&gt;3),1,0)))</x:f>
      </x:c>
      <x:c r="K1653">
        <x:f>IF(A1653="","",IF(G1653="",1,0))</x:f>
      </x:c>
      <x:c r="L1653">
        <x:f>IF(A1653="","",IF(COUNTIFS($A$5:$A$2004,A1653,$C$5:$C$2004,C1653)&gt;1,1,0))</x:f>
      </x:c>
    </x:row>
    <x:row r="1654">
      <x:c r="A1654" s="8" t="n"/>
      <x:c r="B1654" s="8" t="n"/>
      <x:c r="C1654" s="8" t="n"/>
      <x:c r="D1654" s="8" t="n"/>
      <x:c r="E1654" s="8" t="n"/>
      <x:c r="F1654" s="8" t="n"/>
      <x:c r="G1654" s="7">
        <x:f>IF(A1654="","",IF(01_Parametres!$B$11="Oui",IF((01_Parametres!$B$4*(D1654&gt;0)+01_Parametres!$B$5*(E1654&gt;0)+01_Parametres!$B$6*(F1654&gt;0))=0,"",(01_Parametres!$B$4*IF(D1654&gt;0,D1654,0)+01_Parametres!$B$5*IF(E1654&gt;0,E1654,0)+01_Parametres!$B$6*IF(F1654&gt;0,F1654,0))/(01_Parametres!$B$4*(D1654&gt;0)+01_Parametres!$B$5*(E1654&gt;0)+01_Parametres!$B$6*(F1654&gt;0))),IF(01_Parametres!$B$8=0,"",(01_Parametres!$B$4*D1654+01_Parametres!$B$5*E1654+01_Parametres!$B$6*F1654)/01_Parametres!$B$8)))</x:f>
      </x:c>
      <x:c r="H1654">
        <x:f>IFERROR(VLOOKUP(C1654,02_Referentiels!$A$20:$D$99,3,FALSE),"")</x:f>
      </x:c>
      <x:c r="I1654">
        <x:f>IFERROR(VLOOKUP(B1654,02_Referentiels!$A$5:$C$16,2,FALSE),"")</x:f>
      </x:c>
      <x:c r="J1654">
        <x:f>IF(A1654="","",IF(OR(D1654="",E1654="",F1654=""),1,IF(OR(D1654&lt;0,D1654&gt;3,E1654&lt;0,E1654&gt;3,F1654&lt;0,F1654&gt;3),1,0)))</x:f>
      </x:c>
      <x:c r="K1654">
        <x:f>IF(A1654="","",IF(G1654="",1,0))</x:f>
      </x:c>
      <x:c r="L1654">
        <x:f>IF(A1654="","",IF(COUNTIFS($A$5:$A$2004,A1654,$C$5:$C$2004,C1654)&gt;1,1,0))</x:f>
      </x:c>
    </x:row>
    <x:row r="1655">
      <x:c r="A1655" s="8" t="n"/>
      <x:c r="B1655" s="8" t="n"/>
      <x:c r="C1655" s="8" t="n"/>
      <x:c r="D1655" s="8" t="n"/>
      <x:c r="E1655" s="8" t="n"/>
      <x:c r="F1655" s="8" t="n"/>
      <x:c r="G1655" s="7">
        <x:f>IF(A1655="","",IF(01_Parametres!$B$11="Oui",IF((01_Parametres!$B$4*(D1655&gt;0)+01_Parametres!$B$5*(E1655&gt;0)+01_Parametres!$B$6*(F1655&gt;0))=0,"",(01_Parametres!$B$4*IF(D1655&gt;0,D1655,0)+01_Parametres!$B$5*IF(E1655&gt;0,E1655,0)+01_Parametres!$B$6*IF(F1655&gt;0,F1655,0))/(01_Parametres!$B$4*(D1655&gt;0)+01_Parametres!$B$5*(E1655&gt;0)+01_Parametres!$B$6*(F1655&gt;0))),IF(01_Parametres!$B$8=0,"",(01_Parametres!$B$4*D1655+01_Parametres!$B$5*E1655+01_Parametres!$B$6*F1655)/01_Parametres!$B$8)))</x:f>
      </x:c>
      <x:c r="H1655">
        <x:f>IFERROR(VLOOKUP(C1655,02_Referentiels!$A$20:$D$99,3,FALSE),"")</x:f>
      </x:c>
      <x:c r="I1655">
        <x:f>IFERROR(VLOOKUP(B1655,02_Referentiels!$A$5:$C$16,2,FALSE),"")</x:f>
      </x:c>
      <x:c r="J1655">
        <x:f>IF(A1655="","",IF(OR(D1655="",E1655="",F1655=""),1,IF(OR(D1655&lt;0,D1655&gt;3,E1655&lt;0,E1655&gt;3,F1655&lt;0,F1655&gt;3),1,0)))</x:f>
      </x:c>
      <x:c r="K1655">
        <x:f>IF(A1655="","",IF(G1655="",1,0))</x:f>
      </x:c>
      <x:c r="L1655">
        <x:f>IF(A1655="","",IF(COUNTIFS($A$5:$A$2004,A1655,$C$5:$C$2004,C1655)&gt;1,1,0))</x:f>
      </x:c>
    </x:row>
    <x:row r="1656">
      <x:c r="A1656" s="8" t="n"/>
      <x:c r="B1656" s="8" t="n"/>
      <x:c r="C1656" s="8" t="n"/>
      <x:c r="D1656" s="8" t="n"/>
      <x:c r="E1656" s="8" t="n"/>
      <x:c r="F1656" s="8" t="n"/>
      <x:c r="G1656" s="7">
        <x:f>IF(A1656="","",IF(01_Parametres!$B$11="Oui",IF((01_Parametres!$B$4*(D1656&gt;0)+01_Parametres!$B$5*(E1656&gt;0)+01_Parametres!$B$6*(F1656&gt;0))=0,"",(01_Parametres!$B$4*IF(D1656&gt;0,D1656,0)+01_Parametres!$B$5*IF(E1656&gt;0,E1656,0)+01_Parametres!$B$6*IF(F1656&gt;0,F1656,0))/(01_Parametres!$B$4*(D1656&gt;0)+01_Parametres!$B$5*(E1656&gt;0)+01_Parametres!$B$6*(F1656&gt;0))),IF(01_Parametres!$B$8=0,"",(01_Parametres!$B$4*D1656+01_Parametres!$B$5*E1656+01_Parametres!$B$6*F1656)/01_Parametres!$B$8)))</x:f>
      </x:c>
      <x:c r="H1656">
        <x:f>IFERROR(VLOOKUP(C1656,02_Referentiels!$A$20:$D$99,3,FALSE),"")</x:f>
      </x:c>
      <x:c r="I1656">
        <x:f>IFERROR(VLOOKUP(B1656,02_Referentiels!$A$5:$C$16,2,FALSE),"")</x:f>
      </x:c>
      <x:c r="J1656">
        <x:f>IF(A1656="","",IF(OR(D1656="",E1656="",F1656=""),1,IF(OR(D1656&lt;0,D1656&gt;3,E1656&lt;0,E1656&gt;3,F1656&lt;0,F1656&gt;3),1,0)))</x:f>
      </x:c>
      <x:c r="K1656">
        <x:f>IF(A1656="","",IF(G1656="",1,0))</x:f>
      </x:c>
      <x:c r="L1656">
        <x:f>IF(A1656="","",IF(COUNTIFS($A$5:$A$2004,A1656,$C$5:$C$2004,C1656)&gt;1,1,0))</x:f>
      </x:c>
    </x:row>
    <x:row r="1657">
      <x:c r="A1657" s="8" t="n"/>
      <x:c r="B1657" s="8" t="n"/>
      <x:c r="C1657" s="8" t="n"/>
      <x:c r="D1657" s="8" t="n"/>
      <x:c r="E1657" s="8" t="n"/>
      <x:c r="F1657" s="8" t="n"/>
      <x:c r="G1657" s="7">
        <x:f>IF(A1657="","",IF(01_Parametres!$B$11="Oui",IF((01_Parametres!$B$4*(D1657&gt;0)+01_Parametres!$B$5*(E1657&gt;0)+01_Parametres!$B$6*(F1657&gt;0))=0,"",(01_Parametres!$B$4*IF(D1657&gt;0,D1657,0)+01_Parametres!$B$5*IF(E1657&gt;0,E1657,0)+01_Parametres!$B$6*IF(F1657&gt;0,F1657,0))/(01_Parametres!$B$4*(D1657&gt;0)+01_Parametres!$B$5*(E1657&gt;0)+01_Parametres!$B$6*(F1657&gt;0))),IF(01_Parametres!$B$8=0,"",(01_Parametres!$B$4*D1657+01_Parametres!$B$5*E1657+01_Parametres!$B$6*F1657)/01_Parametres!$B$8)))</x:f>
      </x:c>
      <x:c r="H1657">
        <x:f>IFERROR(VLOOKUP(C1657,02_Referentiels!$A$20:$D$99,3,FALSE),"")</x:f>
      </x:c>
      <x:c r="I1657">
        <x:f>IFERROR(VLOOKUP(B1657,02_Referentiels!$A$5:$C$16,2,FALSE),"")</x:f>
      </x:c>
      <x:c r="J1657">
        <x:f>IF(A1657="","",IF(OR(D1657="",E1657="",F1657=""),1,IF(OR(D1657&lt;0,D1657&gt;3,E1657&lt;0,E1657&gt;3,F1657&lt;0,F1657&gt;3),1,0)))</x:f>
      </x:c>
      <x:c r="K1657">
        <x:f>IF(A1657="","",IF(G1657="",1,0))</x:f>
      </x:c>
      <x:c r="L1657">
        <x:f>IF(A1657="","",IF(COUNTIFS($A$5:$A$2004,A1657,$C$5:$C$2004,C1657)&gt;1,1,0))</x:f>
      </x:c>
    </x:row>
    <x:row r="1658">
      <x:c r="A1658" s="8" t="n"/>
      <x:c r="B1658" s="8" t="n"/>
      <x:c r="C1658" s="8" t="n"/>
      <x:c r="D1658" s="8" t="n"/>
      <x:c r="E1658" s="8" t="n"/>
      <x:c r="F1658" s="8" t="n"/>
      <x:c r="G1658" s="7">
        <x:f>IF(A1658="","",IF(01_Parametres!$B$11="Oui",IF((01_Parametres!$B$4*(D1658&gt;0)+01_Parametres!$B$5*(E1658&gt;0)+01_Parametres!$B$6*(F1658&gt;0))=0,"",(01_Parametres!$B$4*IF(D1658&gt;0,D1658,0)+01_Parametres!$B$5*IF(E1658&gt;0,E1658,0)+01_Parametres!$B$6*IF(F1658&gt;0,F1658,0))/(01_Parametres!$B$4*(D1658&gt;0)+01_Parametres!$B$5*(E1658&gt;0)+01_Parametres!$B$6*(F1658&gt;0))),IF(01_Parametres!$B$8=0,"",(01_Parametres!$B$4*D1658+01_Parametres!$B$5*E1658+01_Parametres!$B$6*F1658)/01_Parametres!$B$8)))</x:f>
      </x:c>
      <x:c r="H1658">
        <x:f>IFERROR(VLOOKUP(C1658,02_Referentiels!$A$20:$D$99,3,FALSE),"")</x:f>
      </x:c>
      <x:c r="I1658">
        <x:f>IFERROR(VLOOKUP(B1658,02_Referentiels!$A$5:$C$16,2,FALSE),"")</x:f>
      </x:c>
      <x:c r="J1658">
        <x:f>IF(A1658="","",IF(OR(D1658="",E1658="",F1658=""),1,IF(OR(D1658&lt;0,D1658&gt;3,E1658&lt;0,E1658&gt;3,F1658&lt;0,F1658&gt;3),1,0)))</x:f>
      </x:c>
      <x:c r="K1658">
        <x:f>IF(A1658="","",IF(G1658="",1,0))</x:f>
      </x:c>
      <x:c r="L1658">
        <x:f>IF(A1658="","",IF(COUNTIFS($A$5:$A$2004,A1658,$C$5:$C$2004,C1658)&gt;1,1,0))</x:f>
      </x:c>
    </x:row>
    <x:row r="1659">
      <x:c r="A1659" s="8" t="n"/>
      <x:c r="B1659" s="8" t="n"/>
      <x:c r="C1659" s="8" t="n"/>
      <x:c r="D1659" s="8" t="n"/>
      <x:c r="E1659" s="8" t="n"/>
      <x:c r="F1659" s="8" t="n"/>
      <x:c r="G1659" s="7">
        <x:f>IF(A1659="","",IF(01_Parametres!$B$11="Oui",IF((01_Parametres!$B$4*(D1659&gt;0)+01_Parametres!$B$5*(E1659&gt;0)+01_Parametres!$B$6*(F1659&gt;0))=0,"",(01_Parametres!$B$4*IF(D1659&gt;0,D1659,0)+01_Parametres!$B$5*IF(E1659&gt;0,E1659,0)+01_Parametres!$B$6*IF(F1659&gt;0,F1659,0))/(01_Parametres!$B$4*(D1659&gt;0)+01_Parametres!$B$5*(E1659&gt;0)+01_Parametres!$B$6*(F1659&gt;0))),IF(01_Parametres!$B$8=0,"",(01_Parametres!$B$4*D1659+01_Parametres!$B$5*E1659+01_Parametres!$B$6*F1659)/01_Parametres!$B$8)))</x:f>
      </x:c>
      <x:c r="H1659">
        <x:f>IFERROR(VLOOKUP(C1659,02_Referentiels!$A$20:$D$99,3,FALSE),"")</x:f>
      </x:c>
      <x:c r="I1659">
        <x:f>IFERROR(VLOOKUP(B1659,02_Referentiels!$A$5:$C$16,2,FALSE),"")</x:f>
      </x:c>
      <x:c r="J1659">
        <x:f>IF(A1659="","",IF(OR(D1659="",E1659="",F1659=""),1,IF(OR(D1659&lt;0,D1659&gt;3,E1659&lt;0,E1659&gt;3,F1659&lt;0,F1659&gt;3),1,0)))</x:f>
      </x:c>
      <x:c r="K1659">
        <x:f>IF(A1659="","",IF(G1659="",1,0))</x:f>
      </x:c>
      <x:c r="L1659">
        <x:f>IF(A1659="","",IF(COUNTIFS($A$5:$A$2004,A1659,$C$5:$C$2004,C1659)&gt;1,1,0))</x:f>
      </x:c>
    </x:row>
    <x:row r="1660">
      <x:c r="A1660" s="8" t="n"/>
      <x:c r="B1660" s="8" t="n"/>
      <x:c r="C1660" s="8" t="n"/>
      <x:c r="D1660" s="8" t="n"/>
      <x:c r="E1660" s="8" t="n"/>
      <x:c r="F1660" s="8" t="n"/>
      <x:c r="G1660" s="7">
        <x:f>IF(A1660="","",IF(01_Parametres!$B$11="Oui",IF((01_Parametres!$B$4*(D1660&gt;0)+01_Parametres!$B$5*(E1660&gt;0)+01_Parametres!$B$6*(F1660&gt;0))=0,"",(01_Parametres!$B$4*IF(D1660&gt;0,D1660,0)+01_Parametres!$B$5*IF(E1660&gt;0,E1660,0)+01_Parametres!$B$6*IF(F1660&gt;0,F1660,0))/(01_Parametres!$B$4*(D1660&gt;0)+01_Parametres!$B$5*(E1660&gt;0)+01_Parametres!$B$6*(F1660&gt;0))),IF(01_Parametres!$B$8=0,"",(01_Parametres!$B$4*D1660+01_Parametres!$B$5*E1660+01_Parametres!$B$6*F1660)/01_Parametres!$B$8)))</x:f>
      </x:c>
      <x:c r="H1660">
        <x:f>IFERROR(VLOOKUP(C1660,02_Referentiels!$A$20:$D$99,3,FALSE),"")</x:f>
      </x:c>
      <x:c r="I1660">
        <x:f>IFERROR(VLOOKUP(B1660,02_Referentiels!$A$5:$C$16,2,FALSE),"")</x:f>
      </x:c>
      <x:c r="J1660">
        <x:f>IF(A1660="","",IF(OR(D1660="",E1660="",F1660=""),1,IF(OR(D1660&lt;0,D1660&gt;3,E1660&lt;0,E1660&gt;3,F1660&lt;0,F1660&gt;3),1,0)))</x:f>
      </x:c>
      <x:c r="K1660">
        <x:f>IF(A1660="","",IF(G1660="",1,0))</x:f>
      </x:c>
      <x:c r="L1660">
        <x:f>IF(A1660="","",IF(COUNTIFS($A$5:$A$2004,A1660,$C$5:$C$2004,C1660)&gt;1,1,0))</x:f>
      </x:c>
    </x:row>
    <x:row r="1661">
      <x:c r="A1661" s="8" t="n"/>
      <x:c r="B1661" s="8" t="n"/>
      <x:c r="C1661" s="8" t="n"/>
      <x:c r="D1661" s="8" t="n"/>
      <x:c r="E1661" s="8" t="n"/>
      <x:c r="F1661" s="8" t="n"/>
      <x:c r="G1661" s="7">
        <x:f>IF(A1661="","",IF(01_Parametres!$B$11="Oui",IF((01_Parametres!$B$4*(D1661&gt;0)+01_Parametres!$B$5*(E1661&gt;0)+01_Parametres!$B$6*(F1661&gt;0))=0,"",(01_Parametres!$B$4*IF(D1661&gt;0,D1661,0)+01_Parametres!$B$5*IF(E1661&gt;0,E1661,0)+01_Parametres!$B$6*IF(F1661&gt;0,F1661,0))/(01_Parametres!$B$4*(D1661&gt;0)+01_Parametres!$B$5*(E1661&gt;0)+01_Parametres!$B$6*(F1661&gt;0))),IF(01_Parametres!$B$8=0,"",(01_Parametres!$B$4*D1661+01_Parametres!$B$5*E1661+01_Parametres!$B$6*F1661)/01_Parametres!$B$8)))</x:f>
      </x:c>
      <x:c r="H1661">
        <x:f>IFERROR(VLOOKUP(C1661,02_Referentiels!$A$20:$D$99,3,FALSE),"")</x:f>
      </x:c>
      <x:c r="I1661">
        <x:f>IFERROR(VLOOKUP(B1661,02_Referentiels!$A$5:$C$16,2,FALSE),"")</x:f>
      </x:c>
      <x:c r="J1661">
        <x:f>IF(A1661="","",IF(OR(D1661="",E1661="",F1661=""),1,IF(OR(D1661&lt;0,D1661&gt;3,E1661&lt;0,E1661&gt;3,F1661&lt;0,F1661&gt;3),1,0)))</x:f>
      </x:c>
      <x:c r="K1661">
        <x:f>IF(A1661="","",IF(G1661="",1,0))</x:f>
      </x:c>
      <x:c r="L1661">
        <x:f>IF(A1661="","",IF(COUNTIFS($A$5:$A$2004,A1661,$C$5:$C$2004,C1661)&gt;1,1,0))</x:f>
      </x:c>
    </x:row>
    <x:row r="1662">
      <x:c r="A1662" s="8" t="n"/>
      <x:c r="B1662" s="8" t="n"/>
      <x:c r="C1662" s="8" t="n"/>
      <x:c r="D1662" s="8" t="n"/>
      <x:c r="E1662" s="8" t="n"/>
      <x:c r="F1662" s="8" t="n"/>
      <x:c r="G1662" s="7">
        <x:f>IF(A1662="","",IF(01_Parametres!$B$11="Oui",IF((01_Parametres!$B$4*(D1662&gt;0)+01_Parametres!$B$5*(E1662&gt;0)+01_Parametres!$B$6*(F1662&gt;0))=0,"",(01_Parametres!$B$4*IF(D1662&gt;0,D1662,0)+01_Parametres!$B$5*IF(E1662&gt;0,E1662,0)+01_Parametres!$B$6*IF(F1662&gt;0,F1662,0))/(01_Parametres!$B$4*(D1662&gt;0)+01_Parametres!$B$5*(E1662&gt;0)+01_Parametres!$B$6*(F1662&gt;0))),IF(01_Parametres!$B$8=0,"",(01_Parametres!$B$4*D1662+01_Parametres!$B$5*E1662+01_Parametres!$B$6*F1662)/01_Parametres!$B$8)))</x:f>
      </x:c>
      <x:c r="H1662">
        <x:f>IFERROR(VLOOKUP(C1662,02_Referentiels!$A$20:$D$99,3,FALSE),"")</x:f>
      </x:c>
      <x:c r="I1662">
        <x:f>IFERROR(VLOOKUP(B1662,02_Referentiels!$A$5:$C$16,2,FALSE),"")</x:f>
      </x:c>
      <x:c r="J1662">
        <x:f>IF(A1662="","",IF(OR(D1662="",E1662="",F1662=""),1,IF(OR(D1662&lt;0,D1662&gt;3,E1662&lt;0,E1662&gt;3,F1662&lt;0,F1662&gt;3),1,0)))</x:f>
      </x:c>
      <x:c r="K1662">
        <x:f>IF(A1662="","",IF(G1662="",1,0))</x:f>
      </x:c>
      <x:c r="L1662">
        <x:f>IF(A1662="","",IF(COUNTIFS($A$5:$A$2004,A1662,$C$5:$C$2004,C1662)&gt;1,1,0))</x:f>
      </x:c>
    </x:row>
    <x:row r="1663">
      <x:c r="A1663" s="8" t="n"/>
      <x:c r="B1663" s="8" t="n"/>
      <x:c r="C1663" s="8" t="n"/>
      <x:c r="D1663" s="8" t="n"/>
      <x:c r="E1663" s="8" t="n"/>
      <x:c r="F1663" s="8" t="n"/>
      <x:c r="G1663" s="7">
        <x:f>IF(A1663="","",IF(01_Parametres!$B$11="Oui",IF((01_Parametres!$B$4*(D1663&gt;0)+01_Parametres!$B$5*(E1663&gt;0)+01_Parametres!$B$6*(F1663&gt;0))=0,"",(01_Parametres!$B$4*IF(D1663&gt;0,D1663,0)+01_Parametres!$B$5*IF(E1663&gt;0,E1663,0)+01_Parametres!$B$6*IF(F1663&gt;0,F1663,0))/(01_Parametres!$B$4*(D1663&gt;0)+01_Parametres!$B$5*(E1663&gt;0)+01_Parametres!$B$6*(F1663&gt;0))),IF(01_Parametres!$B$8=0,"",(01_Parametres!$B$4*D1663+01_Parametres!$B$5*E1663+01_Parametres!$B$6*F1663)/01_Parametres!$B$8)))</x:f>
      </x:c>
      <x:c r="H1663">
        <x:f>IFERROR(VLOOKUP(C1663,02_Referentiels!$A$20:$D$99,3,FALSE),"")</x:f>
      </x:c>
      <x:c r="I1663">
        <x:f>IFERROR(VLOOKUP(B1663,02_Referentiels!$A$5:$C$16,2,FALSE),"")</x:f>
      </x:c>
      <x:c r="J1663">
        <x:f>IF(A1663="","",IF(OR(D1663="",E1663="",F1663=""),1,IF(OR(D1663&lt;0,D1663&gt;3,E1663&lt;0,E1663&gt;3,F1663&lt;0,F1663&gt;3),1,0)))</x:f>
      </x:c>
      <x:c r="K1663">
        <x:f>IF(A1663="","",IF(G1663="",1,0))</x:f>
      </x:c>
      <x:c r="L1663">
        <x:f>IF(A1663="","",IF(COUNTIFS($A$5:$A$2004,A1663,$C$5:$C$2004,C1663)&gt;1,1,0))</x:f>
      </x:c>
    </x:row>
    <x:row r="1664">
      <x:c r="A1664" s="8" t="n"/>
      <x:c r="B1664" s="8" t="n"/>
      <x:c r="C1664" s="8" t="n"/>
      <x:c r="D1664" s="8" t="n"/>
      <x:c r="E1664" s="8" t="n"/>
      <x:c r="F1664" s="8" t="n"/>
      <x:c r="G1664" s="7">
        <x:f>IF(A1664="","",IF(01_Parametres!$B$11="Oui",IF((01_Parametres!$B$4*(D1664&gt;0)+01_Parametres!$B$5*(E1664&gt;0)+01_Parametres!$B$6*(F1664&gt;0))=0,"",(01_Parametres!$B$4*IF(D1664&gt;0,D1664,0)+01_Parametres!$B$5*IF(E1664&gt;0,E1664,0)+01_Parametres!$B$6*IF(F1664&gt;0,F1664,0))/(01_Parametres!$B$4*(D1664&gt;0)+01_Parametres!$B$5*(E1664&gt;0)+01_Parametres!$B$6*(F1664&gt;0))),IF(01_Parametres!$B$8=0,"",(01_Parametres!$B$4*D1664+01_Parametres!$B$5*E1664+01_Parametres!$B$6*F1664)/01_Parametres!$B$8)))</x:f>
      </x:c>
      <x:c r="H1664">
        <x:f>IFERROR(VLOOKUP(C1664,02_Referentiels!$A$20:$D$99,3,FALSE),"")</x:f>
      </x:c>
      <x:c r="I1664">
        <x:f>IFERROR(VLOOKUP(B1664,02_Referentiels!$A$5:$C$16,2,FALSE),"")</x:f>
      </x:c>
      <x:c r="J1664">
        <x:f>IF(A1664="","",IF(OR(D1664="",E1664="",F1664=""),1,IF(OR(D1664&lt;0,D1664&gt;3,E1664&lt;0,E1664&gt;3,F1664&lt;0,F1664&gt;3),1,0)))</x:f>
      </x:c>
      <x:c r="K1664">
        <x:f>IF(A1664="","",IF(G1664="",1,0))</x:f>
      </x:c>
      <x:c r="L1664">
        <x:f>IF(A1664="","",IF(COUNTIFS($A$5:$A$2004,A1664,$C$5:$C$2004,C1664)&gt;1,1,0))</x:f>
      </x:c>
    </x:row>
    <x:row r="1665">
      <x:c r="A1665" s="8" t="n"/>
      <x:c r="B1665" s="8" t="n"/>
      <x:c r="C1665" s="8" t="n"/>
      <x:c r="D1665" s="8" t="n"/>
      <x:c r="E1665" s="8" t="n"/>
      <x:c r="F1665" s="8" t="n"/>
      <x:c r="G1665" s="7">
        <x:f>IF(A1665="","",IF(01_Parametres!$B$11="Oui",IF((01_Parametres!$B$4*(D1665&gt;0)+01_Parametres!$B$5*(E1665&gt;0)+01_Parametres!$B$6*(F1665&gt;0))=0,"",(01_Parametres!$B$4*IF(D1665&gt;0,D1665,0)+01_Parametres!$B$5*IF(E1665&gt;0,E1665,0)+01_Parametres!$B$6*IF(F1665&gt;0,F1665,0))/(01_Parametres!$B$4*(D1665&gt;0)+01_Parametres!$B$5*(E1665&gt;0)+01_Parametres!$B$6*(F1665&gt;0))),IF(01_Parametres!$B$8=0,"",(01_Parametres!$B$4*D1665+01_Parametres!$B$5*E1665+01_Parametres!$B$6*F1665)/01_Parametres!$B$8)))</x:f>
      </x:c>
      <x:c r="H1665">
        <x:f>IFERROR(VLOOKUP(C1665,02_Referentiels!$A$20:$D$99,3,FALSE),"")</x:f>
      </x:c>
      <x:c r="I1665">
        <x:f>IFERROR(VLOOKUP(B1665,02_Referentiels!$A$5:$C$16,2,FALSE),"")</x:f>
      </x:c>
      <x:c r="J1665">
        <x:f>IF(A1665="","",IF(OR(D1665="",E1665="",F1665=""),1,IF(OR(D1665&lt;0,D1665&gt;3,E1665&lt;0,E1665&gt;3,F1665&lt;0,F1665&gt;3),1,0)))</x:f>
      </x:c>
      <x:c r="K1665">
        <x:f>IF(A1665="","",IF(G1665="",1,0))</x:f>
      </x:c>
      <x:c r="L1665">
        <x:f>IF(A1665="","",IF(COUNTIFS($A$5:$A$2004,A1665,$C$5:$C$2004,C1665)&gt;1,1,0))</x:f>
      </x:c>
    </x:row>
    <x:row r="1666">
      <x:c r="A1666" s="8" t="n"/>
      <x:c r="B1666" s="8" t="n"/>
      <x:c r="C1666" s="8" t="n"/>
      <x:c r="D1666" s="8" t="n"/>
      <x:c r="E1666" s="8" t="n"/>
      <x:c r="F1666" s="8" t="n"/>
      <x:c r="G1666" s="7">
        <x:f>IF(A1666="","",IF(01_Parametres!$B$11="Oui",IF((01_Parametres!$B$4*(D1666&gt;0)+01_Parametres!$B$5*(E1666&gt;0)+01_Parametres!$B$6*(F1666&gt;0))=0,"",(01_Parametres!$B$4*IF(D1666&gt;0,D1666,0)+01_Parametres!$B$5*IF(E1666&gt;0,E1666,0)+01_Parametres!$B$6*IF(F1666&gt;0,F1666,0))/(01_Parametres!$B$4*(D1666&gt;0)+01_Parametres!$B$5*(E1666&gt;0)+01_Parametres!$B$6*(F1666&gt;0))),IF(01_Parametres!$B$8=0,"",(01_Parametres!$B$4*D1666+01_Parametres!$B$5*E1666+01_Parametres!$B$6*F1666)/01_Parametres!$B$8)))</x:f>
      </x:c>
      <x:c r="H1666">
        <x:f>IFERROR(VLOOKUP(C1666,02_Referentiels!$A$20:$D$99,3,FALSE),"")</x:f>
      </x:c>
      <x:c r="I1666">
        <x:f>IFERROR(VLOOKUP(B1666,02_Referentiels!$A$5:$C$16,2,FALSE),"")</x:f>
      </x:c>
      <x:c r="J1666">
        <x:f>IF(A1666="","",IF(OR(D1666="",E1666="",F1666=""),1,IF(OR(D1666&lt;0,D1666&gt;3,E1666&lt;0,E1666&gt;3,F1666&lt;0,F1666&gt;3),1,0)))</x:f>
      </x:c>
      <x:c r="K1666">
        <x:f>IF(A1666="","",IF(G1666="",1,0))</x:f>
      </x:c>
      <x:c r="L1666">
        <x:f>IF(A1666="","",IF(COUNTIFS($A$5:$A$2004,A1666,$C$5:$C$2004,C1666)&gt;1,1,0))</x:f>
      </x:c>
    </x:row>
    <x:row r="1667">
      <x:c r="A1667" s="8" t="n"/>
      <x:c r="B1667" s="8" t="n"/>
      <x:c r="C1667" s="8" t="n"/>
      <x:c r="D1667" s="8" t="n"/>
      <x:c r="E1667" s="8" t="n"/>
      <x:c r="F1667" s="8" t="n"/>
      <x:c r="G1667" s="7">
        <x:f>IF(A1667="","",IF(01_Parametres!$B$11="Oui",IF((01_Parametres!$B$4*(D1667&gt;0)+01_Parametres!$B$5*(E1667&gt;0)+01_Parametres!$B$6*(F1667&gt;0))=0,"",(01_Parametres!$B$4*IF(D1667&gt;0,D1667,0)+01_Parametres!$B$5*IF(E1667&gt;0,E1667,0)+01_Parametres!$B$6*IF(F1667&gt;0,F1667,0))/(01_Parametres!$B$4*(D1667&gt;0)+01_Parametres!$B$5*(E1667&gt;0)+01_Parametres!$B$6*(F1667&gt;0))),IF(01_Parametres!$B$8=0,"",(01_Parametres!$B$4*D1667+01_Parametres!$B$5*E1667+01_Parametres!$B$6*F1667)/01_Parametres!$B$8)))</x:f>
      </x:c>
      <x:c r="H1667">
        <x:f>IFERROR(VLOOKUP(C1667,02_Referentiels!$A$20:$D$99,3,FALSE),"")</x:f>
      </x:c>
      <x:c r="I1667">
        <x:f>IFERROR(VLOOKUP(B1667,02_Referentiels!$A$5:$C$16,2,FALSE),"")</x:f>
      </x:c>
      <x:c r="J1667">
        <x:f>IF(A1667="","",IF(OR(D1667="",E1667="",F1667=""),1,IF(OR(D1667&lt;0,D1667&gt;3,E1667&lt;0,E1667&gt;3,F1667&lt;0,F1667&gt;3),1,0)))</x:f>
      </x:c>
      <x:c r="K1667">
        <x:f>IF(A1667="","",IF(G1667="",1,0))</x:f>
      </x:c>
      <x:c r="L1667">
        <x:f>IF(A1667="","",IF(COUNTIFS($A$5:$A$2004,A1667,$C$5:$C$2004,C1667)&gt;1,1,0))</x:f>
      </x:c>
    </x:row>
    <x:row r="1668">
      <x:c r="A1668" s="8" t="n"/>
      <x:c r="B1668" s="8" t="n"/>
      <x:c r="C1668" s="8" t="n"/>
      <x:c r="D1668" s="8" t="n"/>
      <x:c r="E1668" s="8" t="n"/>
      <x:c r="F1668" s="8" t="n"/>
      <x:c r="G1668" s="7">
        <x:f>IF(A1668="","",IF(01_Parametres!$B$11="Oui",IF((01_Parametres!$B$4*(D1668&gt;0)+01_Parametres!$B$5*(E1668&gt;0)+01_Parametres!$B$6*(F1668&gt;0))=0,"",(01_Parametres!$B$4*IF(D1668&gt;0,D1668,0)+01_Parametres!$B$5*IF(E1668&gt;0,E1668,0)+01_Parametres!$B$6*IF(F1668&gt;0,F1668,0))/(01_Parametres!$B$4*(D1668&gt;0)+01_Parametres!$B$5*(E1668&gt;0)+01_Parametres!$B$6*(F1668&gt;0))),IF(01_Parametres!$B$8=0,"",(01_Parametres!$B$4*D1668+01_Parametres!$B$5*E1668+01_Parametres!$B$6*F1668)/01_Parametres!$B$8)))</x:f>
      </x:c>
      <x:c r="H1668">
        <x:f>IFERROR(VLOOKUP(C1668,02_Referentiels!$A$20:$D$99,3,FALSE),"")</x:f>
      </x:c>
      <x:c r="I1668">
        <x:f>IFERROR(VLOOKUP(B1668,02_Referentiels!$A$5:$C$16,2,FALSE),"")</x:f>
      </x:c>
      <x:c r="J1668">
        <x:f>IF(A1668="","",IF(OR(D1668="",E1668="",F1668=""),1,IF(OR(D1668&lt;0,D1668&gt;3,E1668&lt;0,E1668&gt;3,F1668&lt;0,F1668&gt;3),1,0)))</x:f>
      </x:c>
      <x:c r="K1668">
        <x:f>IF(A1668="","",IF(G1668="",1,0))</x:f>
      </x:c>
      <x:c r="L1668">
        <x:f>IF(A1668="","",IF(COUNTIFS($A$5:$A$2004,A1668,$C$5:$C$2004,C1668)&gt;1,1,0))</x:f>
      </x:c>
    </x:row>
    <x:row r="1669">
      <x:c r="A1669" s="8" t="n"/>
      <x:c r="B1669" s="8" t="n"/>
      <x:c r="C1669" s="8" t="n"/>
      <x:c r="D1669" s="8" t="n"/>
      <x:c r="E1669" s="8" t="n"/>
      <x:c r="F1669" s="8" t="n"/>
      <x:c r="G1669" s="7">
        <x:f>IF(A1669="","",IF(01_Parametres!$B$11="Oui",IF((01_Parametres!$B$4*(D1669&gt;0)+01_Parametres!$B$5*(E1669&gt;0)+01_Parametres!$B$6*(F1669&gt;0))=0,"",(01_Parametres!$B$4*IF(D1669&gt;0,D1669,0)+01_Parametres!$B$5*IF(E1669&gt;0,E1669,0)+01_Parametres!$B$6*IF(F1669&gt;0,F1669,0))/(01_Parametres!$B$4*(D1669&gt;0)+01_Parametres!$B$5*(E1669&gt;0)+01_Parametres!$B$6*(F1669&gt;0))),IF(01_Parametres!$B$8=0,"",(01_Parametres!$B$4*D1669+01_Parametres!$B$5*E1669+01_Parametres!$B$6*F1669)/01_Parametres!$B$8)))</x:f>
      </x:c>
      <x:c r="H1669">
        <x:f>IFERROR(VLOOKUP(C1669,02_Referentiels!$A$20:$D$99,3,FALSE),"")</x:f>
      </x:c>
      <x:c r="I1669">
        <x:f>IFERROR(VLOOKUP(B1669,02_Referentiels!$A$5:$C$16,2,FALSE),"")</x:f>
      </x:c>
      <x:c r="J1669">
        <x:f>IF(A1669="","",IF(OR(D1669="",E1669="",F1669=""),1,IF(OR(D1669&lt;0,D1669&gt;3,E1669&lt;0,E1669&gt;3,F1669&lt;0,F1669&gt;3),1,0)))</x:f>
      </x:c>
      <x:c r="K1669">
        <x:f>IF(A1669="","",IF(G1669="",1,0))</x:f>
      </x:c>
      <x:c r="L1669">
        <x:f>IF(A1669="","",IF(COUNTIFS($A$5:$A$2004,A1669,$C$5:$C$2004,C1669)&gt;1,1,0))</x:f>
      </x:c>
    </x:row>
    <x:row r="1670">
      <x:c r="A1670" s="8" t="n"/>
      <x:c r="B1670" s="8" t="n"/>
      <x:c r="C1670" s="8" t="n"/>
      <x:c r="D1670" s="8" t="n"/>
      <x:c r="E1670" s="8" t="n"/>
      <x:c r="F1670" s="8" t="n"/>
      <x:c r="G1670" s="7">
        <x:f>IF(A1670="","",IF(01_Parametres!$B$11="Oui",IF((01_Parametres!$B$4*(D1670&gt;0)+01_Parametres!$B$5*(E1670&gt;0)+01_Parametres!$B$6*(F1670&gt;0))=0,"",(01_Parametres!$B$4*IF(D1670&gt;0,D1670,0)+01_Parametres!$B$5*IF(E1670&gt;0,E1670,0)+01_Parametres!$B$6*IF(F1670&gt;0,F1670,0))/(01_Parametres!$B$4*(D1670&gt;0)+01_Parametres!$B$5*(E1670&gt;0)+01_Parametres!$B$6*(F1670&gt;0))),IF(01_Parametres!$B$8=0,"",(01_Parametres!$B$4*D1670+01_Parametres!$B$5*E1670+01_Parametres!$B$6*F1670)/01_Parametres!$B$8)))</x:f>
      </x:c>
      <x:c r="H1670">
        <x:f>IFERROR(VLOOKUP(C1670,02_Referentiels!$A$20:$D$99,3,FALSE),"")</x:f>
      </x:c>
      <x:c r="I1670">
        <x:f>IFERROR(VLOOKUP(B1670,02_Referentiels!$A$5:$C$16,2,FALSE),"")</x:f>
      </x:c>
      <x:c r="J1670">
        <x:f>IF(A1670="","",IF(OR(D1670="",E1670="",F1670=""),1,IF(OR(D1670&lt;0,D1670&gt;3,E1670&lt;0,E1670&gt;3,F1670&lt;0,F1670&gt;3),1,0)))</x:f>
      </x:c>
      <x:c r="K1670">
        <x:f>IF(A1670="","",IF(G1670="",1,0))</x:f>
      </x:c>
      <x:c r="L1670">
        <x:f>IF(A1670="","",IF(COUNTIFS($A$5:$A$2004,A1670,$C$5:$C$2004,C1670)&gt;1,1,0))</x:f>
      </x:c>
    </x:row>
    <x:row r="1671">
      <x:c r="A1671" s="8" t="n"/>
      <x:c r="B1671" s="8" t="n"/>
      <x:c r="C1671" s="8" t="n"/>
      <x:c r="D1671" s="8" t="n"/>
      <x:c r="E1671" s="8" t="n"/>
      <x:c r="F1671" s="8" t="n"/>
      <x:c r="G1671" s="7">
        <x:f>IF(A1671="","",IF(01_Parametres!$B$11="Oui",IF((01_Parametres!$B$4*(D1671&gt;0)+01_Parametres!$B$5*(E1671&gt;0)+01_Parametres!$B$6*(F1671&gt;0))=0,"",(01_Parametres!$B$4*IF(D1671&gt;0,D1671,0)+01_Parametres!$B$5*IF(E1671&gt;0,E1671,0)+01_Parametres!$B$6*IF(F1671&gt;0,F1671,0))/(01_Parametres!$B$4*(D1671&gt;0)+01_Parametres!$B$5*(E1671&gt;0)+01_Parametres!$B$6*(F1671&gt;0))),IF(01_Parametres!$B$8=0,"",(01_Parametres!$B$4*D1671+01_Parametres!$B$5*E1671+01_Parametres!$B$6*F1671)/01_Parametres!$B$8)))</x:f>
      </x:c>
      <x:c r="H1671">
        <x:f>IFERROR(VLOOKUP(C1671,02_Referentiels!$A$20:$D$99,3,FALSE),"")</x:f>
      </x:c>
      <x:c r="I1671">
        <x:f>IFERROR(VLOOKUP(B1671,02_Referentiels!$A$5:$C$16,2,FALSE),"")</x:f>
      </x:c>
      <x:c r="J1671">
        <x:f>IF(A1671="","",IF(OR(D1671="",E1671="",F1671=""),1,IF(OR(D1671&lt;0,D1671&gt;3,E1671&lt;0,E1671&gt;3,F1671&lt;0,F1671&gt;3),1,0)))</x:f>
      </x:c>
      <x:c r="K1671">
        <x:f>IF(A1671="","",IF(G1671="",1,0))</x:f>
      </x:c>
      <x:c r="L1671">
        <x:f>IF(A1671="","",IF(COUNTIFS($A$5:$A$2004,A1671,$C$5:$C$2004,C1671)&gt;1,1,0))</x:f>
      </x:c>
    </x:row>
    <x:row r="1672">
      <x:c r="A1672" s="8" t="n"/>
      <x:c r="B1672" s="8" t="n"/>
      <x:c r="C1672" s="8" t="n"/>
      <x:c r="D1672" s="8" t="n"/>
      <x:c r="E1672" s="8" t="n"/>
      <x:c r="F1672" s="8" t="n"/>
      <x:c r="G1672" s="7">
        <x:f>IF(A1672="","",IF(01_Parametres!$B$11="Oui",IF((01_Parametres!$B$4*(D1672&gt;0)+01_Parametres!$B$5*(E1672&gt;0)+01_Parametres!$B$6*(F1672&gt;0))=0,"",(01_Parametres!$B$4*IF(D1672&gt;0,D1672,0)+01_Parametres!$B$5*IF(E1672&gt;0,E1672,0)+01_Parametres!$B$6*IF(F1672&gt;0,F1672,0))/(01_Parametres!$B$4*(D1672&gt;0)+01_Parametres!$B$5*(E1672&gt;0)+01_Parametres!$B$6*(F1672&gt;0))),IF(01_Parametres!$B$8=0,"",(01_Parametres!$B$4*D1672+01_Parametres!$B$5*E1672+01_Parametres!$B$6*F1672)/01_Parametres!$B$8)))</x:f>
      </x:c>
      <x:c r="H1672">
        <x:f>IFERROR(VLOOKUP(C1672,02_Referentiels!$A$20:$D$99,3,FALSE),"")</x:f>
      </x:c>
      <x:c r="I1672">
        <x:f>IFERROR(VLOOKUP(B1672,02_Referentiels!$A$5:$C$16,2,FALSE),"")</x:f>
      </x:c>
      <x:c r="J1672">
        <x:f>IF(A1672="","",IF(OR(D1672="",E1672="",F1672=""),1,IF(OR(D1672&lt;0,D1672&gt;3,E1672&lt;0,E1672&gt;3,F1672&lt;0,F1672&gt;3),1,0)))</x:f>
      </x:c>
      <x:c r="K1672">
        <x:f>IF(A1672="","",IF(G1672="",1,0))</x:f>
      </x:c>
      <x:c r="L1672">
        <x:f>IF(A1672="","",IF(COUNTIFS($A$5:$A$2004,A1672,$C$5:$C$2004,C1672)&gt;1,1,0))</x:f>
      </x:c>
    </x:row>
    <x:row r="1673">
      <x:c r="A1673" s="8" t="n"/>
      <x:c r="B1673" s="8" t="n"/>
      <x:c r="C1673" s="8" t="n"/>
      <x:c r="D1673" s="8" t="n"/>
      <x:c r="E1673" s="8" t="n"/>
      <x:c r="F1673" s="8" t="n"/>
      <x:c r="G1673" s="7">
        <x:f>IF(A1673="","",IF(01_Parametres!$B$11="Oui",IF((01_Parametres!$B$4*(D1673&gt;0)+01_Parametres!$B$5*(E1673&gt;0)+01_Parametres!$B$6*(F1673&gt;0))=0,"",(01_Parametres!$B$4*IF(D1673&gt;0,D1673,0)+01_Parametres!$B$5*IF(E1673&gt;0,E1673,0)+01_Parametres!$B$6*IF(F1673&gt;0,F1673,0))/(01_Parametres!$B$4*(D1673&gt;0)+01_Parametres!$B$5*(E1673&gt;0)+01_Parametres!$B$6*(F1673&gt;0))),IF(01_Parametres!$B$8=0,"",(01_Parametres!$B$4*D1673+01_Parametres!$B$5*E1673+01_Parametres!$B$6*F1673)/01_Parametres!$B$8)))</x:f>
      </x:c>
      <x:c r="H1673">
        <x:f>IFERROR(VLOOKUP(C1673,02_Referentiels!$A$20:$D$99,3,FALSE),"")</x:f>
      </x:c>
      <x:c r="I1673">
        <x:f>IFERROR(VLOOKUP(B1673,02_Referentiels!$A$5:$C$16,2,FALSE),"")</x:f>
      </x:c>
      <x:c r="J1673">
        <x:f>IF(A1673="","",IF(OR(D1673="",E1673="",F1673=""),1,IF(OR(D1673&lt;0,D1673&gt;3,E1673&lt;0,E1673&gt;3,F1673&lt;0,F1673&gt;3),1,0)))</x:f>
      </x:c>
      <x:c r="K1673">
        <x:f>IF(A1673="","",IF(G1673="",1,0))</x:f>
      </x:c>
      <x:c r="L1673">
        <x:f>IF(A1673="","",IF(COUNTIFS($A$5:$A$2004,A1673,$C$5:$C$2004,C1673)&gt;1,1,0))</x:f>
      </x:c>
    </x:row>
    <x:row r="1674">
      <x:c r="A1674" s="8" t="n"/>
      <x:c r="B1674" s="8" t="n"/>
      <x:c r="C1674" s="8" t="n"/>
      <x:c r="D1674" s="8" t="n"/>
      <x:c r="E1674" s="8" t="n"/>
      <x:c r="F1674" s="8" t="n"/>
      <x:c r="G1674" s="7">
        <x:f>IF(A1674="","",IF(01_Parametres!$B$11="Oui",IF((01_Parametres!$B$4*(D1674&gt;0)+01_Parametres!$B$5*(E1674&gt;0)+01_Parametres!$B$6*(F1674&gt;0))=0,"",(01_Parametres!$B$4*IF(D1674&gt;0,D1674,0)+01_Parametres!$B$5*IF(E1674&gt;0,E1674,0)+01_Parametres!$B$6*IF(F1674&gt;0,F1674,0))/(01_Parametres!$B$4*(D1674&gt;0)+01_Parametres!$B$5*(E1674&gt;0)+01_Parametres!$B$6*(F1674&gt;0))),IF(01_Parametres!$B$8=0,"",(01_Parametres!$B$4*D1674+01_Parametres!$B$5*E1674+01_Parametres!$B$6*F1674)/01_Parametres!$B$8)))</x:f>
      </x:c>
      <x:c r="H1674">
        <x:f>IFERROR(VLOOKUP(C1674,02_Referentiels!$A$20:$D$99,3,FALSE),"")</x:f>
      </x:c>
      <x:c r="I1674">
        <x:f>IFERROR(VLOOKUP(B1674,02_Referentiels!$A$5:$C$16,2,FALSE),"")</x:f>
      </x:c>
      <x:c r="J1674">
        <x:f>IF(A1674="","",IF(OR(D1674="",E1674="",F1674=""),1,IF(OR(D1674&lt;0,D1674&gt;3,E1674&lt;0,E1674&gt;3,F1674&lt;0,F1674&gt;3),1,0)))</x:f>
      </x:c>
      <x:c r="K1674">
        <x:f>IF(A1674="","",IF(G1674="",1,0))</x:f>
      </x:c>
      <x:c r="L1674">
        <x:f>IF(A1674="","",IF(COUNTIFS($A$5:$A$2004,A1674,$C$5:$C$2004,C1674)&gt;1,1,0))</x:f>
      </x:c>
    </x:row>
    <x:row r="1675">
      <x:c r="A1675" s="8" t="n"/>
      <x:c r="B1675" s="8" t="n"/>
      <x:c r="C1675" s="8" t="n"/>
      <x:c r="D1675" s="8" t="n"/>
      <x:c r="E1675" s="8" t="n"/>
      <x:c r="F1675" s="8" t="n"/>
      <x:c r="G1675" s="7">
        <x:f>IF(A1675="","",IF(01_Parametres!$B$11="Oui",IF((01_Parametres!$B$4*(D1675&gt;0)+01_Parametres!$B$5*(E1675&gt;0)+01_Parametres!$B$6*(F1675&gt;0))=0,"",(01_Parametres!$B$4*IF(D1675&gt;0,D1675,0)+01_Parametres!$B$5*IF(E1675&gt;0,E1675,0)+01_Parametres!$B$6*IF(F1675&gt;0,F1675,0))/(01_Parametres!$B$4*(D1675&gt;0)+01_Parametres!$B$5*(E1675&gt;0)+01_Parametres!$B$6*(F1675&gt;0))),IF(01_Parametres!$B$8=0,"",(01_Parametres!$B$4*D1675+01_Parametres!$B$5*E1675+01_Parametres!$B$6*F1675)/01_Parametres!$B$8)))</x:f>
      </x:c>
      <x:c r="H1675">
        <x:f>IFERROR(VLOOKUP(C1675,02_Referentiels!$A$20:$D$99,3,FALSE),"")</x:f>
      </x:c>
      <x:c r="I1675">
        <x:f>IFERROR(VLOOKUP(B1675,02_Referentiels!$A$5:$C$16,2,FALSE),"")</x:f>
      </x:c>
      <x:c r="J1675">
        <x:f>IF(A1675="","",IF(OR(D1675="",E1675="",F1675=""),1,IF(OR(D1675&lt;0,D1675&gt;3,E1675&lt;0,E1675&gt;3,F1675&lt;0,F1675&gt;3),1,0)))</x:f>
      </x:c>
      <x:c r="K1675">
        <x:f>IF(A1675="","",IF(G1675="",1,0))</x:f>
      </x:c>
      <x:c r="L1675">
        <x:f>IF(A1675="","",IF(COUNTIFS($A$5:$A$2004,A1675,$C$5:$C$2004,C1675)&gt;1,1,0))</x:f>
      </x:c>
    </x:row>
    <x:row r="1676">
      <x:c r="A1676" s="8" t="n"/>
      <x:c r="B1676" s="8" t="n"/>
      <x:c r="C1676" s="8" t="n"/>
      <x:c r="D1676" s="8" t="n"/>
      <x:c r="E1676" s="8" t="n"/>
      <x:c r="F1676" s="8" t="n"/>
      <x:c r="G1676" s="7">
        <x:f>IF(A1676="","",IF(01_Parametres!$B$11="Oui",IF((01_Parametres!$B$4*(D1676&gt;0)+01_Parametres!$B$5*(E1676&gt;0)+01_Parametres!$B$6*(F1676&gt;0))=0,"",(01_Parametres!$B$4*IF(D1676&gt;0,D1676,0)+01_Parametres!$B$5*IF(E1676&gt;0,E1676,0)+01_Parametres!$B$6*IF(F1676&gt;0,F1676,0))/(01_Parametres!$B$4*(D1676&gt;0)+01_Parametres!$B$5*(E1676&gt;0)+01_Parametres!$B$6*(F1676&gt;0))),IF(01_Parametres!$B$8=0,"",(01_Parametres!$B$4*D1676+01_Parametres!$B$5*E1676+01_Parametres!$B$6*F1676)/01_Parametres!$B$8)))</x:f>
      </x:c>
      <x:c r="H1676">
        <x:f>IFERROR(VLOOKUP(C1676,02_Referentiels!$A$20:$D$99,3,FALSE),"")</x:f>
      </x:c>
      <x:c r="I1676">
        <x:f>IFERROR(VLOOKUP(B1676,02_Referentiels!$A$5:$C$16,2,FALSE),"")</x:f>
      </x:c>
      <x:c r="J1676">
        <x:f>IF(A1676="","",IF(OR(D1676="",E1676="",F1676=""),1,IF(OR(D1676&lt;0,D1676&gt;3,E1676&lt;0,E1676&gt;3,F1676&lt;0,F1676&gt;3),1,0)))</x:f>
      </x:c>
      <x:c r="K1676">
        <x:f>IF(A1676="","",IF(G1676="",1,0))</x:f>
      </x:c>
      <x:c r="L1676">
        <x:f>IF(A1676="","",IF(COUNTIFS($A$5:$A$2004,A1676,$C$5:$C$2004,C1676)&gt;1,1,0))</x:f>
      </x:c>
    </x:row>
    <x:row r="1677">
      <x:c r="A1677" s="8" t="n"/>
      <x:c r="B1677" s="8" t="n"/>
      <x:c r="C1677" s="8" t="n"/>
      <x:c r="D1677" s="8" t="n"/>
      <x:c r="E1677" s="8" t="n"/>
      <x:c r="F1677" s="8" t="n"/>
      <x:c r="G1677" s="7">
        <x:f>IF(A1677="","",IF(01_Parametres!$B$11="Oui",IF((01_Parametres!$B$4*(D1677&gt;0)+01_Parametres!$B$5*(E1677&gt;0)+01_Parametres!$B$6*(F1677&gt;0))=0,"",(01_Parametres!$B$4*IF(D1677&gt;0,D1677,0)+01_Parametres!$B$5*IF(E1677&gt;0,E1677,0)+01_Parametres!$B$6*IF(F1677&gt;0,F1677,0))/(01_Parametres!$B$4*(D1677&gt;0)+01_Parametres!$B$5*(E1677&gt;0)+01_Parametres!$B$6*(F1677&gt;0))),IF(01_Parametres!$B$8=0,"",(01_Parametres!$B$4*D1677+01_Parametres!$B$5*E1677+01_Parametres!$B$6*F1677)/01_Parametres!$B$8)))</x:f>
      </x:c>
      <x:c r="H1677">
        <x:f>IFERROR(VLOOKUP(C1677,02_Referentiels!$A$20:$D$99,3,FALSE),"")</x:f>
      </x:c>
      <x:c r="I1677">
        <x:f>IFERROR(VLOOKUP(B1677,02_Referentiels!$A$5:$C$16,2,FALSE),"")</x:f>
      </x:c>
      <x:c r="J1677">
        <x:f>IF(A1677="","",IF(OR(D1677="",E1677="",F1677=""),1,IF(OR(D1677&lt;0,D1677&gt;3,E1677&lt;0,E1677&gt;3,F1677&lt;0,F1677&gt;3),1,0)))</x:f>
      </x:c>
      <x:c r="K1677">
        <x:f>IF(A1677="","",IF(G1677="",1,0))</x:f>
      </x:c>
      <x:c r="L1677">
        <x:f>IF(A1677="","",IF(COUNTIFS($A$5:$A$2004,A1677,$C$5:$C$2004,C1677)&gt;1,1,0))</x:f>
      </x:c>
    </x:row>
    <x:row r="1678">
      <x:c r="A1678" s="8" t="n"/>
      <x:c r="B1678" s="8" t="n"/>
      <x:c r="C1678" s="8" t="n"/>
      <x:c r="D1678" s="8" t="n"/>
      <x:c r="E1678" s="8" t="n"/>
      <x:c r="F1678" s="8" t="n"/>
      <x:c r="G1678" s="7">
        <x:f>IF(A1678="","",IF(01_Parametres!$B$11="Oui",IF((01_Parametres!$B$4*(D1678&gt;0)+01_Parametres!$B$5*(E1678&gt;0)+01_Parametres!$B$6*(F1678&gt;0))=0,"",(01_Parametres!$B$4*IF(D1678&gt;0,D1678,0)+01_Parametres!$B$5*IF(E1678&gt;0,E1678,0)+01_Parametres!$B$6*IF(F1678&gt;0,F1678,0))/(01_Parametres!$B$4*(D1678&gt;0)+01_Parametres!$B$5*(E1678&gt;0)+01_Parametres!$B$6*(F1678&gt;0))),IF(01_Parametres!$B$8=0,"",(01_Parametres!$B$4*D1678+01_Parametres!$B$5*E1678+01_Parametres!$B$6*F1678)/01_Parametres!$B$8)))</x:f>
      </x:c>
      <x:c r="H1678">
        <x:f>IFERROR(VLOOKUP(C1678,02_Referentiels!$A$20:$D$99,3,FALSE),"")</x:f>
      </x:c>
      <x:c r="I1678">
        <x:f>IFERROR(VLOOKUP(B1678,02_Referentiels!$A$5:$C$16,2,FALSE),"")</x:f>
      </x:c>
      <x:c r="J1678">
        <x:f>IF(A1678="","",IF(OR(D1678="",E1678="",F1678=""),1,IF(OR(D1678&lt;0,D1678&gt;3,E1678&lt;0,E1678&gt;3,F1678&lt;0,F1678&gt;3),1,0)))</x:f>
      </x:c>
      <x:c r="K1678">
        <x:f>IF(A1678="","",IF(G1678="",1,0))</x:f>
      </x:c>
      <x:c r="L1678">
        <x:f>IF(A1678="","",IF(COUNTIFS($A$5:$A$2004,A1678,$C$5:$C$2004,C1678)&gt;1,1,0))</x:f>
      </x:c>
    </x:row>
    <x:row r="1679">
      <x:c r="A1679" s="8" t="n"/>
      <x:c r="B1679" s="8" t="n"/>
      <x:c r="C1679" s="8" t="n"/>
      <x:c r="D1679" s="8" t="n"/>
      <x:c r="E1679" s="8" t="n"/>
      <x:c r="F1679" s="8" t="n"/>
      <x:c r="G1679" s="7">
        <x:f>IF(A1679="","",IF(01_Parametres!$B$11="Oui",IF((01_Parametres!$B$4*(D1679&gt;0)+01_Parametres!$B$5*(E1679&gt;0)+01_Parametres!$B$6*(F1679&gt;0))=0,"",(01_Parametres!$B$4*IF(D1679&gt;0,D1679,0)+01_Parametres!$B$5*IF(E1679&gt;0,E1679,0)+01_Parametres!$B$6*IF(F1679&gt;0,F1679,0))/(01_Parametres!$B$4*(D1679&gt;0)+01_Parametres!$B$5*(E1679&gt;0)+01_Parametres!$B$6*(F1679&gt;0))),IF(01_Parametres!$B$8=0,"",(01_Parametres!$B$4*D1679+01_Parametres!$B$5*E1679+01_Parametres!$B$6*F1679)/01_Parametres!$B$8)))</x:f>
      </x:c>
      <x:c r="H1679">
        <x:f>IFERROR(VLOOKUP(C1679,02_Referentiels!$A$20:$D$99,3,FALSE),"")</x:f>
      </x:c>
      <x:c r="I1679">
        <x:f>IFERROR(VLOOKUP(B1679,02_Referentiels!$A$5:$C$16,2,FALSE),"")</x:f>
      </x:c>
      <x:c r="J1679">
        <x:f>IF(A1679="","",IF(OR(D1679="",E1679="",F1679=""),1,IF(OR(D1679&lt;0,D1679&gt;3,E1679&lt;0,E1679&gt;3,F1679&lt;0,F1679&gt;3),1,0)))</x:f>
      </x:c>
      <x:c r="K1679">
        <x:f>IF(A1679="","",IF(G1679="",1,0))</x:f>
      </x:c>
      <x:c r="L1679">
        <x:f>IF(A1679="","",IF(COUNTIFS($A$5:$A$2004,A1679,$C$5:$C$2004,C1679)&gt;1,1,0))</x:f>
      </x:c>
    </x:row>
    <x:row r="1680">
      <x:c r="A1680" s="8" t="n"/>
      <x:c r="B1680" s="8" t="n"/>
      <x:c r="C1680" s="8" t="n"/>
      <x:c r="D1680" s="8" t="n"/>
      <x:c r="E1680" s="8" t="n"/>
      <x:c r="F1680" s="8" t="n"/>
      <x:c r="G1680" s="7">
        <x:f>IF(A1680="","",IF(01_Parametres!$B$11="Oui",IF((01_Parametres!$B$4*(D1680&gt;0)+01_Parametres!$B$5*(E1680&gt;0)+01_Parametres!$B$6*(F1680&gt;0))=0,"",(01_Parametres!$B$4*IF(D1680&gt;0,D1680,0)+01_Parametres!$B$5*IF(E1680&gt;0,E1680,0)+01_Parametres!$B$6*IF(F1680&gt;0,F1680,0))/(01_Parametres!$B$4*(D1680&gt;0)+01_Parametres!$B$5*(E1680&gt;0)+01_Parametres!$B$6*(F1680&gt;0))),IF(01_Parametres!$B$8=0,"",(01_Parametres!$B$4*D1680+01_Parametres!$B$5*E1680+01_Parametres!$B$6*F1680)/01_Parametres!$B$8)))</x:f>
      </x:c>
      <x:c r="H1680">
        <x:f>IFERROR(VLOOKUP(C1680,02_Referentiels!$A$20:$D$99,3,FALSE),"")</x:f>
      </x:c>
      <x:c r="I1680">
        <x:f>IFERROR(VLOOKUP(B1680,02_Referentiels!$A$5:$C$16,2,FALSE),"")</x:f>
      </x:c>
      <x:c r="J1680">
        <x:f>IF(A1680="","",IF(OR(D1680="",E1680="",F1680=""),1,IF(OR(D1680&lt;0,D1680&gt;3,E1680&lt;0,E1680&gt;3,F1680&lt;0,F1680&gt;3),1,0)))</x:f>
      </x:c>
      <x:c r="K1680">
        <x:f>IF(A1680="","",IF(G1680="",1,0))</x:f>
      </x:c>
      <x:c r="L1680">
        <x:f>IF(A1680="","",IF(COUNTIFS($A$5:$A$2004,A1680,$C$5:$C$2004,C1680)&gt;1,1,0))</x:f>
      </x:c>
    </x:row>
    <x:row r="1681">
      <x:c r="A1681" s="8" t="n"/>
      <x:c r="B1681" s="8" t="n"/>
      <x:c r="C1681" s="8" t="n"/>
      <x:c r="D1681" s="8" t="n"/>
      <x:c r="E1681" s="8" t="n"/>
      <x:c r="F1681" s="8" t="n"/>
      <x:c r="G1681" s="7">
        <x:f>IF(A1681="","",IF(01_Parametres!$B$11="Oui",IF((01_Parametres!$B$4*(D1681&gt;0)+01_Parametres!$B$5*(E1681&gt;0)+01_Parametres!$B$6*(F1681&gt;0))=0,"",(01_Parametres!$B$4*IF(D1681&gt;0,D1681,0)+01_Parametres!$B$5*IF(E1681&gt;0,E1681,0)+01_Parametres!$B$6*IF(F1681&gt;0,F1681,0))/(01_Parametres!$B$4*(D1681&gt;0)+01_Parametres!$B$5*(E1681&gt;0)+01_Parametres!$B$6*(F1681&gt;0))),IF(01_Parametres!$B$8=0,"",(01_Parametres!$B$4*D1681+01_Parametres!$B$5*E1681+01_Parametres!$B$6*F1681)/01_Parametres!$B$8)))</x:f>
      </x:c>
      <x:c r="H1681">
        <x:f>IFERROR(VLOOKUP(C1681,02_Referentiels!$A$20:$D$99,3,FALSE),"")</x:f>
      </x:c>
      <x:c r="I1681">
        <x:f>IFERROR(VLOOKUP(B1681,02_Referentiels!$A$5:$C$16,2,FALSE),"")</x:f>
      </x:c>
      <x:c r="J1681">
        <x:f>IF(A1681="","",IF(OR(D1681="",E1681="",F1681=""),1,IF(OR(D1681&lt;0,D1681&gt;3,E1681&lt;0,E1681&gt;3,F1681&lt;0,F1681&gt;3),1,0)))</x:f>
      </x:c>
      <x:c r="K1681">
        <x:f>IF(A1681="","",IF(G1681="",1,0))</x:f>
      </x:c>
      <x:c r="L1681">
        <x:f>IF(A1681="","",IF(COUNTIFS($A$5:$A$2004,A1681,$C$5:$C$2004,C1681)&gt;1,1,0))</x:f>
      </x:c>
    </x:row>
    <x:row r="1682">
      <x:c r="A1682" s="8" t="n"/>
      <x:c r="B1682" s="8" t="n"/>
      <x:c r="C1682" s="8" t="n"/>
      <x:c r="D1682" s="8" t="n"/>
      <x:c r="E1682" s="8" t="n"/>
      <x:c r="F1682" s="8" t="n"/>
      <x:c r="G1682" s="7">
        <x:f>IF(A1682="","",IF(01_Parametres!$B$11="Oui",IF((01_Parametres!$B$4*(D1682&gt;0)+01_Parametres!$B$5*(E1682&gt;0)+01_Parametres!$B$6*(F1682&gt;0))=0,"",(01_Parametres!$B$4*IF(D1682&gt;0,D1682,0)+01_Parametres!$B$5*IF(E1682&gt;0,E1682,0)+01_Parametres!$B$6*IF(F1682&gt;0,F1682,0))/(01_Parametres!$B$4*(D1682&gt;0)+01_Parametres!$B$5*(E1682&gt;0)+01_Parametres!$B$6*(F1682&gt;0))),IF(01_Parametres!$B$8=0,"",(01_Parametres!$B$4*D1682+01_Parametres!$B$5*E1682+01_Parametres!$B$6*F1682)/01_Parametres!$B$8)))</x:f>
      </x:c>
      <x:c r="H1682">
        <x:f>IFERROR(VLOOKUP(C1682,02_Referentiels!$A$20:$D$99,3,FALSE),"")</x:f>
      </x:c>
      <x:c r="I1682">
        <x:f>IFERROR(VLOOKUP(B1682,02_Referentiels!$A$5:$C$16,2,FALSE),"")</x:f>
      </x:c>
      <x:c r="J1682">
        <x:f>IF(A1682="","",IF(OR(D1682="",E1682="",F1682=""),1,IF(OR(D1682&lt;0,D1682&gt;3,E1682&lt;0,E1682&gt;3,F1682&lt;0,F1682&gt;3),1,0)))</x:f>
      </x:c>
      <x:c r="K1682">
        <x:f>IF(A1682="","",IF(G1682="",1,0))</x:f>
      </x:c>
      <x:c r="L1682">
        <x:f>IF(A1682="","",IF(COUNTIFS($A$5:$A$2004,A1682,$C$5:$C$2004,C1682)&gt;1,1,0))</x:f>
      </x:c>
    </x:row>
    <x:row r="1683">
      <x:c r="A1683" s="8" t="n"/>
      <x:c r="B1683" s="8" t="n"/>
      <x:c r="C1683" s="8" t="n"/>
      <x:c r="D1683" s="8" t="n"/>
      <x:c r="E1683" s="8" t="n"/>
      <x:c r="F1683" s="8" t="n"/>
      <x:c r="G1683" s="7">
        <x:f>IF(A1683="","",IF(01_Parametres!$B$11="Oui",IF((01_Parametres!$B$4*(D1683&gt;0)+01_Parametres!$B$5*(E1683&gt;0)+01_Parametres!$B$6*(F1683&gt;0))=0,"",(01_Parametres!$B$4*IF(D1683&gt;0,D1683,0)+01_Parametres!$B$5*IF(E1683&gt;0,E1683,0)+01_Parametres!$B$6*IF(F1683&gt;0,F1683,0))/(01_Parametres!$B$4*(D1683&gt;0)+01_Parametres!$B$5*(E1683&gt;0)+01_Parametres!$B$6*(F1683&gt;0))),IF(01_Parametres!$B$8=0,"",(01_Parametres!$B$4*D1683+01_Parametres!$B$5*E1683+01_Parametres!$B$6*F1683)/01_Parametres!$B$8)))</x:f>
      </x:c>
      <x:c r="H1683">
        <x:f>IFERROR(VLOOKUP(C1683,02_Referentiels!$A$20:$D$99,3,FALSE),"")</x:f>
      </x:c>
      <x:c r="I1683">
        <x:f>IFERROR(VLOOKUP(B1683,02_Referentiels!$A$5:$C$16,2,FALSE),"")</x:f>
      </x:c>
      <x:c r="J1683">
        <x:f>IF(A1683="","",IF(OR(D1683="",E1683="",F1683=""),1,IF(OR(D1683&lt;0,D1683&gt;3,E1683&lt;0,E1683&gt;3,F1683&lt;0,F1683&gt;3),1,0)))</x:f>
      </x:c>
      <x:c r="K1683">
        <x:f>IF(A1683="","",IF(G1683="",1,0))</x:f>
      </x:c>
      <x:c r="L1683">
        <x:f>IF(A1683="","",IF(COUNTIFS($A$5:$A$2004,A1683,$C$5:$C$2004,C1683)&gt;1,1,0))</x:f>
      </x:c>
    </x:row>
    <x:row r="1684">
      <x:c r="A1684" s="8" t="n"/>
      <x:c r="B1684" s="8" t="n"/>
      <x:c r="C1684" s="8" t="n"/>
      <x:c r="D1684" s="8" t="n"/>
      <x:c r="E1684" s="8" t="n"/>
      <x:c r="F1684" s="8" t="n"/>
      <x:c r="G1684" s="7">
        <x:f>IF(A1684="","",IF(01_Parametres!$B$11="Oui",IF((01_Parametres!$B$4*(D1684&gt;0)+01_Parametres!$B$5*(E1684&gt;0)+01_Parametres!$B$6*(F1684&gt;0))=0,"",(01_Parametres!$B$4*IF(D1684&gt;0,D1684,0)+01_Parametres!$B$5*IF(E1684&gt;0,E1684,0)+01_Parametres!$B$6*IF(F1684&gt;0,F1684,0))/(01_Parametres!$B$4*(D1684&gt;0)+01_Parametres!$B$5*(E1684&gt;0)+01_Parametres!$B$6*(F1684&gt;0))),IF(01_Parametres!$B$8=0,"",(01_Parametres!$B$4*D1684+01_Parametres!$B$5*E1684+01_Parametres!$B$6*F1684)/01_Parametres!$B$8)))</x:f>
      </x:c>
      <x:c r="H1684">
        <x:f>IFERROR(VLOOKUP(C1684,02_Referentiels!$A$20:$D$99,3,FALSE),"")</x:f>
      </x:c>
      <x:c r="I1684">
        <x:f>IFERROR(VLOOKUP(B1684,02_Referentiels!$A$5:$C$16,2,FALSE),"")</x:f>
      </x:c>
      <x:c r="J1684">
        <x:f>IF(A1684="","",IF(OR(D1684="",E1684="",F1684=""),1,IF(OR(D1684&lt;0,D1684&gt;3,E1684&lt;0,E1684&gt;3,F1684&lt;0,F1684&gt;3),1,0)))</x:f>
      </x:c>
      <x:c r="K1684">
        <x:f>IF(A1684="","",IF(G1684="",1,0))</x:f>
      </x:c>
      <x:c r="L1684">
        <x:f>IF(A1684="","",IF(COUNTIFS($A$5:$A$2004,A1684,$C$5:$C$2004,C1684)&gt;1,1,0))</x:f>
      </x:c>
    </x:row>
    <x:row r="1685">
      <x:c r="A1685" s="8" t="n"/>
      <x:c r="B1685" s="8" t="n"/>
      <x:c r="C1685" s="8" t="n"/>
      <x:c r="D1685" s="8" t="n"/>
      <x:c r="E1685" s="8" t="n"/>
      <x:c r="F1685" s="8" t="n"/>
      <x:c r="G1685" s="7">
        <x:f>IF(A1685="","",IF(01_Parametres!$B$11="Oui",IF((01_Parametres!$B$4*(D1685&gt;0)+01_Parametres!$B$5*(E1685&gt;0)+01_Parametres!$B$6*(F1685&gt;0))=0,"",(01_Parametres!$B$4*IF(D1685&gt;0,D1685,0)+01_Parametres!$B$5*IF(E1685&gt;0,E1685,0)+01_Parametres!$B$6*IF(F1685&gt;0,F1685,0))/(01_Parametres!$B$4*(D1685&gt;0)+01_Parametres!$B$5*(E1685&gt;0)+01_Parametres!$B$6*(F1685&gt;0))),IF(01_Parametres!$B$8=0,"",(01_Parametres!$B$4*D1685+01_Parametres!$B$5*E1685+01_Parametres!$B$6*F1685)/01_Parametres!$B$8)))</x:f>
      </x:c>
      <x:c r="H1685">
        <x:f>IFERROR(VLOOKUP(C1685,02_Referentiels!$A$20:$D$99,3,FALSE),"")</x:f>
      </x:c>
      <x:c r="I1685">
        <x:f>IFERROR(VLOOKUP(B1685,02_Referentiels!$A$5:$C$16,2,FALSE),"")</x:f>
      </x:c>
      <x:c r="J1685">
        <x:f>IF(A1685="","",IF(OR(D1685="",E1685="",F1685=""),1,IF(OR(D1685&lt;0,D1685&gt;3,E1685&lt;0,E1685&gt;3,F1685&lt;0,F1685&gt;3),1,0)))</x:f>
      </x:c>
      <x:c r="K1685">
        <x:f>IF(A1685="","",IF(G1685="",1,0))</x:f>
      </x:c>
      <x:c r="L1685">
        <x:f>IF(A1685="","",IF(COUNTIFS($A$5:$A$2004,A1685,$C$5:$C$2004,C1685)&gt;1,1,0))</x:f>
      </x:c>
    </x:row>
    <x:row r="1686">
      <x:c r="A1686" s="8" t="n"/>
      <x:c r="B1686" s="8" t="n"/>
      <x:c r="C1686" s="8" t="n"/>
      <x:c r="D1686" s="8" t="n"/>
      <x:c r="E1686" s="8" t="n"/>
      <x:c r="F1686" s="8" t="n"/>
      <x:c r="G1686" s="7">
        <x:f>IF(A1686="","",IF(01_Parametres!$B$11="Oui",IF((01_Parametres!$B$4*(D1686&gt;0)+01_Parametres!$B$5*(E1686&gt;0)+01_Parametres!$B$6*(F1686&gt;0))=0,"",(01_Parametres!$B$4*IF(D1686&gt;0,D1686,0)+01_Parametres!$B$5*IF(E1686&gt;0,E1686,0)+01_Parametres!$B$6*IF(F1686&gt;0,F1686,0))/(01_Parametres!$B$4*(D1686&gt;0)+01_Parametres!$B$5*(E1686&gt;0)+01_Parametres!$B$6*(F1686&gt;0))),IF(01_Parametres!$B$8=0,"",(01_Parametres!$B$4*D1686+01_Parametres!$B$5*E1686+01_Parametres!$B$6*F1686)/01_Parametres!$B$8)))</x:f>
      </x:c>
      <x:c r="H1686">
        <x:f>IFERROR(VLOOKUP(C1686,02_Referentiels!$A$20:$D$99,3,FALSE),"")</x:f>
      </x:c>
      <x:c r="I1686">
        <x:f>IFERROR(VLOOKUP(B1686,02_Referentiels!$A$5:$C$16,2,FALSE),"")</x:f>
      </x:c>
      <x:c r="J1686">
        <x:f>IF(A1686="","",IF(OR(D1686="",E1686="",F1686=""),1,IF(OR(D1686&lt;0,D1686&gt;3,E1686&lt;0,E1686&gt;3,F1686&lt;0,F1686&gt;3),1,0)))</x:f>
      </x:c>
      <x:c r="K1686">
        <x:f>IF(A1686="","",IF(G1686="",1,0))</x:f>
      </x:c>
      <x:c r="L1686">
        <x:f>IF(A1686="","",IF(COUNTIFS($A$5:$A$2004,A1686,$C$5:$C$2004,C1686)&gt;1,1,0))</x:f>
      </x:c>
    </x:row>
    <x:row r="1687">
      <x:c r="A1687" s="8" t="n"/>
      <x:c r="B1687" s="8" t="n"/>
      <x:c r="C1687" s="8" t="n"/>
      <x:c r="D1687" s="8" t="n"/>
      <x:c r="E1687" s="8" t="n"/>
      <x:c r="F1687" s="8" t="n"/>
      <x:c r="G1687" s="7">
        <x:f>IF(A1687="","",IF(01_Parametres!$B$11="Oui",IF((01_Parametres!$B$4*(D1687&gt;0)+01_Parametres!$B$5*(E1687&gt;0)+01_Parametres!$B$6*(F1687&gt;0))=0,"",(01_Parametres!$B$4*IF(D1687&gt;0,D1687,0)+01_Parametres!$B$5*IF(E1687&gt;0,E1687,0)+01_Parametres!$B$6*IF(F1687&gt;0,F1687,0))/(01_Parametres!$B$4*(D1687&gt;0)+01_Parametres!$B$5*(E1687&gt;0)+01_Parametres!$B$6*(F1687&gt;0))),IF(01_Parametres!$B$8=0,"",(01_Parametres!$B$4*D1687+01_Parametres!$B$5*E1687+01_Parametres!$B$6*F1687)/01_Parametres!$B$8)))</x:f>
      </x:c>
      <x:c r="H1687">
        <x:f>IFERROR(VLOOKUP(C1687,02_Referentiels!$A$20:$D$99,3,FALSE),"")</x:f>
      </x:c>
      <x:c r="I1687">
        <x:f>IFERROR(VLOOKUP(B1687,02_Referentiels!$A$5:$C$16,2,FALSE),"")</x:f>
      </x:c>
      <x:c r="J1687">
        <x:f>IF(A1687="","",IF(OR(D1687="",E1687="",F1687=""),1,IF(OR(D1687&lt;0,D1687&gt;3,E1687&lt;0,E1687&gt;3,F1687&lt;0,F1687&gt;3),1,0)))</x:f>
      </x:c>
      <x:c r="K1687">
        <x:f>IF(A1687="","",IF(G1687="",1,0))</x:f>
      </x:c>
      <x:c r="L1687">
        <x:f>IF(A1687="","",IF(COUNTIFS($A$5:$A$2004,A1687,$C$5:$C$2004,C1687)&gt;1,1,0))</x:f>
      </x:c>
    </x:row>
    <x:row r="1688">
      <x:c r="A1688" s="8" t="n"/>
      <x:c r="B1688" s="8" t="n"/>
      <x:c r="C1688" s="8" t="n"/>
      <x:c r="D1688" s="8" t="n"/>
      <x:c r="E1688" s="8" t="n"/>
      <x:c r="F1688" s="8" t="n"/>
      <x:c r="G1688" s="7">
        <x:f>IF(A1688="","",IF(01_Parametres!$B$11="Oui",IF((01_Parametres!$B$4*(D1688&gt;0)+01_Parametres!$B$5*(E1688&gt;0)+01_Parametres!$B$6*(F1688&gt;0))=0,"",(01_Parametres!$B$4*IF(D1688&gt;0,D1688,0)+01_Parametres!$B$5*IF(E1688&gt;0,E1688,0)+01_Parametres!$B$6*IF(F1688&gt;0,F1688,0))/(01_Parametres!$B$4*(D1688&gt;0)+01_Parametres!$B$5*(E1688&gt;0)+01_Parametres!$B$6*(F1688&gt;0))),IF(01_Parametres!$B$8=0,"",(01_Parametres!$B$4*D1688+01_Parametres!$B$5*E1688+01_Parametres!$B$6*F1688)/01_Parametres!$B$8)))</x:f>
      </x:c>
      <x:c r="H1688">
        <x:f>IFERROR(VLOOKUP(C1688,02_Referentiels!$A$20:$D$99,3,FALSE),"")</x:f>
      </x:c>
      <x:c r="I1688">
        <x:f>IFERROR(VLOOKUP(B1688,02_Referentiels!$A$5:$C$16,2,FALSE),"")</x:f>
      </x:c>
      <x:c r="J1688">
        <x:f>IF(A1688="","",IF(OR(D1688="",E1688="",F1688=""),1,IF(OR(D1688&lt;0,D1688&gt;3,E1688&lt;0,E1688&gt;3,F1688&lt;0,F1688&gt;3),1,0)))</x:f>
      </x:c>
      <x:c r="K1688">
        <x:f>IF(A1688="","",IF(G1688="",1,0))</x:f>
      </x:c>
      <x:c r="L1688">
        <x:f>IF(A1688="","",IF(COUNTIFS($A$5:$A$2004,A1688,$C$5:$C$2004,C1688)&gt;1,1,0))</x:f>
      </x:c>
    </x:row>
    <x:row r="1689">
      <x:c r="A1689" s="8" t="n"/>
      <x:c r="B1689" s="8" t="n"/>
      <x:c r="C1689" s="8" t="n"/>
      <x:c r="D1689" s="8" t="n"/>
      <x:c r="E1689" s="8" t="n"/>
      <x:c r="F1689" s="8" t="n"/>
      <x:c r="G1689" s="7">
        <x:f>IF(A1689="","",IF(01_Parametres!$B$11="Oui",IF((01_Parametres!$B$4*(D1689&gt;0)+01_Parametres!$B$5*(E1689&gt;0)+01_Parametres!$B$6*(F1689&gt;0))=0,"",(01_Parametres!$B$4*IF(D1689&gt;0,D1689,0)+01_Parametres!$B$5*IF(E1689&gt;0,E1689,0)+01_Parametres!$B$6*IF(F1689&gt;0,F1689,0))/(01_Parametres!$B$4*(D1689&gt;0)+01_Parametres!$B$5*(E1689&gt;0)+01_Parametres!$B$6*(F1689&gt;0))),IF(01_Parametres!$B$8=0,"",(01_Parametres!$B$4*D1689+01_Parametres!$B$5*E1689+01_Parametres!$B$6*F1689)/01_Parametres!$B$8)))</x:f>
      </x:c>
      <x:c r="H1689">
        <x:f>IFERROR(VLOOKUP(C1689,02_Referentiels!$A$20:$D$99,3,FALSE),"")</x:f>
      </x:c>
      <x:c r="I1689">
        <x:f>IFERROR(VLOOKUP(B1689,02_Referentiels!$A$5:$C$16,2,FALSE),"")</x:f>
      </x:c>
      <x:c r="J1689">
        <x:f>IF(A1689="","",IF(OR(D1689="",E1689="",F1689=""),1,IF(OR(D1689&lt;0,D1689&gt;3,E1689&lt;0,E1689&gt;3,F1689&lt;0,F1689&gt;3),1,0)))</x:f>
      </x:c>
      <x:c r="K1689">
        <x:f>IF(A1689="","",IF(G1689="",1,0))</x:f>
      </x:c>
      <x:c r="L1689">
        <x:f>IF(A1689="","",IF(COUNTIFS($A$5:$A$2004,A1689,$C$5:$C$2004,C1689)&gt;1,1,0))</x:f>
      </x:c>
    </x:row>
    <x:row r="1690">
      <x:c r="A1690" s="8" t="n"/>
      <x:c r="B1690" s="8" t="n"/>
      <x:c r="C1690" s="8" t="n"/>
      <x:c r="D1690" s="8" t="n"/>
      <x:c r="E1690" s="8" t="n"/>
      <x:c r="F1690" s="8" t="n"/>
      <x:c r="G1690" s="7">
        <x:f>IF(A1690="","",IF(01_Parametres!$B$11="Oui",IF((01_Parametres!$B$4*(D1690&gt;0)+01_Parametres!$B$5*(E1690&gt;0)+01_Parametres!$B$6*(F1690&gt;0))=0,"",(01_Parametres!$B$4*IF(D1690&gt;0,D1690,0)+01_Parametres!$B$5*IF(E1690&gt;0,E1690,0)+01_Parametres!$B$6*IF(F1690&gt;0,F1690,0))/(01_Parametres!$B$4*(D1690&gt;0)+01_Parametres!$B$5*(E1690&gt;0)+01_Parametres!$B$6*(F1690&gt;0))),IF(01_Parametres!$B$8=0,"",(01_Parametres!$B$4*D1690+01_Parametres!$B$5*E1690+01_Parametres!$B$6*F1690)/01_Parametres!$B$8)))</x:f>
      </x:c>
      <x:c r="H1690">
        <x:f>IFERROR(VLOOKUP(C1690,02_Referentiels!$A$20:$D$99,3,FALSE),"")</x:f>
      </x:c>
      <x:c r="I1690">
        <x:f>IFERROR(VLOOKUP(B1690,02_Referentiels!$A$5:$C$16,2,FALSE),"")</x:f>
      </x:c>
      <x:c r="J1690">
        <x:f>IF(A1690="","",IF(OR(D1690="",E1690="",F1690=""),1,IF(OR(D1690&lt;0,D1690&gt;3,E1690&lt;0,E1690&gt;3,F1690&lt;0,F1690&gt;3),1,0)))</x:f>
      </x:c>
      <x:c r="K1690">
        <x:f>IF(A1690="","",IF(G1690="",1,0))</x:f>
      </x:c>
      <x:c r="L1690">
        <x:f>IF(A1690="","",IF(COUNTIFS($A$5:$A$2004,A1690,$C$5:$C$2004,C1690)&gt;1,1,0))</x:f>
      </x:c>
    </x:row>
    <x:row r="1691">
      <x:c r="A1691" s="8" t="n"/>
      <x:c r="B1691" s="8" t="n"/>
      <x:c r="C1691" s="8" t="n"/>
      <x:c r="D1691" s="8" t="n"/>
      <x:c r="E1691" s="8" t="n"/>
      <x:c r="F1691" s="8" t="n"/>
      <x:c r="G1691" s="7">
        <x:f>IF(A1691="","",IF(01_Parametres!$B$11="Oui",IF((01_Parametres!$B$4*(D1691&gt;0)+01_Parametres!$B$5*(E1691&gt;0)+01_Parametres!$B$6*(F1691&gt;0))=0,"",(01_Parametres!$B$4*IF(D1691&gt;0,D1691,0)+01_Parametres!$B$5*IF(E1691&gt;0,E1691,0)+01_Parametres!$B$6*IF(F1691&gt;0,F1691,0))/(01_Parametres!$B$4*(D1691&gt;0)+01_Parametres!$B$5*(E1691&gt;0)+01_Parametres!$B$6*(F1691&gt;0))),IF(01_Parametres!$B$8=0,"",(01_Parametres!$B$4*D1691+01_Parametres!$B$5*E1691+01_Parametres!$B$6*F1691)/01_Parametres!$B$8)))</x:f>
      </x:c>
      <x:c r="H1691">
        <x:f>IFERROR(VLOOKUP(C1691,02_Referentiels!$A$20:$D$99,3,FALSE),"")</x:f>
      </x:c>
      <x:c r="I1691">
        <x:f>IFERROR(VLOOKUP(B1691,02_Referentiels!$A$5:$C$16,2,FALSE),"")</x:f>
      </x:c>
      <x:c r="J1691">
        <x:f>IF(A1691="","",IF(OR(D1691="",E1691="",F1691=""),1,IF(OR(D1691&lt;0,D1691&gt;3,E1691&lt;0,E1691&gt;3,F1691&lt;0,F1691&gt;3),1,0)))</x:f>
      </x:c>
      <x:c r="K1691">
        <x:f>IF(A1691="","",IF(G1691="",1,0))</x:f>
      </x:c>
      <x:c r="L1691">
        <x:f>IF(A1691="","",IF(COUNTIFS($A$5:$A$2004,A1691,$C$5:$C$2004,C1691)&gt;1,1,0))</x:f>
      </x:c>
    </x:row>
    <x:row r="1692">
      <x:c r="A1692" s="8" t="n"/>
      <x:c r="B1692" s="8" t="n"/>
      <x:c r="C1692" s="8" t="n"/>
      <x:c r="D1692" s="8" t="n"/>
      <x:c r="E1692" s="8" t="n"/>
      <x:c r="F1692" s="8" t="n"/>
      <x:c r="G1692" s="7">
        <x:f>IF(A1692="","",IF(01_Parametres!$B$11="Oui",IF((01_Parametres!$B$4*(D1692&gt;0)+01_Parametres!$B$5*(E1692&gt;0)+01_Parametres!$B$6*(F1692&gt;0))=0,"",(01_Parametres!$B$4*IF(D1692&gt;0,D1692,0)+01_Parametres!$B$5*IF(E1692&gt;0,E1692,0)+01_Parametres!$B$6*IF(F1692&gt;0,F1692,0))/(01_Parametres!$B$4*(D1692&gt;0)+01_Parametres!$B$5*(E1692&gt;0)+01_Parametres!$B$6*(F1692&gt;0))),IF(01_Parametres!$B$8=0,"",(01_Parametres!$B$4*D1692+01_Parametres!$B$5*E1692+01_Parametres!$B$6*F1692)/01_Parametres!$B$8)))</x:f>
      </x:c>
      <x:c r="H1692">
        <x:f>IFERROR(VLOOKUP(C1692,02_Referentiels!$A$20:$D$99,3,FALSE),"")</x:f>
      </x:c>
      <x:c r="I1692">
        <x:f>IFERROR(VLOOKUP(B1692,02_Referentiels!$A$5:$C$16,2,FALSE),"")</x:f>
      </x:c>
      <x:c r="J1692">
        <x:f>IF(A1692="","",IF(OR(D1692="",E1692="",F1692=""),1,IF(OR(D1692&lt;0,D1692&gt;3,E1692&lt;0,E1692&gt;3,F1692&lt;0,F1692&gt;3),1,0)))</x:f>
      </x:c>
      <x:c r="K1692">
        <x:f>IF(A1692="","",IF(G1692="",1,0))</x:f>
      </x:c>
      <x:c r="L1692">
        <x:f>IF(A1692="","",IF(COUNTIFS($A$5:$A$2004,A1692,$C$5:$C$2004,C1692)&gt;1,1,0))</x:f>
      </x:c>
    </x:row>
    <x:row r="1693">
      <x:c r="A1693" s="8" t="n"/>
      <x:c r="B1693" s="8" t="n"/>
      <x:c r="C1693" s="8" t="n"/>
      <x:c r="D1693" s="8" t="n"/>
      <x:c r="E1693" s="8" t="n"/>
      <x:c r="F1693" s="8" t="n"/>
      <x:c r="G1693" s="7">
        <x:f>IF(A1693="","",IF(01_Parametres!$B$11="Oui",IF((01_Parametres!$B$4*(D1693&gt;0)+01_Parametres!$B$5*(E1693&gt;0)+01_Parametres!$B$6*(F1693&gt;0))=0,"",(01_Parametres!$B$4*IF(D1693&gt;0,D1693,0)+01_Parametres!$B$5*IF(E1693&gt;0,E1693,0)+01_Parametres!$B$6*IF(F1693&gt;0,F1693,0))/(01_Parametres!$B$4*(D1693&gt;0)+01_Parametres!$B$5*(E1693&gt;0)+01_Parametres!$B$6*(F1693&gt;0))),IF(01_Parametres!$B$8=0,"",(01_Parametres!$B$4*D1693+01_Parametres!$B$5*E1693+01_Parametres!$B$6*F1693)/01_Parametres!$B$8)))</x:f>
      </x:c>
      <x:c r="H1693">
        <x:f>IFERROR(VLOOKUP(C1693,02_Referentiels!$A$20:$D$99,3,FALSE),"")</x:f>
      </x:c>
      <x:c r="I1693">
        <x:f>IFERROR(VLOOKUP(B1693,02_Referentiels!$A$5:$C$16,2,FALSE),"")</x:f>
      </x:c>
      <x:c r="J1693">
        <x:f>IF(A1693="","",IF(OR(D1693="",E1693="",F1693=""),1,IF(OR(D1693&lt;0,D1693&gt;3,E1693&lt;0,E1693&gt;3,F1693&lt;0,F1693&gt;3),1,0)))</x:f>
      </x:c>
      <x:c r="K1693">
        <x:f>IF(A1693="","",IF(G1693="",1,0))</x:f>
      </x:c>
      <x:c r="L1693">
        <x:f>IF(A1693="","",IF(COUNTIFS($A$5:$A$2004,A1693,$C$5:$C$2004,C1693)&gt;1,1,0))</x:f>
      </x:c>
    </x:row>
    <x:row r="1694">
      <x:c r="A1694" s="8" t="n"/>
      <x:c r="B1694" s="8" t="n"/>
      <x:c r="C1694" s="8" t="n"/>
      <x:c r="D1694" s="8" t="n"/>
      <x:c r="E1694" s="8" t="n"/>
      <x:c r="F1694" s="8" t="n"/>
      <x:c r="G1694" s="7">
        <x:f>IF(A1694="","",IF(01_Parametres!$B$11="Oui",IF((01_Parametres!$B$4*(D1694&gt;0)+01_Parametres!$B$5*(E1694&gt;0)+01_Parametres!$B$6*(F1694&gt;0))=0,"",(01_Parametres!$B$4*IF(D1694&gt;0,D1694,0)+01_Parametres!$B$5*IF(E1694&gt;0,E1694,0)+01_Parametres!$B$6*IF(F1694&gt;0,F1694,0))/(01_Parametres!$B$4*(D1694&gt;0)+01_Parametres!$B$5*(E1694&gt;0)+01_Parametres!$B$6*(F1694&gt;0))),IF(01_Parametres!$B$8=0,"",(01_Parametres!$B$4*D1694+01_Parametres!$B$5*E1694+01_Parametres!$B$6*F1694)/01_Parametres!$B$8)))</x:f>
      </x:c>
      <x:c r="H1694">
        <x:f>IFERROR(VLOOKUP(C1694,02_Referentiels!$A$20:$D$99,3,FALSE),"")</x:f>
      </x:c>
      <x:c r="I1694">
        <x:f>IFERROR(VLOOKUP(B1694,02_Referentiels!$A$5:$C$16,2,FALSE),"")</x:f>
      </x:c>
      <x:c r="J1694">
        <x:f>IF(A1694="","",IF(OR(D1694="",E1694="",F1694=""),1,IF(OR(D1694&lt;0,D1694&gt;3,E1694&lt;0,E1694&gt;3,F1694&lt;0,F1694&gt;3),1,0)))</x:f>
      </x:c>
      <x:c r="K1694">
        <x:f>IF(A1694="","",IF(G1694="",1,0))</x:f>
      </x:c>
      <x:c r="L1694">
        <x:f>IF(A1694="","",IF(COUNTIFS($A$5:$A$2004,A1694,$C$5:$C$2004,C1694)&gt;1,1,0))</x:f>
      </x:c>
    </x:row>
    <x:row r="1695">
      <x:c r="A1695" s="8" t="n"/>
      <x:c r="B1695" s="8" t="n"/>
      <x:c r="C1695" s="8" t="n"/>
      <x:c r="D1695" s="8" t="n"/>
      <x:c r="E1695" s="8" t="n"/>
      <x:c r="F1695" s="8" t="n"/>
      <x:c r="G1695" s="7">
        <x:f>IF(A1695="","",IF(01_Parametres!$B$11="Oui",IF((01_Parametres!$B$4*(D1695&gt;0)+01_Parametres!$B$5*(E1695&gt;0)+01_Parametres!$B$6*(F1695&gt;0))=0,"",(01_Parametres!$B$4*IF(D1695&gt;0,D1695,0)+01_Parametres!$B$5*IF(E1695&gt;0,E1695,0)+01_Parametres!$B$6*IF(F1695&gt;0,F1695,0))/(01_Parametres!$B$4*(D1695&gt;0)+01_Parametres!$B$5*(E1695&gt;0)+01_Parametres!$B$6*(F1695&gt;0))),IF(01_Parametres!$B$8=0,"",(01_Parametres!$B$4*D1695+01_Parametres!$B$5*E1695+01_Parametres!$B$6*F1695)/01_Parametres!$B$8)))</x:f>
      </x:c>
      <x:c r="H1695">
        <x:f>IFERROR(VLOOKUP(C1695,02_Referentiels!$A$20:$D$99,3,FALSE),"")</x:f>
      </x:c>
      <x:c r="I1695">
        <x:f>IFERROR(VLOOKUP(B1695,02_Referentiels!$A$5:$C$16,2,FALSE),"")</x:f>
      </x:c>
      <x:c r="J1695">
        <x:f>IF(A1695="","",IF(OR(D1695="",E1695="",F1695=""),1,IF(OR(D1695&lt;0,D1695&gt;3,E1695&lt;0,E1695&gt;3,F1695&lt;0,F1695&gt;3),1,0)))</x:f>
      </x:c>
      <x:c r="K1695">
        <x:f>IF(A1695="","",IF(G1695="",1,0))</x:f>
      </x:c>
      <x:c r="L1695">
        <x:f>IF(A1695="","",IF(COUNTIFS($A$5:$A$2004,A1695,$C$5:$C$2004,C1695)&gt;1,1,0))</x:f>
      </x:c>
    </x:row>
    <x:row r="1696">
      <x:c r="A1696" s="8" t="n"/>
      <x:c r="B1696" s="8" t="n"/>
      <x:c r="C1696" s="8" t="n"/>
      <x:c r="D1696" s="8" t="n"/>
      <x:c r="E1696" s="8" t="n"/>
      <x:c r="F1696" s="8" t="n"/>
      <x:c r="G1696" s="7">
        <x:f>IF(A1696="","",IF(01_Parametres!$B$11="Oui",IF((01_Parametres!$B$4*(D1696&gt;0)+01_Parametres!$B$5*(E1696&gt;0)+01_Parametres!$B$6*(F1696&gt;0))=0,"",(01_Parametres!$B$4*IF(D1696&gt;0,D1696,0)+01_Parametres!$B$5*IF(E1696&gt;0,E1696,0)+01_Parametres!$B$6*IF(F1696&gt;0,F1696,0))/(01_Parametres!$B$4*(D1696&gt;0)+01_Parametres!$B$5*(E1696&gt;0)+01_Parametres!$B$6*(F1696&gt;0))),IF(01_Parametres!$B$8=0,"",(01_Parametres!$B$4*D1696+01_Parametres!$B$5*E1696+01_Parametres!$B$6*F1696)/01_Parametres!$B$8)))</x:f>
      </x:c>
      <x:c r="H1696">
        <x:f>IFERROR(VLOOKUP(C1696,02_Referentiels!$A$20:$D$99,3,FALSE),"")</x:f>
      </x:c>
      <x:c r="I1696">
        <x:f>IFERROR(VLOOKUP(B1696,02_Referentiels!$A$5:$C$16,2,FALSE),"")</x:f>
      </x:c>
      <x:c r="J1696">
        <x:f>IF(A1696="","",IF(OR(D1696="",E1696="",F1696=""),1,IF(OR(D1696&lt;0,D1696&gt;3,E1696&lt;0,E1696&gt;3,F1696&lt;0,F1696&gt;3),1,0)))</x:f>
      </x:c>
      <x:c r="K1696">
        <x:f>IF(A1696="","",IF(G1696="",1,0))</x:f>
      </x:c>
      <x:c r="L1696">
        <x:f>IF(A1696="","",IF(COUNTIFS($A$5:$A$2004,A1696,$C$5:$C$2004,C1696)&gt;1,1,0))</x:f>
      </x:c>
    </x:row>
    <x:row r="1697">
      <x:c r="A1697" s="8" t="n"/>
      <x:c r="B1697" s="8" t="n"/>
      <x:c r="C1697" s="8" t="n"/>
      <x:c r="D1697" s="8" t="n"/>
      <x:c r="E1697" s="8" t="n"/>
      <x:c r="F1697" s="8" t="n"/>
      <x:c r="G1697" s="7">
        <x:f>IF(A1697="","",IF(01_Parametres!$B$11="Oui",IF((01_Parametres!$B$4*(D1697&gt;0)+01_Parametres!$B$5*(E1697&gt;0)+01_Parametres!$B$6*(F1697&gt;0))=0,"",(01_Parametres!$B$4*IF(D1697&gt;0,D1697,0)+01_Parametres!$B$5*IF(E1697&gt;0,E1697,0)+01_Parametres!$B$6*IF(F1697&gt;0,F1697,0))/(01_Parametres!$B$4*(D1697&gt;0)+01_Parametres!$B$5*(E1697&gt;0)+01_Parametres!$B$6*(F1697&gt;0))),IF(01_Parametres!$B$8=0,"",(01_Parametres!$B$4*D1697+01_Parametres!$B$5*E1697+01_Parametres!$B$6*F1697)/01_Parametres!$B$8)))</x:f>
      </x:c>
      <x:c r="H1697">
        <x:f>IFERROR(VLOOKUP(C1697,02_Referentiels!$A$20:$D$99,3,FALSE),"")</x:f>
      </x:c>
      <x:c r="I1697">
        <x:f>IFERROR(VLOOKUP(B1697,02_Referentiels!$A$5:$C$16,2,FALSE),"")</x:f>
      </x:c>
      <x:c r="J1697">
        <x:f>IF(A1697="","",IF(OR(D1697="",E1697="",F1697=""),1,IF(OR(D1697&lt;0,D1697&gt;3,E1697&lt;0,E1697&gt;3,F1697&lt;0,F1697&gt;3),1,0)))</x:f>
      </x:c>
      <x:c r="K1697">
        <x:f>IF(A1697="","",IF(G1697="",1,0))</x:f>
      </x:c>
      <x:c r="L1697">
        <x:f>IF(A1697="","",IF(COUNTIFS($A$5:$A$2004,A1697,$C$5:$C$2004,C1697)&gt;1,1,0))</x:f>
      </x:c>
    </x:row>
    <x:row r="1698">
      <x:c r="A1698" s="8" t="n"/>
      <x:c r="B1698" s="8" t="n"/>
      <x:c r="C1698" s="8" t="n"/>
      <x:c r="D1698" s="8" t="n"/>
      <x:c r="E1698" s="8" t="n"/>
      <x:c r="F1698" s="8" t="n"/>
      <x:c r="G1698" s="7">
        <x:f>IF(A1698="","",IF(01_Parametres!$B$11="Oui",IF((01_Parametres!$B$4*(D1698&gt;0)+01_Parametres!$B$5*(E1698&gt;0)+01_Parametres!$B$6*(F1698&gt;0))=0,"",(01_Parametres!$B$4*IF(D1698&gt;0,D1698,0)+01_Parametres!$B$5*IF(E1698&gt;0,E1698,0)+01_Parametres!$B$6*IF(F1698&gt;0,F1698,0))/(01_Parametres!$B$4*(D1698&gt;0)+01_Parametres!$B$5*(E1698&gt;0)+01_Parametres!$B$6*(F1698&gt;0))),IF(01_Parametres!$B$8=0,"",(01_Parametres!$B$4*D1698+01_Parametres!$B$5*E1698+01_Parametres!$B$6*F1698)/01_Parametres!$B$8)))</x:f>
      </x:c>
      <x:c r="H1698">
        <x:f>IFERROR(VLOOKUP(C1698,02_Referentiels!$A$20:$D$99,3,FALSE),"")</x:f>
      </x:c>
      <x:c r="I1698">
        <x:f>IFERROR(VLOOKUP(B1698,02_Referentiels!$A$5:$C$16,2,FALSE),"")</x:f>
      </x:c>
      <x:c r="J1698">
        <x:f>IF(A1698="","",IF(OR(D1698="",E1698="",F1698=""),1,IF(OR(D1698&lt;0,D1698&gt;3,E1698&lt;0,E1698&gt;3,F1698&lt;0,F1698&gt;3),1,0)))</x:f>
      </x:c>
      <x:c r="K1698">
        <x:f>IF(A1698="","",IF(G1698="",1,0))</x:f>
      </x:c>
      <x:c r="L1698">
        <x:f>IF(A1698="","",IF(COUNTIFS($A$5:$A$2004,A1698,$C$5:$C$2004,C1698)&gt;1,1,0))</x:f>
      </x:c>
    </x:row>
    <x:row r="1699">
      <x:c r="A1699" s="8" t="n"/>
      <x:c r="B1699" s="8" t="n"/>
      <x:c r="C1699" s="8" t="n"/>
      <x:c r="D1699" s="8" t="n"/>
      <x:c r="E1699" s="8" t="n"/>
      <x:c r="F1699" s="8" t="n"/>
      <x:c r="G1699" s="7">
        <x:f>IF(A1699="","",IF(01_Parametres!$B$11="Oui",IF((01_Parametres!$B$4*(D1699&gt;0)+01_Parametres!$B$5*(E1699&gt;0)+01_Parametres!$B$6*(F1699&gt;0))=0,"",(01_Parametres!$B$4*IF(D1699&gt;0,D1699,0)+01_Parametres!$B$5*IF(E1699&gt;0,E1699,0)+01_Parametres!$B$6*IF(F1699&gt;0,F1699,0))/(01_Parametres!$B$4*(D1699&gt;0)+01_Parametres!$B$5*(E1699&gt;0)+01_Parametres!$B$6*(F1699&gt;0))),IF(01_Parametres!$B$8=0,"",(01_Parametres!$B$4*D1699+01_Parametres!$B$5*E1699+01_Parametres!$B$6*F1699)/01_Parametres!$B$8)))</x:f>
      </x:c>
      <x:c r="H1699">
        <x:f>IFERROR(VLOOKUP(C1699,02_Referentiels!$A$20:$D$99,3,FALSE),"")</x:f>
      </x:c>
      <x:c r="I1699">
        <x:f>IFERROR(VLOOKUP(B1699,02_Referentiels!$A$5:$C$16,2,FALSE),"")</x:f>
      </x:c>
      <x:c r="J1699">
        <x:f>IF(A1699="","",IF(OR(D1699="",E1699="",F1699=""),1,IF(OR(D1699&lt;0,D1699&gt;3,E1699&lt;0,E1699&gt;3,F1699&lt;0,F1699&gt;3),1,0)))</x:f>
      </x:c>
      <x:c r="K1699">
        <x:f>IF(A1699="","",IF(G1699="",1,0))</x:f>
      </x:c>
      <x:c r="L1699">
        <x:f>IF(A1699="","",IF(COUNTIFS($A$5:$A$2004,A1699,$C$5:$C$2004,C1699)&gt;1,1,0))</x:f>
      </x:c>
    </x:row>
    <x:row r="1700">
      <x:c r="A1700" s="8" t="n"/>
      <x:c r="B1700" s="8" t="n"/>
      <x:c r="C1700" s="8" t="n"/>
      <x:c r="D1700" s="8" t="n"/>
      <x:c r="E1700" s="8" t="n"/>
      <x:c r="F1700" s="8" t="n"/>
      <x:c r="G1700" s="7">
        <x:f>IF(A1700="","",IF(01_Parametres!$B$11="Oui",IF((01_Parametres!$B$4*(D1700&gt;0)+01_Parametres!$B$5*(E1700&gt;0)+01_Parametres!$B$6*(F1700&gt;0))=0,"",(01_Parametres!$B$4*IF(D1700&gt;0,D1700,0)+01_Parametres!$B$5*IF(E1700&gt;0,E1700,0)+01_Parametres!$B$6*IF(F1700&gt;0,F1700,0))/(01_Parametres!$B$4*(D1700&gt;0)+01_Parametres!$B$5*(E1700&gt;0)+01_Parametres!$B$6*(F1700&gt;0))),IF(01_Parametres!$B$8=0,"",(01_Parametres!$B$4*D1700+01_Parametres!$B$5*E1700+01_Parametres!$B$6*F1700)/01_Parametres!$B$8)))</x:f>
      </x:c>
      <x:c r="H1700">
        <x:f>IFERROR(VLOOKUP(C1700,02_Referentiels!$A$20:$D$99,3,FALSE),"")</x:f>
      </x:c>
      <x:c r="I1700">
        <x:f>IFERROR(VLOOKUP(B1700,02_Referentiels!$A$5:$C$16,2,FALSE),"")</x:f>
      </x:c>
      <x:c r="J1700">
        <x:f>IF(A1700="","",IF(OR(D1700="",E1700="",F1700=""),1,IF(OR(D1700&lt;0,D1700&gt;3,E1700&lt;0,E1700&gt;3,F1700&lt;0,F1700&gt;3),1,0)))</x:f>
      </x:c>
      <x:c r="K1700">
        <x:f>IF(A1700="","",IF(G1700="",1,0))</x:f>
      </x:c>
      <x:c r="L1700">
        <x:f>IF(A1700="","",IF(COUNTIFS($A$5:$A$2004,A1700,$C$5:$C$2004,C1700)&gt;1,1,0))</x:f>
      </x:c>
    </x:row>
    <x:row r="1701">
      <x:c r="A1701" s="8" t="n"/>
      <x:c r="B1701" s="8" t="n"/>
      <x:c r="C1701" s="8" t="n"/>
      <x:c r="D1701" s="8" t="n"/>
      <x:c r="E1701" s="8" t="n"/>
      <x:c r="F1701" s="8" t="n"/>
      <x:c r="G1701" s="7">
        <x:f>IF(A1701="","",IF(01_Parametres!$B$11="Oui",IF((01_Parametres!$B$4*(D1701&gt;0)+01_Parametres!$B$5*(E1701&gt;0)+01_Parametres!$B$6*(F1701&gt;0))=0,"",(01_Parametres!$B$4*IF(D1701&gt;0,D1701,0)+01_Parametres!$B$5*IF(E1701&gt;0,E1701,0)+01_Parametres!$B$6*IF(F1701&gt;0,F1701,0))/(01_Parametres!$B$4*(D1701&gt;0)+01_Parametres!$B$5*(E1701&gt;0)+01_Parametres!$B$6*(F1701&gt;0))),IF(01_Parametres!$B$8=0,"",(01_Parametres!$B$4*D1701+01_Parametres!$B$5*E1701+01_Parametres!$B$6*F1701)/01_Parametres!$B$8)))</x:f>
      </x:c>
      <x:c r="H1701">
        <x:f>IFERROR(VLOOKUP(C1701,02_Referentiels!$A$20:$D$99,3,FALSE),"")</x:f>
      </x:c>
      <x:c r="I1701">
        <x:f>IFERROR(VLOOKUP(B1701,02_Referentiels!$A$5:$C$16,2,FALSE),"")</x:f>
      </x:c>
      <x:c r="J1701">
        <x:f>IF(A1701="","",IF(OR(D1701="",E1701="",F1701=""),1,IF(OR(D1701&lt;0,D1701&gt;3,E1701&lt;0,E1701&gt;3,F1701&lt;0,F1701&gt;3),1,0)))</x:f>
      </x:c>
      <x:c r="K1701">
        <x:f>IF(A1701="","",IF(G1701="",1,0))</x:f>
      </x:c>
      <x:c r="L1701">
        <x:f>IF(A1701="","",IF(COUNTIFS($A$5:$A$2004,A1701,$C$5:$C$2004,C1701)&gt;1,1,0))</x:f>
      </x:c>
    </x:row>
    <x:row r="1702">
      <x:c r="A1702" s="8" t="n"/>
      <x:c r="B1702" s="8" t="n"/>
      <x:c r="C1702" s="8" t="n"/>
      <x:c r="D1702" s="8" t="n"/>
      <x:c r="E1702" s="8" t="n"/>
      <x:c r="F1702" s="8" t="n"/>
      <x:c r="G1702" s="7">
        <x:f>IF(A1702="","",IF(01_Parametres!$B$11="Oui",IF((01_Parametres!$B$4*(D1702&gt;0)+01_Parametres!$B$5*(E1702&gt;0)+01_Parametres!$B$6*(F1702&gt;0))=0,"",(01_Parametres!$B$4*IF(D1702&gt;0,D1702,0)+01_Parametres!$B$5*IF(E1702&gt;0,E1702,0)+01_Parametres!$B$6*IF(F1702&gt;0,F1702,0))/(01_Parametres!$B$4*(D1702&gt;0)+01_Parametres!$B$5*(E1702&gt;0)+01_Parametres!$B$6*(F1702&gt;0))),IF(01_Parametres!$B$8=0,"",(01_Parametres!$B$4*D1702+01_Parametres!$B$5*E1702+01_Parametres!$B$6*F1702)/01_Parametres!$B$8)))</x:f>
      </x:c>
      <x:c r="H1702">
        <x:f>IFERROR(VLOOKUP(C1702,02_Referentiels!$A$20:$D$99,3,FALSE),"")</x:f>
      </x:c>
      <x:c r="I1702">
        <x:f>IFERROR(VLOOKUP(B1702,02_Referentiels!$A$5:$C$16,2,FALSE),"")</x:f>
      </x:c>
      <x:c r="J1702">
        <x:f>IF(A1702="","",IF(OR(D1702="",E1702="",F1702=""),1,IF(OR(D1702&lt;0,D1702&gt;3,E1702&lt;0,E1702&gt;3,F1702&lt;0,F1702&gt;3),1,0)))</x:f>
      </x:c>
      <x:c r="K1702">
        <x:f>IF(A1702="","",IF(G1702="",1,0))</x:f>
      </x:c>
      <x:c r="L1702">
        <x:f>IF(A1702="","",IF(COUNTIFS($A$5:$A$2004,A1702,$C$5:$C$2004,C1702)&gt;1,1,0))</x:f>
      </x:c>
    </x:row>
    <x:row r="1703">
      <x:c r="A1703" s="8" t="n"/>
      <x:c r="B1703" s="8" t="n"/>
      <x:c r="C1703" s="8" t="n"/>
      <x:c r="D1703" s="8" t="n"/>
      <x:c r="E1703" s="8" t="n"/>
      <x:c r="F1703" s="8" t="n"/>
      <x:c r="G1703" s="7">
        <x:f>IF(A1703="","",IF(01_Parametres!$B$11="Oui",IF((01_Parametres!$B$4*(D1703&gt;0)+01_Parametres!$B$5*(E1703&gt;0)+01_Parametres!$B$6*(F1703&gt;0))=0,"",(01_Parametres!$B$4*IF(D1703&gt;0,D1703,0)+01_Parametres!$B$5*IF(E1703&gt;0,E1703,0)+01_Parametres!$B$6*IF(F1703&gt;0,F1703,0))/(01_Parametres!$B$4*(D1703&gt;0)+01_Parametres!$B$5*(E1703&gt;0)+01_Parametres!$B$6*(F1703&gt;0))),IF(01_Parametres!$B$8=0,"",(01_Parametres!$B$4*D1703+01_Parametres!$B$5*E1703+01_Parametres!$B$6*F1703)/01_Parametres!$B$8)))</x:f>
      </x:c>
      <x:c r="H1703">
        <x:f>IFERROR(VLOOKUP(C1703,02_Referentiels!$A$20:$D$99,3,FALSE),"")</x:f>
      </x:c>
      <x:c r="I1703">
        <x:f>IFERROR(VLOOKUP(B1703,02_Referentiels!$A$5:$C$16,2,FALSE),"")</x:f>
      </x:c>
      <x:c r="J1703">
        <x:f>IF(A1703="","",IF(OR(D1703="",E1703="",F1703=""),1,IF(OR(D1703&lt;0,D1703&gt;3,E1703&lt;0,E1703&gt;3,F1703&lt;0,F1703&gt;3),1,0)))</x:f>
      </x:c>
      <x:c r="K1703">
        <x:f>IF(A1703="","",IF(G1703="",1,0))</x:f>
      </x:c>
      <x:c r="L1703">
        <x:f>IF(A1703="","",IF(COUNTIFS($A$5:$A$2004,A1703,$C$5:$C$2004,C1703)&gt;1,1,0))</x:f>
      </x:c>
    </x:row>
    <x:row r="1704">
      <x:c r="A1704" s="8" t="n"/>
      <x:c r="B1704" s="8" t="n"/>
      <x:c r="C1704" s="8" t="n"/>
      <x:c r="D1704" s="8" t="n"/>
      <x:c r="E1704" s="8" t="n"/>
      <x:c r="F1704" s="8" t="n"/>
      <x:c r="G1704" s="7">
        <x:f>IF(A1704="","",IF(01_Parametres!$B$11="Oui",IF((01_Parametres!$B$4*(D1704&gt;0)+01_Parametres!$B$5*(E1704&gt;0)+01_Parametres!$B$6*(F1704&gt;0))=0,"",(01_Parametres!$B$4*IF(D1704&gt;0,D1704,0)+01_Parametres!$B$5*IF(E1704&gt;0,E1704,0)+01_Parametres!$B$6*IF(F1704&gt;0,F1704,0))/(01_Parametres!$B$4*(D1704&gt;0)+01_Parametres!$B$5*(E1704&gt;0)+01_Parametres!$B$6*(F1704&gt;0))),IF(01_Parametres!$B$8=0,"",(01_Parametres!$B$4*D1704+01_Parametres!$B$5*E1704+01_Parametres!$B$6*F1704)/01_Parametres!$B$8)))</x:f>
      </x:c>
      <x:c r="H1704">
        <x:f>IFERROR(VLOOKUP(C1704,02_Referentiels!$A$20:$D$99,3,FALSE),"")</x:f>
      </x:c>
      <x:c r="I1704">
        <x:f>IFERROR(VLOOKUP(B1704,02_Referentiels!$A$5:$C$16,2,FALSE),"")</x:f>
      </x:c>
      <x:c r="J1704">
        <x:f>IF(A1704="","",IF(OR(D1704="",E1704="",F1704=""),1,IF(OR(D1704&lt;0,D1704&gt;3,E1704&lt;0,E1704&gt;3,F1704&lt;0,F1704&gt;3),1,0)))</x:f>
      </x:c>
      <x:c r="K1704">
        <x:f>IF(A1704="","",IF(G1704="",1,0))</x:f>
      </x:c>
      <x:c r="L1704">
        <x:f>IF(A1704="","",IF(COUNTIFS($A$5:$A$2004,A1704,$C$5:$C$2004,C1704)&gt;1,1,0))</x:f>
      </x:c>
    </x:row>
    <x:row r="1705">
      <x:c r="A1705" s="8" t="n"/>
      <x:c r="B1705" s="8" t="n"/>
      <x:c r="C1705" s="8" t="n"/>
      <x:c r="D1705" s="8" t="n"/>
      <x:c r="E1705" s="8" t="n"/>
      <x:c r="F1705" s="8" t="n"/>
      <x:c r="G1705" s="7">
        <x:f>IF(A1705="","",IF(01_Parametres!$B$11="Oui",IF((01_Parametres!$B$4*(D1705&gt;0)+01_Parametres!$B$5*(E1705&gt;0)+01_Parametres!$B$6*(F1705&gt;0))=0,"",(01_Parametres!$B$4*IF(D1705&gt;0,D1705,0)+01_Parametres!$B$5*IF(E1705&gt;0,E1705,0)+01_Parametres!$B$6*IF(F1705&gt;0,F1705,0))/(01_Parametres!$B$4*(D1705&gt;0)+01_Parametres!$B$5*(E1705&gt;0)+01_Parametres!$B$6*(F1705&gt;0))),IF(01_Parametres!$B$8=0,"",(01_Parametres!$B$4*D1705+01_Parametres!$B$5*E1705+01_Parametres!$B$6*F1705)/01_Parametres!$B$8)))</x:f>
      </x:c>
      <x:c r="H1705">
        <x:f>IFERROR(VLOOKUP(C1705,02_Referentiels!$A$20:$D$99,3,FALSE),"")</x:f>
      </x:c>
      <x:c r="I1705">
        <x:f>IFERROR(VLOOKUP(B1705,02_Referentiels!$A$5:$C$16,2,FALSE),"")</x:f>
      </x:c>
      <x:c r="J1705">
        <x:f>IF(A1705="","",IF(OR(D1705="",E1705="",F1705=""),1,IF(OR(D1705&lt;0,D1705&gt;3,E1705&lt;0,E1705&gt;3,F1705&lt;0,F1705&gt;3),1,0)))</x:f>
      </x:c>
      <x:c r="K1705">
        <x:f>IF(A1705="","",IF(G1705="",1,0))</x:f>
      </x:c>
      <x:c r="L1705">
        <x:f>IF(A1705="","",IF(COUNTIFS($A$5:$A$2004,A1705,$C$5:$C$2004,C1705)&gt;1,1,0))</x:f>
      </x:c>
    </x:row>
    <x:row r="1706">
      <x:c r="A1706" s="8" t="n"/>
      <x:c r="B1706" s="8" t="n"/>
      <x:c r="C1706" s="8" t="n"/>
      <x:c r="D1706" s="8" t="n"/>
      <x:c r="E1706" s="8" t="n"/>
      <x:c r="F1706" s="8" t="n"/>
      <x:c r="G1706" s="7">
        <x:f>IF(A1706="","",IF(01_Parametres!$B$11="Oui",IF((01_Parametres!$B$4*(D1706&gt;0)+01_Parametres!$B$5*(E1706&gt;0)+01_Parametres!$B$6*(F1706&gt;0))=0,"",(01_Parametres!$B$4*IF(D1706&gt;0,D1706,0)+01_Parametres!$B$5*IF(E1706&gt;0,E1706,0)+01_Parametres!$B$6*IF(F1706&gt;0,F1706,0))/(01_Parametres!$B$4*(D1706&gt;0)+01_Parametres!$B$5*(E1706&gt;0)+01_Parametres!$B$6*(F1706&gt;0))),IF(01_Parametres!$B$8=0,"",(01_Parametres!$B$4*D1706+01_Parametres!$B$5*E1706+01_Parametres!$B$6*F1706)/01_Parametres!$B$8)))</x:f>
      </x:c>
      <x:c r="H1706">
        <x:f>IFERROR(VLOOKUP(C1706,02_Referentiels!$A$20:$D$99,3,FALSE),"")</x:f>
      </x:c>
      <x:c r="I1706">
        <x:f>IFERROR(VLOOKUP(B1706,02_Referentiels!$A$5:$C$16,2,FALSE),"")</x:f>
      </x:c>
      <x:c r="J1706">
        <x:f>IF(A1706="","",IF(OR(D1706="",E1706="",F1706=""),1,IF(OR(D1706&lt;0,D1706&gt;3,E1706&lt;0,E1706&gt;3,F1706&lt;0,F1706&gt;3),1,0)))</x:f>
      </x:c>
      <x:c r="K1706">
        <x:f>IF(A1706="","",IF(G1706="",1,0))</x:f>
      </x:c>
      <x:c r="L1706">
        <x:f>IF(A1706="","",IF(COUNTIFS($A$5:$A$2004,A1706,$C$5:$C$2004,C1706)&gt;1,1,0))</x:f>
      </x:c>
    </x:row>
    <x:row r="1707">
      <x:c r="A1707" s="8" t="n"/>
      <x:c r="B1707" s="8" t="n"/>
      <x:c r="C1707" s="8" t="n"/>
      <x:c r="D1707" s="8" t="n"/>
      <x:c r="E1707" s="8" t="n"/>
      <x:c r="F1707" s="8" t="n"/>
      <x:c r="G1707" s="7">
        <x:f>IF(A1707="","",IF(01_Parametres!$B$11="Oui",IF((01_Parametres!$B$4*(D1707&gt;0)+01_Parametres!$B$5*(E1707&gt;0)+01_Parametres!$B$6*(F1707&gt;0))=0,"",(01_Parametres!$B$4*IF(D1707&gt;0,D1707,0)+01_Parametres!$B$5*IF(E1707&gt;0,E1707,0)+01_Parametres!$B$6*IF(F1707&gt;0,F1707,0))/(01_Parametres!$B$4*(D1707&gt;0)+01_Parametres!$B$5*(E1707&gt;0)+01_Parametres!$B$6*(F1707&gt;0))),IF(01_Parametres!$B$8=0,"",(01_Parametres!$B$4*D1707+01_Parametres!$B$5*E1707+01_Parametres!$B$6*F1707)/01_Parametres!$B$8)))</x:f>
      </x:c>
      <x:c r="H1707">
        <x:f>IFERROR(VLOOKUP(C1707,02_Referentiels!$A$20:$D$99,3,FALSE),"")</x:f>
      </x:c>
      <x:c r="I1707">
        <x:f>IFERROR(VLOOKUP(B1707,02_Referentiels!$A$5:$C$16,2,FALSE),"")</x:f>
      </x:c>
      <x:c r="J1707">
        <x:f>IF(A1707="","",IF(OR(D1707="",E1707="",F1707=""),1,IF(OR(D1707&lt;0,D1707&gt;3,E1707&lt;0,E1707&gt;3,F1707&lt;0,F1707&gt;3),1,0)))</x:f>
      </x:c>
      <x:c r="K1707">
        <x:f>IF(A1707="","",IF(G1707="",1,0))</x:f>
      </x:c>
      <x:c r="L1707">
        <x:f>IF(A1707="","",IF(COUNTIFS($A$5:$A$2004,A1707,$C$5:$C$2004,C1707)&gt;1,1,0))</x:f>
      </x:c>
    </x:row>
    <x:row r="1708">
      <x:c r="A1708" s="8" t="n"/>
      <x:c r="B1708" s="8" t="n"/>
      <x:c r="C1708" s="8" t="n"/>
      <x:c r="D1708" s="8" t="n"/>
      <x:c r="E1708" s="8" t="n"/>
      <x:c r="F1708" s="8" t="n"/>
      <x:c r="G1708" s="7">
        <x:f>IF(A1708="","",IF(01_Parametres!$B$11="Oui",IF((01_Parametres!$B$4*(D1708&gt;0)+01_Parametres!$B$5*(E1708&gt;0)+01_Parametres!$B$6*(F1708&gt;0))=0,"",(01_Parametres!$B$4*IF(D1708&gt;0,D1708,0)+01_Parametres!$B$5*IF(E1708&gt;0,E1708,0)+01_Parametres!$B$6*IF(F1708&gt;0,F1708,0))/(01_Parametres!$B$4*(D1708&gt;0)+01_Parametres!$B$5*(E1708&gt;0)+01_Parametres!$B$6*(F1708&gt;0))),IF(01_Parametres!$B$8=0,"",(01_Parametres!$B$4*D1708+01_Parametres!$B$5*E1708+01_Parametres!$B$6*F1708)/01_Parametres!$B$8)))</x:f>
      </x:c>
      <x:c r="H1708">
        <x:f>IFERROR(VLOOKUP(C1708,02_Referentiels!$A$20:$D$99,3,FALSE),"")</x:f>
      </x:c>
      <x:c r="I1708">
        <x:f>IFERROR(VLOOKUP(B1708,02_Referentiels!$A$5:$C$16,2,FALSE),"")</x:f>
      </x:c>
      <x:c r="J1708">
        <x:f>IF(A1708="","",IF(OR(D1708="",E1708="",F1708=""),1,IF(OR(D1708&lt;0,D1708&gt;3,E1708&lt;0,E1708&gt;3,F1708&lt;0,F1708&gt;3),1,0)))</x:f>
      </x:c>
      <x:c r="K1708">
        <x:f>IF(A1708="","",IF(G1708="",1,0))</x:f>
      </x:c>
      <x:c r="L1708">
        <x:f>IF(A1708="","",IF(COUNTIFS($A$5:$A$2004,A1708,$C$5:$C$2004,C1708)&gt;1,1,0))</x:f>
      </x:c>
    </x:row>
    <x:row r="1709">
      <x:c r="A1709" s="8" t="n"/>
      <x:c r="B1709" s="8" t="n"/>
      <x:c r="C1709" s="8" t="n"/>
      <x:c r="D1709" s="8" t="n"/>
      <x:c r="E1709" s="8" t="n"/>
      <x:c r="F1709" s="8" t="n"/>
      <x:c r="G1709" s="7">
        <x:f>IF(A1709="","",IF(01_Parametres!$B$11="Oui",IF((01_Parametres!$B$4*(D1709&gt;0)+01_Parametres!$B$5*(E1709&gt;0)+01_Parametres!$B$6*(F1709&gt;0))=0,"",(01_Parametres!$B$4*IF(D1709&gt;0,D1709,0)+01_Parametres!$B$5*IF(E1709&gt;0,E1709,0)+01_Parametres!$B$6*IF(F1709&gt;0,F1709,0))/(01_Parametres!$B$4*(D1709&gt;0)+01_Parametres!$B$5*(E1709&gt;0)+01_Parametres!$B$6*(F1709&gt;0))),IF(01_Parametres!$B$8=0,"",(01_Parametres!$B$4*D1709+01_Parametres!$B$5*E1709+01_Parametres!$B$6*F1709)/01_Parametres!$B$8)))</x:f>
      </x:c>
      <x:c r="H1709">
        <x:f>IFERROR(VLOOKUP(C1709,02_Referentiels!$A$20:$D$99,3,FALSE),"")</x:f>
      </x:c>
      <x:c r="I1709">
        <x:f>IFERROR(VLOOKUP(B1709,02_Referentiels!$A$5:$C$16,2,FALSE),"")</x:f>
      </x:c>
      <x:c r="J1709">
        <x:f>IF(A1709="","",IF(OR(D1709="",E1709="",F1709=""),1,IF(OR(D1709&lt;0,D1709&gt;3,E1709&lt;0,E1709&gt;3,F1709&lt;0,F1709&gt;3),1,0)))</x:f>
      </x:c>
      <x:c r="K1709">
        <x:f>IF(A1709="","",IF(G1709="",1,0))</x:f>
      </x:c>
      <x:c r="L1709">
        <x:f>IF(A1709="","",IF(COUNTIFS($A$5:$A$2004,A1709,$C$5:$C$2004,C1709)&gt;1,1,0))</x:f>
      </x:c>
    </x:row>
    <x:row r="1710">
      <x:c r="A1710" s="8" t="n"/>
      <x:c r="B1710" s="8" t="n"/>
      <x:c r="C1710" s="8" t="n"/>
      <x:c r="D1710" s="8" t="n"/>
      <x:c r="E1710" s="8" t="n"/>
      <x:c r="F1710" s="8" t="n"/>
      <x:c r="G1710" s="7">
        <x:f>IF(A1710="","",IF(01_Parametres!$B$11="Oui",IF((01_Parametres!$B$4*(D1710&gt;0)+01_Parametres!$B$5*(E1710&gt;0)+01_Parametres!$B$6*(F1710&gt;0))=0,"",(01_Parametres!$B$4*IF(D1710&gt;0,D1710,0)+01_Parametres!$B$5*IF(E1710&gt;0,E1710,0)+01_Parametres!$B$6*IF(F1710&gt;0,F1710,0))/(01_Parametres!$B$4*(D1710&gt;0)+01_Parametres!$B$5*(E1710&gt;0)+01_Parametres!$B$6*(F1710&gt;0))),IF(01_Parametres!$B$8=0,"",(01_Parametres!$B$4*D1710+01_Parametres!$B$5*E1710+01_Parametres!$B$6*F1710)/01_Parametres!$B$8)))</x:f>
      </x:c>
      <x:c r="H1710">
        <x:f>IFERROR(VLOOKUP(C1710,02_Referentiels!$A$20:$D$99,3,FALSE),"")</x:f>
      </x:c>
      <x:c r="I1710">
        <x:f>IFERROR(VLOOKUP(B1710,02_Referentiels!$A$5:$C$16,2,FALSE),"")</x:f>
      </x:c>
      <x:c r="J1710">
        <x:f>IF(A1710="","",IF(OR(D1710="",E1710="",F1710=""),1,IF(OR(D1710&lt;0,D1710&gt;3,E1710&lt;0,E1710&gt;3,F1710&lt;0,F1710&gt;3),1,0)))</x:f>
      </x:c>
      <x:c r="K1710">
        <x:f>IF(A1710="","",IF(G1710="",1,0))</x:f>
      </x:c>
      <x:c r="L1710">
        <x:f>IF(A1710="","",IF(COUNTIFS($A$5:$A$2004,A1710,$C$5:$C$2004,C1710)&gt;1,1,0))</x:f>
      </x:c>
    </x:row>
    <x:row r="1711">
      <x:c r="A1711" s="8" t="n"/>
      <x:c r="B1711" s="8" t="n"/>
      <x:c r="C1711" s="8" t="n"/>
      <x:c r="D1711" s="8" t="n"/>
      <x:c r="E1711" s="8" t="n"/>
      <x:c r="F1711" s="8" t="n"/>
      <x:c r="G1711" s="7">
        <x:f>IF(A1711="","",IF(01_Parametres!$B$11="Oui",IF((01_Parametres!$B$4*(D1711&gt;0)+01_Parametres!$B$5*(E1711&gt;0)+01_Parametres!$B$6*(F1711&gt;0))=0,"",(01_Parametres!$B$4*IF(D1711&gt;0,D1711,0)+01_Parametres!$B$5*IF(E1711&gt;0,E1711,0)+01_Parametres!$B$6*IF(F1711&gt;0,F1711,0))/(01_Parametres!$B$4*(D1711&gt;0)+01_Parametres!$B$5*(E1711&gt;0)+01_Parametres!$B$6*(F1711&gt;0))),IF(01_Parametres!$B$8=0,"",(01_Parametres!$B$4*D1711+01_Parametres!$B$5*E1711+01_Parametres!$B$6*F1711)/01_Parametres!$B$8)))</x:f>
      </x:c>
      <x:c r="H1711">
        <x:f>IFERROR(VLOOKUP(C1711,02_Referentiels!$A$20:$D$99,3,FALSE),"")</x:f>
      </x:c>
      <x:c r="I1711">
        <x:f>IFERROR(VLOOKUP(B1711,02_Referentiels!$A$5:$C$16,2,FALSE),"")</x:f>
      </x:c>
      <x:c r="J1711">
        <x:f>IF(A1711="","",IF(OR(D1711="",E1711="",F1711=""),1,IF(OR(D1711&lt;0,D1711&gt;3,E1711&lt;0,E1711&gt;3,F1711&lt;0,F1711&gt;3),1,0)))</x:f>
      </x:c>
      <x:c r="K1711">
        <x:f>IF(A1711="","",IF(G1711="",1,0))</x:f>
      </x:c>
      <x:c r="L1711">
        <x:f>IF(A1711="","",IF(COUNTIFS($A$5:$A$2004,A1711,$C$5:$C$2004,C1711)&gt;1,1,0))</x:f>
      </x:c>
    </x:row>
    <x:row r="1712">
      <x:c r="A1712" s="8" t="n"/>
      <x:c r="B1712" s="8" t="n"/>
      <x:c r="C1712" s="8" t="n"/>
      <x:c r="D1712" s="8" t="n"/>
      <x:c r="E1712" s="8" t="n"/>
      <x:c r="F1712" s="8" t="n"/>
      <x:c r="G1712" s="7">
        <x:f>IF(A1712="","",IF(01_Parametres!$B$11="Oui",IF((01_Parametres!$B$4*(D1712&gt;0)+01_Parametres!$B$5*(E1712&gt;0)+01_Parametres!$B$6*(F1712&gt;0))=0,"",(01_Parametres!$B$4*IF(D1712&gt;0,D1712,0)+01_Parametres!$B$5*IF(E1712&gt;0,E1712,0)+01_Parametres!$B$6*IF(F1712&gt;0,F1712,0))/(01_Parametres!$B$4*(D1712&gt;0)+01_Parametres!$B$5*(E1712&gt;0)+01_Parametres!$B$6*(F1712&gt;0))),IF(01_Parametres!$B$8=0,"",(01_Parametres!$B$4*D1712+01_Parametres!$B$5*E1712+01_Parametres!$B$6*F1712)/01_Parametres!$B$8)))</x:f>
      </x:c>
      <x:c r="H1712">
        <x:f>IFERROR(VLOOKUP(C1712,02_Referentiels!$A$20:$D$99,3,FALSE),"")</x:f>
      </x:c>
      <x:c r="I1712">
        <x:f>IFERROR(VLOOKUP(B1712,02_Referentiels!$A$5:$C$16,2,FALSE),"")</x:f>
      </x:c>
      <x:c r="J1712">
        <x:f>IF(A1712="","",IF(OR(D1712="",E1712="",F1712=""),1,IF(OR(D1712&lt;0,D1712&gt;3,E1712&lt;0,E1712&gt;3,F1712&lt;0,F1712&gt;3),1,0)))</x:f>
      </x:c>
      <x:c r="K1712">
        <x:f>IF(A1712="","",IF(G1712="",1,0))</x:f>
      </x:c>
      <x:c r="L1712">
        <x:f>IF(A1712="","",IF(COUNTIFS($A$5:$A$2004,A1712,$C$5:$C$2004,C1712)&gt;1,1,0))</x:f>
      </x:c>
    </x:row>
    <x:row r="1713">
      <x:c r="A1713" s="8" t="n"/>
      <x:c r="B1713" s="8" t="n"/>
      <x:c r="C1713" s="8" t="n"/>
      <x:c r="D1713" s="8" t="n"/>
      <x:c r="E1713" s="8" t="n"/>
      <x:c r="F1713" s="8" t="n"/>
      <x:c r="G1713" s="7">
        <x:f>IF(A1713="","",IF(01_Parametres!$B$11="Oui",IF((01_Parametres!$B$4*(D1713&gt;0)+01_Parametres!$B$5*(E1713&gt;0)+01_Parametres!$B$6*(F1713&gt;0))=0,"",(01_Parametres!$B$4*IF(D1713&gt;0,D1713,0)+01_Parametres!$B$5*IF(E1713&gt;0,E1713,0)+01_Parametres!$B$6*IF(F1713&gt;0,F1713,0))/(01_Parametres!$B$4*(D1713&gt;0)+01_Parametres!$B$5*(E1713&gt;0)+01_Parametres!$B$6*(F1713&gt;0))),IF(01_Parametres!$B$8=0,"",(01_Parametres!$B$4*D1713+01_Parametres!$B$5*E1713+01_Parametres!$B$6*F1713)/01_Parametres!$B$8)))</x:f>
      </x:c>
      <x:c r="H1713">
        <x:f>IFERROR(VLOOKUP(C1713,02_Referentiels!$A$20:$D$99,3,FALSE),"")</x:f>
      </x:c>
      <x:c r="I1713">
        <x:f>IFERROR(VLOOKUP(B1713,02_Referentiels!$A$5:$C$16,2,FALSE),"")</x:f>
      </x:c>
      <x:c r="J1713">
        <x:f>IF(A1713="","",IF(OR(D1713="",E1713="",F1713=""),1,IF(OR(D1713&lt;0,D1713&gt;3,E1713&lt;0,E1713&gt;3,F1713&lt;0,F1713&gt;3),1,0)))</x:f>
      </x:c>
      <x:c r="K1713">
        <x:f>IF(A1713="","",IF(G1713="",1,0))</x:f>
      </x:c>
      <x:c r="L1713">
        <x:f>IF(A1713="","",IF(COUNTIFS($A$5:$A$2004,A1713,$C$5:$C$2004,C1713)&gt;1,1,0))</x:f>
      </x:c>
    </x:row>
    <x:row r="1714">
      <x:c r="A1714" s="8" t="n"/>
      <x:c r="B1714" s="8" t="n"/>
      <x:c r="C1714" s="8" t="n"/>
      <x:c r="D1714" s="8" t="n"/>
      <x:c r="E1714" s="8" t="n"/>
      <x:c r="F1714" s="8" t="n"/>
      <x:c r="G1714" s="7">
        <x:f>IF(A1714="","",IF(01_Parametres!$B$11="Oui",IF((01_Parametres!$B$4*(D1714&gt;0)+01_Parametres!$B$5*(E1714&gt;0)+01_Parametres!$B$6*(F1714&gt;0))=0,"",(01_Parametres!$B$4*IF(D1714&gt;0,D1714,0)+01_Parametres!$B$5*IF(E1714&gt;0,E1714,0)+01_Parametres!$B$6*IF(F1714&gt;0,F1714,0))/(01_Parametres!$B$4*(D1714&gt;0)+01_Parametres!$B$5*(E1714&gt;0)+01_Parametres!$B$6*(F1714&gt;0))),IF(01_Parametres!$B$8=0,"",(01_Parametres!$B$4*D1714+01_Parametres!$B$5*E1714+01_Parametres!$B$6*F1714)/01_Parametres!$B$8)))</x:f>
      </x:c>
      <x:c r="H1714">
        <x:f>IFERROR(VLOOKUP(C1714,02_Referentiels!$A$20:$D$99,3,FALSE),"")</x:f>
      </x:c>
      <x:c r="I1714">
        <x:f>IFERROR(VLOOKUP(B1714,02_Referentiels!$A$5:$C$16,2,FALSE),"")</x:f>
      </x:c>
      <x:c r="J1714">
        <x:f>IF(A1714="","",IF(OR(D1714="",E1714="",F1714=""),1,IF(OR(D1714&lt;0,D1714&gt;3,E1714&lt;0,E1714&gt;3,F1714&lt;0,F1714&gt;3),1,0)))</x:f>
      </x:c>
      <x:c r="K1714">
        <x:f>IF(A1714="","",IF(G1714="",1,0))</x:f>
      </x:c>
      <x:c r="L1714">
        <x:f>IF(A1714="","",IF(COUNTIFS($A$5:$A$2004,A1714,$C$5:$C$2004,C1714)&gt;1,1,0))</x:f>
      </x:c>
    </x:row>
    <x:row r="1715">
      <x:c r="A1715" s="8" t="n"/>
      <x:c r="B1715" s="8" t="n"/>
      <x:c r="C1715" s="8" t="n"/>
      <x:c r="D1715" s="8" t="n"/>
      <x:c r="E1715" s="8" t="n"/>
      <x:c r="F1715" s="8" t="n"/>
      <x:c r="G1715" s="7">
        <x:f>IF(A1715="","",IF(01_Parametres!$B$11="Oui",IF((01_Parametres!$B$4*(D1715&gt;0)+01_Parametres!$B$5*(E1715&gt;0)+01_Parametres!$B$6*(F1715&gt;0))=0,"",(01_Parametres!$B$4*IF(D1715&gt;0,D1715,0)+01_Parametres!$B$5*IF(E1715&gt;0,E1715,0)+01_Parametres!$B$6*IF(F1715&gt;0,F1715,0))/(01_Parametres!$B$4*(D1715&gt;0)+01_Parametres!$B$5*(E1715&gt;0)+01_Parametres!$B$6*(F1715&gt;0))),IF(01_Parametres!$B$8=0,"",(01_Parametres!$B$4*D1715+01_Parametres!$B$5*E1715+01_Parametres!$B$6*F1715)/01_Parametres!$B$8)))</x:f>
      </x:c>
      <x:c r="H1715">
        <x:f>IFERROR(VLOOKUP(C1715,02_Referentiels!$A$20:$D$99,3,FALSE),"")</x:f>
      </x:c>
      <x:c r="I1715">
        <x:f>IFERROR(VLOOKUP(B1715,02_Referentiels!$A$5:$C$16,2,FALSE),"")</x:f>
      </x:c>
      <x:c r="J1715">
        <x:f>IF(A1715="","",IF(OR(D1715="",E1715="",F1715=""),1,IF(OR(D1715&lt;0,D1715&gt;3,E1715&lt;0,E1715&gt;3,F1715&lt;0,F1715&gt;3),1,0)))</x:f>
      </x:c>
      <x:c r="K1715">
        <x:f>IF(A1715="","",IF(G1715="",1,0))</x:f>
      </x:c>
      <x:c r="L1715">
        <x:f>IF(A1715="","",IF(COUNTIFS($A$5:$A$2004,A1715,$C$5:$C$2004,C1715)&gt;1,1,0))</x:f>
      </x:c>
    </x:row>
    <x:row r="1716">
      <x:c r="A1716" s="8" t="n"/>
      <x:c r="B1716" s="8" t="n"/>
      <x:c r="C1716" s="8" t="n"/>
      <x:c r="D1716" s="8" t="n"/>
      <x:c r="E1716" s="8" t="n"/>
      <x:c r="F1716" s="8" t="n"/>
      <x:c r="G1716" s="7">
        <x:f>IF(A1716="","",IF(01_Parametres!$B$11="Oui",IF((01_Parametres!$B$4*(D1716&gt;0)+01_Parametres!$B$5*(E1716&gt;0)+01_Parametres!$B$6*(F1716&gt;0))=0,"",(01_Parametres!$B$4*IF(D1716&gt;0,D1716,0)+01_Parametres!$B$5*IF(E1716&gt;0,E1716,0)+01_Parametres!$B$6*IF(F1716&gt;0,F1716,0))/(01_Parametres!$B$4*(D1716&gt;0)+01_Parametres!$B$5*(E1716&gt;0)+01_Parametres!$B$6*(F1716&gt;0))),IF(01_Parametres!$B$8=0,"",(01_Parametres!$B$4*D1716+01_Parametres!$B$5*E1716+01_Parametres!$B$6*F1716)/01_Parametres!$B$8)))</x:f>
      </x:c>
      <x:c r="H1716">
        <x:f>IFERROR(VLOOKUP(C1716,02_Referentiels!$A$20:$D$99,3,FALSE),"")</x:f>
      </x:c>
      <x:c r="I1716">
        <x:f>IFERROR(VLOOKUP(B1716,02_Referentiels!$A$5:$C$16,2,FALSE),"")</x:f>
      </x:c>
      <x:c r="J1716">
        <x:f>IF(A1716="","",IF(OR(D1716="",E1716="",F1716=""),1,IF(OR(D1716&lt;0,D1716&gt;3,E1716&lt;0,E1716&gt;3,F1716&lt;0,F1716&gt;3),1,0)))</x:f>
      </x:c>
      <x:c r="K1716">
        <x:f>IF(A1716="","",IF(G1716="",1,0))</x:f>
      </x:c>
      <x:c r="L1716">
        <x:f>IF(A1716="","",IF(COUNTIFS($A$5:$A$2004,A1716,$C$5:$C$2004,C1716)&gt;1,1,0))</x:f>
      </x:c>
    </x:row>
    <x:row r="1717">
      <x:c r="A1717" s="8" t="n"/>
      <x:c r="B1717" s="8" t="n"/>
      <x:c r="C1717" s="8" t="n"/>
      <x:c r="D1717" s="8" t="n"/>
      <x:c r="E1717" s="8" t="n"/>
      <x:c r="F1717" s="8" t="n"/>
      <x:c r="G1717" s="7">
        <x:f>IF(A1717="","",IF(01_Parametres!$B$11="Oui",IF((01_Parametres!$B$4*(D1717&gt;0)+01_Parametres!$B$5*(E1717&gt;0)+01_Parametres!$B$6*(F1717&gt;0))=0,"",(01_Parametres!$B$4*IF(D1717&gt;0,D1717,0)+01_Parametres!$B$5*IF(E1717&gt;0,E1717,0)+01_Parametres!$B$6*IF(F1717&gt;0,F1717,0))/(01_Parametres!$B$4*(D1717&gt;0)+01_Parametres!$B$5*(E1717&gt;0)+01_Parametres!$B$6*(F1717&gt;0))),IF(01_Parametres!$B$8=0,"",(01_Parametres!$B$4*D1717+01_Parametres!$B$5*E1717+01_Parametres!$B$6*F1717)/01_Parametres!$B$8)))</x:f>
      </x:c>
      <x:c r="H1717">
        <x:f>IFERROR(VLOOKUP(C1717,02_Referentiels!$A$20:$D$99,3,FALSE),"")</x:f>
      </x:c>
      <x:c r="I1717">
        <x:f>IFERROR(VLOOKUP(B1717,02_Referentiels!$A$5:$C$16,2,FALSE),"")</x:f>
      </x:c>
      <x:c r="J1717">
        <x:f>IF(A1717="","",IF(OR(D1717="",E1717="",F1717=""),1,IF(OR(D1717&lt;0,D1717&gt;3,E1717&lt;0,E1717&gt;3,F1717&lt;0,F1717&gt;3),1,0)))</x:f>
      </x:c>
      <x:c r="K1717">
        <x:f>IF(A1717="","",IF(G1717="",1,0))</x:f>
      </x:c>
      <x:c r="L1717">
        <x:f>IF(A1717="","",IF(COUNTIFS($A$5:$A$2004,A1717,$C$5:$C$2004,C1717)&gt;1,1,0))</x:f>
      </x:c>
    </x:row>
    <x:row r="1718">
      <x:c r="A1718" s="8" t="n"/>
      <x:c r="B1718" s="8" t="n"/>
      <x:c r="C1718" s="8" t="n"/>
      <x:c r="D1718" s="8" t="n"/>
      <x:c r="E1718" s="8" t="n"/>
      <x:c r="F1718" s="8" t="n"/>
      <x:c r="G1718" s="7">
        <x:f>IF(A1718="","",IF(01_Parametres!$B$11="Oui",IF((01_Parametres!$B$4*(D1718&gt;0)+01_Parametres!$B$5*(E1718&gt;0)+01_Parametres!$B$6*(F1718&gt;0))=0,"",(01_Parametres!$B$4*IF(D1718&gt;0,D1718,0)+01_Parametres!$B$5*IF(E1718&gt;0,E1718,0)+01_Parametres!$B$6*IF(F1718&gt;0,F1718,0))/(01_Parametres!$B$4*(D1718&gt;0)+01_Parametres!$B$5*(E1718&gt;0)+01_Parametres!$B$6*(F1718&gt;0))),IF(01_Parametres!$B$8=0,"",(01_Parametres!$B$4*D1718+01_Parametres!$B$5*E1718+01_Parametres!$B$6*F1718)/01_Parametres!$B$8)))</x:f>
      </x:c>
      <x:c r="H1718">
        <x:f>IFERROR(VLOOKUP(C1718,02_Referentiels!$A$20:$D$99,3,FALSE),"")</x:f>
      </x:c>
      <x:c r="I1718">
        <x:f>IFERROR(VLOOKUP(B1718,02_Referentiels!$A$5:$C$16,2,FALSE),"")</x:f>
      </x:c>
      <x:c r="J1718">
        <x:f>IF(A1718="","",IF(OR(D1718="",E1718="",F1718=""),1,IF(OR(D1718&lt;0,D1718&gt;3,E1718&lt;0,E1718&gt;3,F1718&lt;0,F1718&gt;3),1,0)))</x:f>
      </x:c>
      <x:c r="K1718">
        <x:f>IF(A1718="","",IF(G1718="",1,0))</x:f>
      </x:c>
      <x:c r="L1718">
        <x:f>IF(A1718="","",IF(COUNTIFS($A$5:$A$2004,A1718,$C$5:$C$2004,C1718)&gt;1,1,0))</x:f>
      </x:c>
    </x:row>
    <x:row r="1719">
      <x:c r="A1719" s="8" t="n"/>
      <x:c r="B1719" s="8" t="n"/>
      <x:c r="C1719" s="8" t="n"/>
      <x:c r="D1719" s="8" t="n"/>
      <x:c r="E1719" s="8" t="n"/>
      <x:c r="F1719" s="8" t="n"/>
      <x:c r="G1719" s="7">
        <x:f>IF(A1719="","",IF(01_Parametres!$B$11="Oui",IF((01_Parametres!$B$4*(D1719&gt;0)+01_Parametres!$B$5*(E1719&gt;0)+01_Parametres!$B$6*(F1719&gt;0))=0,"",(01_Parametres!$B$4*IF(D1719&gt;0,D1719,0)+01_Parametres!$B$5*IF(E1719&gt;0,E1719,0)+01_Parametres!$B$6*IF(F1719&gt;0,F1719,0))/(01_Parametres!$B$4*(D1719&gt;0)+01_Parametres!$B$5*(E1719&gt;0)+01_Parametres!$B$6*(F1719&gt;0))),IF(01_Parametres!$B$8=0,"",(01_Parametres!$B$4*D1719+01_Parametres!$B$5*E1719+01_Parametres!$B$6*F1719)/01_Parametres!$B$8)))</x:f>
      </x:c>
      <x:c r="H1719">
        <x:f>IFERROR(VLOOKUP(C1719,02_Referentiels!$A$20:$D$99,3,FALSE),"")</x:f>
      </x:c>
      <x:c r="I1719">
        <x:f>IFERROR(VLOOKUP(B1719,02_Referentiels!$A$5:$C$16,2,FALSE),"")</x:f>
      </x:c>
      <x:c r="J1719">
        <x:f>IF(A1719="","",IF(OR(D1719="",E1719="",F1719=""),1,IF(OR(D1719&lt;0,D1719&gt;3,E1719&lt;0,E1719&gt;3,F1719&lt;0,F1719&gt;3),1,0)))</x:f>
      </x:c>
      <x:c r="K1719">
        <x:f>IF(A1719="","",IF(G1719="",1,0))</x:f>
      </x:c>
      <x:c r="L1719">
        <x:f>IF(A1719="","",IF(COUNTIFS($A$5:$A$2004,A1719,$C$5:$C$2004,C1719)&gt;1,1,0))</x:f>
      </x:c>
    </x:row>
    <x:row r="1720">
      <x:c r="A1720" s="8" t="n"/>
      <x:c r="B1720" s="8" t="n"/>
      <x:c r="C1720" s="8" t="n"/>
      <x:c r="D1720" s="8" t="n"/>
      <x:c r="E1720" s="8" t="n"/>
      <x:c r="F1720" s="8" t="n"/>
      <x:c r="G1720" s="7">
        <x:f>IF(A1720="","",IF(01_Parametres!$B$11="Oui",IF((01_Parametres!$B$4*(D1720&gt;0)+01_Parametres!$B$5*(E1720&gt;0)+01_Parametres!$B$6*(F1720&gt;0))=0,"",(01_Parametres!$B$4*IF(D1720&gt;0,D1720,0)+01_Parametres!$B$5*IF(E1720&gt;0,E1720,0)+01_Parametres!$B$6*IF(F1720&gt;0,F1720,0))/(01_Parametres!$B$4*(D1720&gt;0)+01_Parametres!$B$5*(E1720&gt;0)+01_Parametres!$B$6*(F1720&gt;0))),IF(01_Parametres!$B$8=0,"",(01_Parametres!$B$4*D1720+01_Parametres!$B$5*E1720+01_Parametres!$B$6*F1720)/01_Parametres!$B$8)))</x:f>
      </x:c>
      <x:c r="H1720">
        <x:f>IFERROR(VLOOKUP(C1720,02_Referentiels!$A$20:$D$99,3,FALSE),"")</x:f>
      </x:c>
      <x:c r="I1720">
        <x:f>IFERROR(VLOOKUP(B1720,02_Referentiels!$A$5:$C$16,2,FALSE),"")</x:f>
      </x:c>
      <x:c r="J1720">
        <x:f>IF(A1720="","",IF(OR(D1720="",E1720="",F1720=""),1,IF(OR(D1720&lt;0,D1720&gt;3,E1720&lt;0,E1720&gt;3,F1720&lt;0,F1720&gt;3),1,0)))</x:f>
      </x:c>
      <x:c r="K1720">
        <x:f>IF(A1720="","",IF(G1720="",1,0))</x:f>
      </x:c>
      <x:c r="L1720">
        <x:f>IF(A1720="","",IF(COUNTIFS($A$5:$A$2004,A1720,$C$5:$C$2004,C1720)&gt;1,1,0))</x:f>
      </x:c>
    </x:row>
    <x:row r="1721">
      <x:c r="A1721" s="8" t="n"/>
      <x:c r="B1721" s="8" t="n"/>
      <x:c r="C1721" s="8" t="n"/>
      <x:c r="D1721" s="8" t="n"/>
      <x:c r="E1721" s="8" t="n"/>
      <x:c r="F1721" s="8" t="n"/>
      <x:c r="G1721" s="7">
        <x:f>IF(A1721="","",IF(01_Parametres!$B$11="Oui",IF((01_Parametres!$B$4*(D1721&gt;0)+01_Parametres!$B$5*(E1721&gt;0)+01_Parametres!$B$6*(F1721&gt;0))=0,"",(01_Parametres!$B$4*IF(D1721&gt;0,D1721,0)+01_Parametres!$B$5*IF(E1721&gt;0,E1721,0)+01_Parametres!$B$6*IF(F1721&gt;0,F1721,0))/(01_Parametres!$B$4*(D1721&gt;0)+01_Parametres!$B$5*(E1721&gt;0)+01_Parametres!$B$6*(F1721&gt;0))),IF(01_Parametres!$B$8=0,"",(01_Parametres!$B$4*D1721+01_Parametres!$B$5*E1721+01_Parametres!$B$6*F1721)/01_Parametres!$B$8)))</x:f>
      </x:c>
      <x:c r="H1721">
        <x:f>IFERROR(VLOOKUP(C1721,02_Referentiels!$A$20:$D$99,3,FALSE),"")</x:f>
      </x:c>
      <x:c r="I1721">
        <x:f>IFERROR(VLOOKUP(B1721,02_Referentiels!$A$5:$C$16,2,FALSE),"")</x:f>
      </x:c>
      <x:c r="J1721">
        <x:f>IF(A1721="","",IF(OR(D1721="",E1721="",F1721=""),1,IF(OR(D1721&lt;0,D1721&gt;3,E1721&lt;0,E1721&gt;3,F1721&lt;0,F1721&gt;3),1,0)))</x:f>
      </x:c>
      <x:c r="K1721">
        <x:f>IF(A1721="","",IF(G1721="",1,0))</x:f>
      </x:c>
      <x:c r="L1721">
        <x:f>IF(A1721="","",IF(COUNTIFS($A$5:$A$2004,A1721,$C$5:$C$2004,C1721)&gt;1,1,0))</x:f>
      </x:c>
    </x:row>
    <x:row r="1722">
      <x:c r="A1722" s="8" t="n"/>
      <x:c r="B1722" s="8" t="n"/>
      <x:c r="C1722" s="8" t="n"/>
      <x:c r="D1722" s="8" t="n"/>
      <x:c r="E1722" s="8" t="n"/>
      <x:c r="F1722" s="8" t="n"/>
      <x:c r="G1722" s="7">
        <x:f>IF(A1722="","",IF(01_Parametres!$B$11="Oui",IF((01_Parametres!$B$4*(D1722&gt;0)+01_Parametres!$B$5*(E1722&gt;0)+01_Parametres!$B$6*(F1722&gt;0))=0,"",(01_Parametres!$B$4*IF(D1722&gt;0,D1722,0)+01_Parametres!$B$5*IF(E1722&gt;0,E1722,0)+01_Parametres!$B$6*IF(F1722&gt;0,F1722,0))/(01_Parametres!$B$4*(D1722&gt;0)+01_Parametres!$B$5*(E1722&gt;0)+01_Parametres!$B$6*(F1722&gt;0))),IF(01_Parametres!$B$8=0,"",(01_Parametres!$B$4*D1722+01_Parametres!$B$5*E1722+01_Parametres!$B$6*F1722)/01_Parametres!$B$8)))</x:f>
      </x:c>
      <x:c r="H1722">
        <x:f>IFERROR(VLOOKUP(C1722,02_Referentiels!$A$20:$D$99,3,FALSE),"")</x:f>
      </x:c>
      <x:c r="I1722">
        <x:f>IFERROR(VLOOKUP(B1722,02_Referentiels!$A$5:$C$16,2,FALSE),"")</x:f>
      </x:c>
      <x:c r="J1722">
        <x:f>IF(A1722="","",IF(OR(D1722="",E1722="",F1722=""),1,IF(OR(D1722&lt;0,D1722&gt;3,E1722&lt;0,E1722&gt;3,F1722&lt;0,F1722&gt;3),1,0)))</x:f>
      </x:c>
      <x:c r="K1722">
        <x:f>IF(A1722="","",IF(G1722="",1,0))</x:f>
      </x:c>
      <x:c r="L1722">
        <x:f>IF(A1722="","",IF(COUNTIFS($A$5:$A$2004,A1722,$C$5:$C$2004,C1722)&gt;1,1,0))</x:f>
      </x:c>
    </x:row>
    <x:row r="1723">
      <x:c r="A1723" s="8" t="n"/>
      <x:c r="B1723" s="8" t="n"/>
      <x:c r="C1723" s="8" t="n"/>
      <x:c r="D1723" s="8" t="n"/>
      <x:c r="E1723" s="8" t="n"/>
      <x:c r="F1723" s="8" t="n"/>
      <x:c r="G1723" s="7">
        <x:f>IF(A1723="","",IF(01_Parametres!$B$11="Oui",IF((01_Parametres!$B$4*(D1723&gt;0)+01_Parametres!$B$5*(E1723&gt;0)+01_Parametres!$B$6*(F1723&gt;0))=0,"",(01_Parametres!$B$4*IF(D1723&gt;0,D1723,0)+01_Parametres!$B$5*IF(E1723&gt;0,E1723,0)+01_Parametres!$B$6*IF(F1723&gt;0,F1723,0))/(01_Parametres!$B$4*(D1723&gt;0)+01_Parametres!$B$5*(E1723&gt;0)+01_Parametres!$B$6*(F1723&gt;0))),IF(01_Parametres!$B$8=0,"",(01_Parametres!$B$4*D1723+01_Parametres!$B$5*E1723+01_Parametres!$B$6*F1723)/01_Parametres!$B$8)))</x:f>
      </x:c>
      <x:c r="H1723">
        <x:f>IFERROR(VLOOKUP(C1723,02_Referentiels!$A$20:$D$99,3,FALSE),"")</x:f>
      </x:c>
      <x:c r="I1723">
        <x:f>IFERROR(VLOOKUP(B1723,02_Referentiels!$A$5:$C$16,2,FALSE),"")</x:f>
      </x:c>
      <x:c r="J1723">
        <x:f>IF(A1723="","",IF(OR(D1723="",E1723="",F1723=""),1,IF(OR(D1723&lt;0,D1723&gt;3,E1723&lt;0,E1723&gt;3,F1723&lt;0,F1723&gt;3),1,0)))</x:f>
      </x:c>
      <x:c r="K1723">
        <x:f>IF(A1723="","",IF(G1723="",1,0))</x:f>
      </x:c>
      <x:c r="L1723">
        <x:f>IF(A1723="","",IF(COUNTIFS($A$5:$A$2004,A1723,$C$5:$C$2004,C1723)&gt;1,1,0))</x:f>
      </x:c>
    </x:row>
    <x:row r="1724">
      <x:c r="A1724" s="8" t="n"/>
      <x:c r="B1724" s="8" t="n"/>
      <x:c r="C1724" s="8" t="n"/>
      <x:c r="D1724" s="8" t="n"/>
      <x:c r="E1724" s="8" t="n"/>
      <x:c r="F1724" s="8" t="n"/>
      <x:c r="G1724" s="7">
        <x:f>IF(A1724="","",IF(01_Parametres!$B$11="Oui",IF((01_Parametres!$B$4*(D1724&gt;0)+01_Parametres!$B$5*(E1724&gt;0)+01_Parametres!$B$6*(F1724&gt;0))=0,"",(01_Parametres!$B$4*IF(D1724&gt;0,D1724,0)+01_Parametres!$B$5*IF(E1724&gt;0,E1724,0)+01_Parametres!$B$6*IF(F1724&gt;0,F1724,0))/(01_Parametres!$B$4*(D1724&gt;0)+01_Parametres!$B$5*(E1724&gt;0)+01_Parametres!$B$6*(F1724&gt;0))),IF(01_Parametres!$B$8=0,"",(01_Parametres!$B$4*D1724+01_Parametres!$B$5*E1724+01_Parametres!$B$6*F1724)/01_Parametres!$B$8)))</x:f>
      </x:c>
      <x:c r="H1724">
        <x:f>IFERROR(VLOOKUP(C1724,02_Referentiels!$A$20:$D$99,3,FALSE),"")</x:f>
      </x:c>
      <x:c r="I1724">
        <x:f>IFERROR(VLOOKUP(B1724,02_Referentiels!$A$5:$C$16,2,FALSE),"")</x:f>
      </x:c>
      <x:c r="J1724">
        <x:f>IF(A1724="","",IF(OR(D1724="",E1724="",F1724=""),1,IF(OR(D1724&lt;0,D1724&gt;3,E1724&lt;0,E1724&gt;3,F1724&lt;0,F1724&gt;3),1,0)))</x:f>
      </x:c>
      <x:c r="K1724">
        <x:f>IF(A1724="","",IF(G1724="",1,0))</x:f>
      </x:c>
      <x:c r="L1724">
        <x:f>IF(A1724="","",IF(COUNTIFS($A$5:$A$2004,A1724,$C$5:$C$2004,C1724)&gt;1,1,0))</x:f>
      </x:c>
    </x:row>
    <x:row r="1725">
      <x:c r="A1725" s="8" t="n"/>
      <x:c r="B1725" s="8" t="n"/>
      <x:c r="C1725" s="8" t="n"/>
      <x:c r="D1725" s="8" t="n"/>
      <x:c r="E1725" s="8" t="n"/>
      <x:c r="F1725" s="8" t="n"/>
      <x:c r="G1725" s="7">
        <x:f>IF(A1725="","",IF(01_Parametres!$B$11="Oui",IF((01_Parametres!$B$4*(D1725&gt;0)+01_Parametres!$B$5*(E1725&gt;0)+01_Parametres!$B$6*(F1725&gt;0))=0,"",(01_Parametres!$B$4*IF(D1725&gt;0,D1725,0)+01_Parametres!$B$5*IF(E1725&gt;0,E1725,0)+01_Parametres!$B$6*IF(F1725&gt;0,F1725,0))/(01_Parametres!$B$4*(D1725&gt;0)+01_Parametres!$B$5*(E1725&gt;0)+01_Parametres!$B$6*(F1725&gt;0))),IF(01_Parametres!$B$8=0,"",(01_Parametres!$B$4*D1725+01_Parametres!$B$5*E1725+01_Parametres!$B$6*F1725)/01_Parametres!$B$8)))</x:f>
      </x:c>
      <x:c r="H1725">
        <x:f>IFERROR(VLOOKUP(C1725,02_Referentiels!$A$20:$D$99,3,FALSE),"")</x:f>
      </x:c>
      <x:c r="I1725">
        <x:f>IFERROR(VLOOKUP(B1725,02_Referentiels!$A$5:$C$16,2,FALSE),"")</x:f>
      </x:c>
      <x:c r="J1725">
        <x:f>IF(A1725="","",IF(OR(D1725="",E1725="",F1725=""),1,IF(OR(D1725&lt;0,D1725&gt;3,E1725&lt;0,E1725&gt;3,F1725&lt;0,F1725&gt;3),1,0)))</x:f>
      </x:c>
      <x:c r="K1725">
        <x:f>IF(A1725="","",IF(G1725="",1,0))</x:f>
      </x:c>
      <x:c r="L1725">
        <x:f>IF(A1725="","",IF(COUNTIFS($A$5:$A$2004,A1725,$C$5:$C$2004,C1725)&gt;1,1,0))</x:f>
      </x:c>
    </x:row>
    <x:row r="1726">
      <x:c r="A1726" s="8" t="n"/>
      <x:c r="B1726" s="8" t="n"/>
      <x:c r="C1726" s="8" t="n"/>
      <x:c r="D1726" s="8" t="n"/>
      <x:c r="E1726" s="8" t="n"/>
      <x:c r="F1726" s="8" t="n"/>
      <x:c r="G1726" s="7">
        <x:f>IF(A1726="","",IF(01_Parametres!$B$11="Oui",IF((01_Parametres!$B$4*(D1726&gt;0)+01_Parametres!$B$5*(E1726&gt;0)+01_Parametres!$B$6*(F1726&gt;0))=0,"",(01_Parametres!$B$4*IF(D1726&gt;0,D1726,0)+01_Parametres!$B$5*IF(E1726&gt;0,E1726,0)+01_Parametres!$B$6*IF(F1726&gt;0,F1726,0))/(01_Parametres!$B$4*(D1726&gt;0)+01_Parametres!$B$5*(E1726&gt;0)+01_Parametres!$B$6*(F1726&gt;0))),IF(01_Parametres!$B$8=0,"",(01_Parametres!$B$4*D1726+01_Parametres!$B$5*E1726+01_Parametres!$B$6*F1726)/01_Parametres!$B$8)))</x:f>
      </x:c>
      <x:c r="H1726">
        <x:f>IFERROR(VLOOKUP(C1726,02_Referentiels!$A$20:$D$99,3,FALSE),"")</x:f>
      </x:c>
      <x:c r="I1726">
        <x:f>IFERROR(VLOOKUP(B1726,02_Referentiels!$A$5:$C$16,2,FALSE),"")</x:f>
      </x:c>
      <x:c r="J1726">
        <x:f>IF(A1726="","",IF(OR(D1726="",E1726="",F1726=""),1,IF(OR(D1726&lt;0,D1726&gt;3,E1726&lt;0,E1726&gt;3,F1726&lt;0,F1726&gt;3),1,0)))</x:f>
      </x:c>
      <x:c r="K1726">
        <x:f>IF(A1726="","",IF(G1726="",1,0))</x:f>
      </x:c>
      <x:c r="L1726">
        <x:f>IF(A1726="","",IF(COUNTIFS($A$5:$A$2004,A1726,$C$5:$C$2004,C1726)&gt;1,1,0))</x:f>
      </x:c>
    </x:row>
    <x:row r="1727">
      <x:c r="A1727" s="8" t="n"/>
      <x:c r="B1727" s="8" t="n"/>
      <x:c r="C1727" s="8" t="n"/>
      <x:c r="D1727" s="8" t="n"/>
      <x:c r="E1727" s="8" t="n"/>
      <x:c r="F1727" s="8" t="n"/>
      <x:c r="G1727" s="7">
        <x:f>IF(A1727="","",IF(01_Parametres!$B$11="Oui",IF((01_Parametres!$B$4*(D1727&gt;0)+01_Parametres!$B$5*(E1727&gt;0)+01_Parametres!$B$6*(F1727&gt;0))=0,"",(01_Parametres!$B$4*IF(D1727&gt;0,D1727,0)+01_Parametres!$B$5*IF(E1727&gt;0,E1727,0)+01_Parametres!$B$6*IF(F1727&gt;0,F1727,0))/(01_Parametres!$B$4*(D1727&gt;0)+01_Parametres!$B$5*(E1727&gt;0)+01_Parametres!$B$6*(F1727&gt;0))),IF(01_Parametres!$B$8=0,"",(01_Parametres!$B$4*D1727+01_Parametres!$B$5*E1727+01_Parametres!$B$6*F1727)/01_Parametres!$B$8)))</x:f>
      </x:c>
      <x:c r="H1727">
        <x:f>IFERROR(VLOOKUP(C1727,02_Referentiels!$A$20:$D$99,3,FALSE),"")</x:f>
      </x:c>
      <x:c r="I1727">
        <x:f>IFERROR(VLOOKUP(B1727,02_Referentiels!$A$5:$C$16,2,FALSE),"")</x:f>
      </x:c>
      <x:c r="J1727">
        <x:f>IF(A1727="","",IF(OR(D1727="",E1727="",F1727=""),1,IF(OR(D1727&lt;0,D1727&gt;3,E1727&lt;0,E1727&gt;3,F1727&lt;0,F1727&gt;3),1,0)))</x:f>
      </x:c>
      <x:c r="K1727">
        <x:f>IF(A1727="","",IF(G1727="",1,0))</x:f>
      </x:c>
      <x:c r="L1727">
        <x:f>IF(A1727="","",IF(COUNTIFS($A$5:$A$2004,A1727,$C$5:$C$2004,C1727)&gt;1,1,0))</x:f>
      </x:c>
    </x:row>
    <x:row r="1728">
      <x:c r="A1728" s="8" t="n"/>
      <x:c r="B1728" s="8" t="n"/>
      <x:c r="C1728" s="8" t="n"/>
      <x:c r="D1728" s="8" t="n"/>
      <x:c r="E1728" s="8" t="n"/>
      <x:c r="F1728" s="8" t="n"/>
      <x:c r="G1728" s="7">
        <x:f>IF(A1728="","",IF(01_Parametres!$B$11="Oui",IF((01_Parametres!$B$4*(D1728&gt;0)+01_Parametres!$B$5*(E1728&gt;0)+01_Parametres!$B$6*(F1728&gt;0))=0,"",(01_Parametres!$B$4*IF(D1728&gt;0,D1728,0)+01_Parametres!$B$5*IF(E1728&gt;0,E1728,0)+01_Parametres!$B$6*IF(F1728&gt;0,F1728,0))/(01_Parametres!$B$4*(D1728&gt;0)+01_Parametres!$B$5*(E1728&gt;0)+01_Parametres!$B$6*(F1728&gt;0))),IF(01_Parametres!$B$8=0,"",(01_Parametres!$B$4*D1728+01_Parametres!$B$5*E1728+01_Parametres!$B$6*F1728)/01_Parametres!$B$8)))</x:f>
      </x:c>
      <x:c r="H1728">
        <x:f>IFERROR(VLOOKUP(C1728,02_Referentiels!$A$20:$D$99,3,FALSE),"")</x:f>
      </x:c>
      <x:c r="I1728">
        <x:f>IFERROR(VLOOKUP(B1728,02_Referentiels!$A$5:$C$16,2,FALSE),"")</x:f>
      </x:c>
      <x:c r="J1728">
        <x:f>IF(A1728="","",IF(OR(D1728="",E1728="",F1728=""),1,IF(OR(D1728&lt;0,D1728&gt;3,E1728&lt;0,E1728&gt;3,F1728&lt;0,F1728&gt;3),1,0)))</x:f>
      </x:c>
      <x:c r="K1728">
        <x:f>IF(A1728="","",IF(G1728="",1,0))</x:f>
      </x:c>
      <x:c r="L1728">
        <x:f>IF(A1728="","",IF(COUNTIFS($A$5:$A$2004,A1728,$C$5:$C$2004,C1728)&gt;1,1,0))</x:f>
      </x:c>
    </x:row>
    <x:row r="1729">
      <x:c r="A1729" s="8" t="n"/>
      <x:c r="B1729" s="8" t="n"/>
      <x:c r="C1729" s="8" t="n"/>
      <x:c r="D1729" s="8" t="n"/>
      <x:c r="E1729" s="8" t="n"/>
      <x:c r="F1729" s="8" t="n"/>
      <x:c r="G1729" s="7">
        <x:f>IF(A1729="","",IF(01_Parametres!$B$11="Oui",IF((01_Parametres!$B$4*(D1729&gt;0)+01_Parametres!$B$5*(E1729&gt;0)+01_Parametres!$B$6*(F1729&gt;0))=0,"",(01_Parametres!$B$4*IF(D1729&gt;0,D1729,0)+01_Parametres!$B$5*IF(E1729&gt;0,E1729,0)+01_Parametres!$B$6*IF(F1729&gt;0,F1729,0))/(01_Parametres!$B$4*(D1729&gt;0)+01_Parametres!$B$5*(E1729&gt;0)+01_Parametres!$B$6*(F1729&gt;0))),IF(01_Parametres!$B$8=0,"",(01_Parametres!$B$4*D1729+01_Parametres!$B$5*E1729+01_Parametres!$B$6*F1729)/01_Parametres!$B$8)))</x:f>
      </x:c>
      <x:c r="H1729">
        <x:f>IFERROR(VLOOKUP(C1729,02_Referentiels!$A$20:$D$99,3,FALSE),"")</x:f>
      </x:c>
      <x:c r="I1729">
        <x:f>IFERROR(VLOOKUP(B1729,02_Referentiels!$A$5:$C$16,2,FALSE),"")</x:f>
      </x:c>
      <x:c r="J1729">
        <x:f>IF(A1729="","",IF(OR(D1729="",E1729="",F1729=""),1,IF(OR(D1729&lt;0,D1729&gt;3,E1729&lt;0,E1729&gt;3,F1729&lt;0,F1729&gt;3),1,0)))</x:f>
      </x:c>
      <x:c r="K1729">
        <x:f>IF(A1729="","",IF(G1729="",1,0))</x:f>
      </x:c>
      <x:c r="L1729">
        <x:f>IF(A1729="","",IF(COUNTIFS($A$5:$A$2004,A1729,$C$5:$C$2004,C1729)&gt;1,1,0))</x:f>
      </x:c>
    </x:row>
    <x:row r="1730">
      <x:c r="A1730" s="8" t="n"/>
      <x:c r="B1730" s="8" t="n"/>
      <x:c r="C1730" s="8" t="n"/>
      <x:c r="D1730" s="8" t="n"/>
      <x:c r="E1730" s="8" t="n"/>
      <x:c r="F1730" s="8" t="n"/>
      <x:c r="G1730" s="7">
        <x:f>IF(A1730="","",IF(01_Parametres!$B$11="Oui",IF((01_Parametres!$B$4*(D1730&gt;0)+01_Parametres!$B$5*(E1730&gt;0)+01_Parametres!$B$6*(F1730&gt;0))=0,"",(01_Parametres!$B$4*IF(D1730&gt;0,D1730,0)+01_Parametres!$B$5*IF(E1730&gt;0,E1730,0)+01_Parametres!$B$6*IF(F1730&gt;0,F1730,0))/(01_Parametres!$B$4*(D1730&gt;0)+01_Parametres!$B$5*(E1730&gt;0)+01_Parametres!$B$6*(F1730&gt;0))),IF(01_Parametres!$B$8=0,"",(01_Parametres!$B$4*D1730+01_Parametres!$B$5*E1730+01_Parametres!$B$6*F1730)/01_Parametres!$B$8)))</x:f>
      </x:c>
      <x:c r="H1730">
        <x:f>IFERROR(VLOOKUP(C1730,02_Referentiels!$A$20:$D$99,3,FALSE),"")</x:f>
      </x:c>
      <x:c r="I1730">
        <x:f>IFERROR(VLOOKUP(B1730,02_Referentiels!$A$5:$C$16,2,FALSE),"")</x:f>
      </x:c>
      <x:c r="J1730">
        <x:f>IF(A1730="","",IF(OR(D1730="",E1730="",F1730=""),1,IF(OR(D1730&lt;0,D1730&gt;3,E1730&lt;0,E1730&gt;3,F1730&lt;0,F1730&gt;3),1,0)))</x:f>
      </x:c>
      <x:c r="K1730">
        <x:f>IF(A1730="","",IF(G1730="",1,0))</x:f>
      </x:c>
      <x:c r="L1730">
        <x:f>IF(A1730="","",IF(COUNTIFS($A$5:$A$2004,A1730,$C$5:$C$2004,C1730)&gt;1,1,0))</x:f>
      </x:c>
    </x:row>
    <x:row r="1731">
      <x:c r="A1731" s="8" t="n"/>
      <x:c r="B1731" s="8" t="n"/>
      <x:c r="C1731" s="8" t="n"/>
      <x:c r="D1731" s="8" t="n"/>
      <x:c r="E1731" s="8" t="n"/>
      <x:c r="F1731" s="8" t="n"/>
      <x:c r="G1731" s="7">
        <x:f>IF(A1731="","",IF(01_Parametres!$B$11="Oui",IF((01_Parametres!$B$4*(D1731&gt;0)+01_Parametres!$B$5*(E1731&gt;0)+01_Parametres!$B$6*(F1731&gt;0))=0,"",(01_Parametres!$B$4*IF(D1731&gt;0,D1731,0)+01_Parametres!$B$5*IF(E1731&gt;0,E1731,0)+01_Parametres!$B$6*IF(F1731&gt;0,F1731,0))/(01_Parametres!$B$4*(D1731&gt;0)+01_Parametres!$B$5*(E1731&gt;0)+01_Parametres!$B$6*(F1731&gt;0))),IF(01_Parametres!$B$8=0,"",(01_Parametres!$B$4*D1731+01_Parametres!$B$5*E1731+01_Parametres!$B$6*F1731)/01_Parametres!$B$8)))</x:f>
      </x:c>
      <x:c r="H1731">
        <x:f>IFERROR(VLOOKUP(C1731,02_Referentiels!$A$20:$D$99,3,FALSE),"")</x:f>
      </x:c>
      <x:c r="I1731">
        <x:f>IFERROR(VLOOKUP(B1731,02_Referentiels!$A$5:$C$16,2,FALSE),"")</x:f>
      </x:c>
      <x:c r="J1731">
        <x:f>IF(A1731="","",IF(OR(D1731="",E1731="",F1731=""),1,IF(OR(D1731&lt;0,D1731&gt;3,E1731&lt;0,E1731&gt;3,F1731&lt;0,F1731&gt;3),1,0)))</x:f>
      </x:c>
      <x:c r="K1731">
        <x:f>IF(A1731="","",IF(G1731="",1,0))</x:f>
      </x:c>
      <x:c r="L1731">
        <x:f>IF(A1731="","",IF(COUNTIFS($A$5:$A$2004,A1731,$C$5:$C$2004,C1731)&gt;1,1,0))</x:f>
      </x:c>
    </x:row>
    <x:row r="1732">
      <x:c r="A1732" s="8" t="n"/>
      <x:c r="B1732" s="8" t="n"/>
      <x:c r="C1732" s="8" t="n"/>
      <x:c r="D1732" s="8" t="n"/>
      <x:c r="E1732" s="8" t="n"/>
      <x:c r="F1732" s="8" t="n"/>
      <x:c r="G1732" s="7">
        <x:f>IF(A1732="","",IF(01_Parametres!$B$11="Oui",IF((01_Parametres!$B$4*(D1732&gt;0)+01_Parametres!$B$5*(E1732&gt;0)+01_Parametres!$B$6*(F1732&gt;0))=0,"",(01_Parametres!$B$4*IF(D1732&gt;0,D1732,0)+01_Parametres!$B$5*IF(E1732&gt;0,E1732,0)+01_Parametres!$B$6*IF(F1732&gt;0,F1732,0))/(01_Parametres!$B$4*(D1732&gt;0)+01_Parametres!$B$5*(E1732&gt;0)+01_Parametres!$B$6*(F1732&gt;0))),IF(01_Parametres!$B$8=0,"",(01_Parametres!$B$4*D1732+01_Parametres!$B$5*E1732+01_Parametres!$B$6*F1732)/01_Parametres!$B$8)))</x:f>
      </x:c>
      <x:c r="H1732">
        <x:f>IFERROR(VLOOKUP(C1732,02_Referentiels!$A$20:$D$99,3,FALSE),"")</x:f>
      </x:c>
      <x:c r="I1732">
        <x:f>IFERROR(VLOOKUP(B1732,02_Referentiels!$A$5:$C$16,2,FALSE),"")</x:f>
      </x:c>
      <x:c r="J1732">
        <x:f>IF(A1732="","",IF(OR(D1732="",E1732="",F1732=""),1,IF(OR(D1732&lt;0,D1732&gt;3,E1732&lt;0,E1732&gt;3,F1732&lt;0,F1732&gt;3),1,0)))</x:f>
      </x:c>
      <x:c r="K1732">
        <x:f>IF(A1732="","",IF(G1732="",1,0))</x:f>
      </x:c>
      <x:c r="L1732">
        <x:f>IF(A1732="","",IF(COUNTIFS($A$5:$A$2004,A1732,$C$5:$C$2004,C1732)&gt;1,1,0))</x:f>
      </x:c>
    </x:row>
    <x:row r="1733">
      <x:c r="A1733" s="8" t="n"/>
      <x:c r="B1733" s="8" t="n"/>
      <x:c r="C1733" s="8" t="n"/>
      <x:c r="D1733" s="8" t="n"/>
      <x:c r="E1733" s="8" t="n"/>
      <x:c r="F1733" s="8" t="n"/>
      <x:c r="G1733" s="7">
        <x:f>IF(A1733="","",IF(01_Parametres!$B$11="Oui",IF((01_Parametres!$B$4*(D1733&gt;0)+01_Parametres!$B$5*(E1733&gt;0)+01_Parametres!$B$6*(F1733&gt;0))=0,"",(01_Parametres!$B$4*IF(D1733&gt;0,D1733,0)+01_Parametres!$B$5*IF(E1733&gt;0,E1733,0)+01_Parametres!$B$6*IF(F1733&gt;0,F1733,0))/(01_Parametres!$B$4*(D1733&gt;0)+01_Parametres!$B$5*(E1733&gt;0)+01_Parametres!$B$6*(F1733&gt;0))),IF(01_Parametres!$B$8=0,"",(01_Parametres!$B$4*D1733+01_Parametres!$B$5*E1733+01_Parametres!$B$6*F1733)/01_Parametres!$B$8)))</x:f>
      </x:c>
      <x:c r="H1733">
        <x:f>IFERROR(VLOOKUP(C1733,02_Referentiels!$A$20:$D$99,3,FALSE),"")</x:f>
      </x:c>
      <x:c r="I1733">
        <x:f>IFERROR(VLOOKUP(B1733,02_Referentiels!$A$5:$C$16,2,FALSE),"")</x:f>
      </x:c>
      <x:c r="J1733">
        <x:f>IF(A1733="","",IF(OR(D1733="",E1733="",F1733=""),1,IF(OR(D1733&lt;0,D1733&gt;3,E1733&lt;0,E1733&gt;3,F1733&lt;0,F1733&gt;3),1,0)))</x:f>
      </x:c>
      <x:c r="K1733">
        <x:f>IF(A1733="","",IF(G1733="",1,0))</x:f>
      </x:c>
      <x:c r="L1733">
        <x:f>IF(A1733="","",IF(COUNTIFS($A$5:$A$2004,A1733,$C$5:$C$2004,C1733)&gt;1,1,0))</x:f>
      </x:c>
    </x:row>
    <x:row r="1734">
      <x:c r="A1734" s="8" t="n"/>
      <x:c r="B1734" s="8" t="n"/>
      <x:c r="C1734" s="8" t="n"/>
      <x:c r="D1734" s="8" t="n"/>
      <x:c r="E1734" s="8" t="n"/>
      <x:c r="F1734" s="8" t="n"/>
      <x:c r="G1734" s="7">
        <x:f>IF(A1734="","",IF(01_Parametres!$B$11="Oui",IF((01_Parametres!$B$4*(D1734&gt;0)+01_Parametres!$B$5*(E1734&gt;0)+01_Parametres!$B$6*(F1734&gt;0))=0,"",(01_Parametres!$B$4*IF(D1734&gt;0,D1734,0)+01_Parametres!$B$5*IF(E1734&gt;0,E1734,0)+01_Parametres!$B$6*IF(F1734&gt;0,F1734,0))/(01_Parametres!$B$4*(D1734&gt;0)+01_Parametres!$B$5*(E1734&gt;0)+01_Parametres!$B$6*(F1734&gt;0))),IF(01_Parametres!$B$8=0,"",(01_Parametres!$B$4*D1734+01_Parametres!$B$5*E1734+01_Parametres!$B$6*F1734)/01_Parametres!$B$8)))</x:f>
      </x:c>
      <x:c r="H1734">
        <x:f>IFERROR(VLOOKUP(C1734,02_Referentiels!$A$20:$D$99,3,FALSE),"")</x:f>
      </x:c>
      <x:c r="I1734">
        <x:f>IFERROR(VLOOKUP(B1734,02_Referentiels!$A$5:$C$16,2,FALSE),"")</x:f>
      </x:c>
      <x:c r="J1734">
        <x:f>IF(A1734="","",IF(OR(D1734="",E1734="",F1734=""),1,IF(OR(D1734&lt;0,D1734&gt;3,E1734&lt;0,E1734&gt;3,F1734&lt;0,F1734&gt;3),1,0)))</x:f>
      </x:c>
      <x:c r="K1734">
        <x:f>IF(A1734="","",IF(G1734="",1,0))</x:f>
      </x:c>
      <x:c r="L1734">
        <x:f>IF(A1734="","",IF(COUNTIFS($A$5:$A$2004,A1734,$C$5:$C$2004,C1734)&gt;1,1,0))</x:f>
      </x:c>
    </x:row>
    <x:row r="1735">
      <x:c r="A1735" s="8" t="n"/>
      <x:c r="B1735" s="8" t="n"/>
      <x:c r="C1735" s="8" t="n"/>
      <x:c r="D1735" s="8" t="n"/>
      <x:c r="E1735" s="8" t="n"/>
      <x:c r="F1735" s="8" t="n"/>
      <x:c r="G1735" s="7">
        <x:f>IF(A1735="","",IF(01_Parametres!$B$11="Oui",IF((01_Parametres!$B$4*(D1735&gt;0)+01_Parametres!$B$5*(E1735&gt;0)+01_Parametres!$B$6*(F1735&gt;0))=0,"",(01_Parametres!$B$4*IF(D1735&gt;0,D1735,0)+01_Parametres!$B$5*IF(E1735&gt;0,E1735,0)+01_Parametres!$B$6*IF(F1735&gt;0,F1735,0))/(01_Parametres!$B$4*(D1735&gt;0)+01_Parametres!$B$5*(E1735&gt;0)+01_Parametres!$B$6*(F1735&gt;0))),IF(01_Parametres!$B$8=0,"",(01_Parametres!$B$4*D1735+01_Parametres!$B$5*E1735+01_Parametres!$B$6*F1735)/01_Parametres!$B$8)))</x:f>
      </x:c>
      <x:c r="H1735">
        <x:f>IFERROR(VLOOKUP(C1735,02_Referentiels!$A$20:$D$99,3,FALSE),"")</x:f>
      </x:c>
      <x:c r="I1735">
        <x:f>IFERROR(VLOOKUP(B1735,02_Referentiels!$A$5:$C$16,2,FALSE),"")</x:f>
      </x:c>
      <x:c r="J1735">
        <x:f>IF(A1735="","",IF(OR(D1735="",E1735="",F1735=""),1,IF(OR(D1735&lt;0,D1735&gt;3,E1735&lt;0,E1735&gt;3,F1735&lt;0,F1735&gt;3),1,0)))</x:f>
      </x:c>
      <x:c r="K1735">
        <x:f>IF(A1735="","",IF(G1735="",1,0))</x:f>
      </x:c>
      <x:c r="L1735">
        <x:f>IF(A1735="","",IF(COUNTIFS($A$5:$A$2004,A1735,$C$5:$C$2004,C1735)&gt;1,1,0))</x:f>
      </x:c>
    </x:row>
    <x:row r="1736">
      <x:c r="A1736" s="8" t="n"/>
      <x:c r="B1736" s="8" t="n"/>
      <x:c r="C1736" s="8" t="n"/>
      <x:c r="D1736" s="8" t="n"/>
      <x:c r="E1736" s="8" t="n"/>
      <x:c r="F1736" s="8" t="n"/>
      <x:c r="G1736" s="7">
        <x:f>IF(A1736="","",IF(01_Parametres!$B$11="Oui",IF((01_Parametres!$B$4*(D1736&gt;0)+01_Parametres!$B$5*(E1736&gt;0)+01_Parametres!$B$6*(F1736&gt;0))=0,"",(01_Parametres!$B$4*IF(D1736&gt;0,D1736,0)+01_Parametres!$B$5*IF(E1736&gt;0,E1736,0)+01_Parametres!$B$6*IF(F1736&gt;0,F1736,0))/(01_Parametres!$B$4*(D1736&gt;0)+01_Parametres!$B$5*(E1736&gt;0)+01_Parametres!$B$6*(F1736&gt;0))),IF(01_Parametres!$B$8=0,"",(01_Parametres!$B$4*D1736+01_Parametres!$B$5*E1736+01_Parametres!$B$6*F1736)/01_Parametres!$B$8)))</x:f>
      </x:c>
      <x:c r="H1736">
        <x:f>IFERROR(VLOOKUP(C1736,02_Referentiels!$A$20:$D$99,3,FALSE),"")</x:f>
      </x:c>
      <x:c r="I1736">
        <x:f>IFERROR(VLOOKUP(B1736,02_Referentiels!$A$5:$C$16,2,FALSE),"")</x:f>
      </x:c>
      <x:c r="J1736">
        <x:f>IF(A1736="","",IF(OR(D1736="",E1736="",F1736=""),1,IF(OR(D1736&lt;0,D1736&gt;3,E1736&lt;0,E1736&gt;3,F1736&lt;0,F1736&gt;3),1,0)))</x:f>
      </x:c>
      <x:c r="K1736">
        <x:f>IF(A1736="","",IF(G1736="",1,0))</x:f>
      </x:c>
      <x:c r="L1736">
        <x:f>IF(A1736="","",IF(COUNTIFS($A$5:$A$2004,A1736,$C$5:$C$2004,C1736)&gt;1,1,0))</x:f>
      </x:c>
    </x:row>
    <x:row r="1737">
      <x:c r="A1737" s="8" t="n"/>
      <x:c r="B1737" s="8" t="n"/>
      <x:c r="C1737" s="8" t="n"/>
      <x:c r="D1737" s="8" t="n"/>
      <x:c r="E1737" s="8" t="n"/>
      <x:c r="F1737" s="8" t="n"/>
      <x:c r="G1737" s="7">
        <x:f>IF(A1737="","",IF(01_Parametres!$B$11="Oui",IF((01_Parametres!$B$4*(D1737&gt;0)+01_Parametres!$B$5*(E1737&gt;0)+01_Parametres!$B$6*(F1737&gt;0))=0,"",(01_Parametres!$B$4*IF(D1737&gt;0,D1737,0)+01_Parametres!$B$5*IF(E1737&gt;0,E1737,0)+01_Parametres!$B$6*IF(F1737&gt;0,F1737,0))/(01_Parametres!$B$4*(D1737&gt;0)+01_Parametres!$B$5*(E1737&gt;0)+01_Parametres!$B$6*(F1737&gt;0))),IF(01_Parametres!$B$8=0,"",(01_Parametres!$B$4*D1737+01_Parametres!$B$5*E1737+01_Parametres!$B$6*F1737)/01_Parametres!$B$8)))</x:f>
      </x:c>
      <x:c r="H1737">
        <x:f>IFERROR(VLOOKUP(C1737,02_Referentiels!$A$20:$D$99,3,FALSE),"")</x:f>
      </x:c>
      <x:c r="I1737">
        <x:f>IFERROR(VLOOKUP(B1737,02_Referentiels!$A$5:$C$16,2,FALSE),"")</x:f>
      </x:c>
      <x:c r="J1737">
        <x:f>IF(A1737="","",IF(OR(D1737="",E1737="",F1737=""),1,IF(OR(D1737&lt;0,D1737&gt;3,E1737&lt;0,E1737&gt;3,F1737&lt;0,F1737&gt;3),1,0)))</x:f>
      </x:c>
      <x:c r="K1737">
        <x:f>IF(A1737="","",IF(G1737="",1,0))</x:f>
      </x:c>
      <x:c r="L1737">
        <x:f>IF(A1737="","",IF(COUNTIFS($A$5:$A$2004,A1737,$C$5:$C$2004,C1737)&gt;1,1,0))</x:f>
      </x:c>
    </x:row>
    <x:row r="1738">
      <x:c r="A1738" s="8" t="n"/>
      <x:c r="B1738" s="8" t="n"/>
      <x:c r="C1738" s="8" t="n"/>
      <x:c r="D1738" s="8" t="n"/>
      <x:c r="E1738" s="8" t="n"/>
      <x:c r="F1738" s="8" t="n"/>
      <x:c r="G1738" s="7">
        <x:f>IF(A1738="","",IF(01_Parametres!$B$11="Oui",IF((01_Parametres!$B$4*(D1738&gt;0)+01_Parametres!$B$5*(E1738&gt;0)+01_Parametres!$B$6*(F1738&gt;0))=0,"",(01_Parametres!$B$4*IF(D1738&gt;0,D1738,0)+01_Parametres!$B$5*IF(E1738&gt;0,E1738,0)+01_Parametres!$B$6*IF(F1738&gt;0,F1738,0))/(01_Parametres!$B$4*(D1738&gt;0)+01_Parametres!$B$5*(E1738&gt;0)+01_Parametres!$B$6*(F1738&gt;0))),IF(01_Parametres!$B$8=0,"",(01_Parametres!$B$4*D1738+01_Parametres!$B$5*E1738+01_Parametres!$B$6*F1738)/01_Parametres!$B$8)))</x:f>
      </x:c>
      <x:c r="H1738">
        <x:f>IFERROR(VLOOKUP(C1738,02_Referentiels!$A$20:$D$99,3,FALSE),"")</x:f>
      </x:c>
      <x:c r="I1738">
        <x:f>IFERROR(VLOOKUP(B1738,02_Referentiels!$A$5:$C$16,2,FALSE),"")</x:f>
      </x:c>
      <x:c r="J1738">
        <x:f>IF(A1738="","",IF(OR(D1738="",E1738="",F1738=""),1,IF(OR(D1738&lt;0,D1738&gt;3,E1738&lt;0,E1738&gt;3,F1738&lt;0,F1738&gt;3),1,0)))</x:f>
      </x:c>
      <x:c r="K1738">
        <x:f>IF(A1738="","",IF(G1738="",1,0))</x:f>
      </x:c>
      <x:c r="L1738">
        <x:f>IF(A1738="","",IF(COUNTIFS($A$5:$A$2004,A1738,$C$5:$C$2004,C1738)&gt;1,1,0))</x:f>
      </x:c>
    </x:row>
    <x:row r="1739">
      <x:c r="A1739" s="8" t="n"/>
      <x:c r="B1739" s="8" t="n"/>
      <x:c r="C1739" s="8" t="n"/>
      <x:c r="D1739" s="8" t="n"/>
      <x:c r="E1739" s="8" t="n"/>
      <x:c r="F1739" s="8" t="n"/>
      <x:c r="G1739" s="7">
        <x:f>IF(A1739="","",IF(01_Parametres!$B$11="Oui",IF((01_Parametres!$B$4*(D1739&gt;0)+01_Parametres!$B$5*(E1739&gt;0)+01_Parametres!$B$6*(F1739&gt;0))=0,"",(01_Parametres!$B$4*IF(D1739&gt;0,D1739,0)+01_Parametres!$B$5*IF(E1739&gt;0,E1739,0)+01_Parametres!$B$6*IF(F1739&gt;0,F1739,0))/(01_Parametres!$B$4*(D1739&gt;0)+01_Parametres!$B$5*(E1739&gt;0)+01_Parametres!$B$6*(F1739&gt;0))),IF(01_Parametres!$B$8=0,"",(01_Parametres!$B$4*D1739+01_Parametres!$B$5*E1739+01_Parametres!$B$6*F1739)/01_Parametres!$B$8)))</x:f>
      </x:c>
      <x:c r="H1739">
        <x:f>IFERROR(VLOOKUP(C1739,02_Referentiels!$A$20:$D$99,3,FALSE),"")</x:f>
      </x:c>
      <x:c r="I1739">
        <x:f>IFERROR(VLOOKUP(B1739,02_Referentiels!$A$5:$C$16,2,FALSE),"")</x:f>
      </x:c>
      <x:c r="J1739">
        <x:f>IF(A1739="","",IF(OR(D1739="",E1739="",F1739=""),1,IF(OR(D1739&lt;0,D1739&gt;3,E1739&lt;0,E1739&gt;3,F1739&lt;0,F1739&gt;3),1,0)))</x:f>
      </x:c>
      <x:c r="K1739">
        <x:f>IF(A1739="","",IF(G1739="",1,0))</x:f>
      </x:c>
      <x:c r="L1739">
        <x:f>IF(A1739="","",IF(COUNTIFS($A$5:$A$2004,A1739,$C$5:$C$2004,C1739)&gt;1,1,0))</x:f>
      </x:c>
    </x:row>
    <x:row r="1740">
      <x:c r="A1740" s="8" t="n"/>
      <x:c r="B1740" s="8" t="n"/>
      <x:c r="C1740" s="8" t="n"/>
      <x:c r="D1740" s="8" t="n"/>
      <x:c r="E1740" s="8" t="n"/>
      <x:c r="F1740" s="8" t="n"/>
      <x:c r="G1740" s="7">
        <x:f>IF(A1740="","",IF(01_Parametres!$B$11="Oui",IF((01_Parametres!$B$4*(D1740&gt;0)+01_Parametres!$B$5*(E1740&gt;0)+01_Parametres!$B$6*(F1740&gt;0))=0,"",(01_Parametres!$B$4*IF(D1740&gt;0,D1740,0)+01_Parametres!$B$5*IF(E1740&gt;0,E1740,0)+01_Parametres!$B$6*IF(F1740&gt;0,F1740,0))/(01_Parametres!$B$4*(D1740&gt;0)+01_Parametres!$B$5*(E1740&gt;0)+01_Parametres!$B$6*(F1740&gt;0))),IF(01_Parametres!$B$8=0,"",(01_Parametres!$B$4*D1740+01_Parametres!$B$5*E1740+01_Parametres!$B$6*F1740)/01_Parametres!$B$8)))</x:f>
      </x:c>
      <x:c r="H1740">
        <x:f>IFERROR(VLOOKUP(C1740,02_Referentiels!$A$20:$D$99,3,FALSE),"")</x:f>
      </x:c>
      <x:c r="I1740">
        <x:f>IFERROR(VLOOKUP(B1740,02_Referentiels!$A$5:$C$16,2,FALSE),"")</x:f>
      </x:c>
      <x:c r="J1740">
        <x:f>IF(A1740="","",IF(OR(D1740="",E1740="",F1740=""),1,IF(OR(D1740&lt;0,D1740&gt;3,E1740&lt;0,E1740&gt;3,F1740&lt;0,F1740&gt;3),1,0)))</x:f>
      </x:c>
      <x:c r="K1740">
        <x:f>IF(A1740="","",IF(G1740="",1,0))</x:f>
      </x:c>
      <x:c r="L1740">
        <x:f>IF(A1740="","",IF(COUNTIFS($A$5:$A$2004,A1740,$C$5:$C$2004,C1740)&gt;1,1,0))</x:f>
      </x:c>
    </x:row>
    <x:row r="1741">
      <x:c r="A1741" s="8" t="n"/>
      <x:c r="B1741" s="8" t="n"/>
      <x:c r="C1741" s="8" t="n"/>
      <x:c r="D1741" s="8" t="n"/>
      <x:c r="E1741" s="8" t="n"/>
      <x:c r="F1741" s="8" t="n"/>
      <x:c r="G1741" s="7">
        <x:f>IF(A1741="","",IF(01_Parametres!$B$11="Oui",IF((01_Parametres!$B$4*(D1741&gt;0)+01_Parametres!$B$5*(E1741&gt;0)+01_Parametres!$B$6*(F1741&gt;0))=0,"",(01_Parametres!$B$4*IF(D1741&gt;0,D1741,0)+01_Parametres!$B$5*IF(E1741&gt;0,E1741,0)+01_Parametres!$B$6*IF(F1741&gt;0,F1741,0))/(01_Parametres!$B$4*(D1741&gt;0)+01_Parametres!$B$5*(E1741&gt;0)+01_Parametres!$B$6*(F1741&gt;0))),IF(01_Parametres!$B$8=0,"",(01_Parametres!$B$4*D1741+01_Parametres!$B$5*E1741+01_Parametres!$B$6*F1741)/01_Parametres!$B$8)))</x:f>
      </x:c>
      <x:c r="H1741">
        <x:f>IFERROR(VLOOKUP(C1741,02_Referentiels!$A$20:$D$99,3,FALSE),"")</x:f>
      </x:c>
      <x:c r="I1741">
        <x:f>IFERROR(VLOOKUP(B1741,02_Referentiels!$A$5:$C$16,2,FALSE),"")</x:f>
      </x:c>
      <x:c r="J1741">
        <x:f>IF(A1741="","",IF(OR(D1741="",E1741="",F1741=""),1,IF(OR(D1741&lt;0,D1741&gt;3,E1741&lt;0,E1741&gt;3,F1741&lt;0,F1741&gt;3),1,0)))</x:f>
      </x:c>
      <x:c r="K1741">
        <x:f>IF(A1741="","",IF(G1741="",1,0))</x:f>
      </x:c>
      <x:c r="L1741">
        <x:f>IF(A1741="","",IF(COUNTIFS($A$5:$A$2004,A1741,$C$5:$C$2004,C1741)&gt;1,1,0))</x:f>
      </x:c>
    </x:row>
    <x:row r="1742">
      <x:c r="A1742" s="8" t="n"/>
      <x:c r="B1742" s="8" t="n"/>
      <x:c r="C1742" s="8" t="n"/>
      <x:c r="D1742" s="8" t="n"/>
      <x:c r="E1742" s="8" t="n"/>
      <x:c r="F1742" s="8" t="n"/>
      <x:c r="G1742" s="7">
        <x:f>IF(A1742="","",IF(01_Parametres!$B$11="Oui",IF((01_Parametres!$B$4*(D1742&gt;0)+01_Parametres!$B$5*(E1742&gt;0)+01_Parametres!$B$6*(F1742&gt;0))=0,"",(01_Parametres!$B$4*IF(D1742&gt;0,D1742,0)+01_Parametres!$B$5*IF(E1742&gt;0,E1742,0)+01_Parametres!$B$6*IF(F1742&gt;0,F1742,0))/(01_Parametres!$B$4*(D1742&gt;0)+01_Parametres!$B$5*(E1742&gt;0)+01_Parametres!$B$6*(F1742&gt;0))),IF(01_Parametres!$B$8=0,"",(01_Parametres!$B$4*D1742+01_Parametres!$B$5*E1742+01_Parametres!$B$6*F1742)/01_Parametres!$B$8)))</x:f>
      </x:c>
      <x:c r="H1742">
        <x:f>IFERROR(VLOOKUP(C1742,02_Referentiels!$A$20:$D$99,3,FALSE),"")</x:f>
      </x:c>
      <x:c r="I1742">
        <x:f>IFERROR(VLOOKUP(B1742,02_Referentiels!$A$5:$C$16,2,FALSE),"")</x:f>
      </x:c>
      <x:c r="J1742">
        <x:f>IF(A1742="","",IF(OR(D1742="",E1742="",F1742=""),1,IF(OR(D1742&lt;0,D1742&gt;3,E1742&lt;0,E1742&gt;3,F1742&lt;0,F1742&gt;3),1,0)))</x:f>
      </x:c>
      <x:c r="K1742">
        <x:f>IF(A1742="","",IF(G1742="",1,0))</x:f>
      </x:c>
      <x:c r="L1742">
        <x:f>IF(A1742="","",IF(COUNTIFS($A$5:$A$2004,A1742,$C$5:$C$2004,C1742)&gt;1,1,0))</x:f>
      </x:c>
    </x:row>
    <x:row r="1743">
      <x:c r="A1743" s="8" t="n"/>
      <x:c r="B1743" s="8" t="n"/>
      <x:c r="C1743" s="8" t="n"/>
      <x:c r="D1743" s="8" t="n"/>
      <x:c r="E1743" s="8" t="n"/>
      <x:c r="F1743" s="8" t="n"/>
      <x:c r="G1743" s="7">
        <x:f>IF(A1743="","",IF(01_Parametres!$B$11="Oui",IF((01_Parametres!$B$4*(D1743&gt;0)+01_Parametres!$B$5*(E1743&gt;0)+01_Parametres!$B$6*(F1743&gt;0))=0,"",(01_Parametres!$B$4*IF(D1743&gt;0,D1743,0)+01_Parametres!$B$5*IF(E1743&gt;0,E1743,0)+01_Parametres!$B$6*IF(F1743&gt;0,F1743,0))/(01_Parametres!$B$4*(D1743&gt;0)+01_Parametres!$B$5*(E1743&gt;0)+01_Parametres!$B$6*(F1743&gt;0))),IF(01_Parametres!$B$8=0,"",(01_Parametres!$B$4*D1743+01_Parametres!$B$5*E1743+01_Parametres!$B$6*F1743)/01_Parametres!$B$8)))</x:f>
      </x:c>
      <x:c r="H1743">
        <x:f>IFERROR(VLOOKUP(C1743,02_Referentiels!$A$20:$D$99,3,FALSE),"")</x:f>
      </x:c>
      <x:c r="I1743">
        <x:f>IFERROR(VLOOKUP(B1743,02_Referentiels!$A$5:$C$16,2,FALSE),"")</x:f>
      </x:c>
      <x:c r="J1743">
        <x:f>IF(A1743="","",IF(OR(D1743="",E1743="",F1743=""),1,IF(OR(D1743&lt;0,D1743&gt;3,E1743&lt;0,E1743&gt;3,F1743&lt;0,F1743&gt;3),1,0)))</x:f>
      </x:c>
      <x:c r="K1743">
        <x:f>IF(A1743="","",IF(G1743="",1,0))</x:f>
      </x:c>
      <x:c r="L1743">
        <x:f>IF(A1743="","",IF(COUNTIFS($A$5:$A$2004,A1743,$C$5:$C$2004,C1743)&gt;1,1,0))</x:f>
      </x:c>
    </x:row>
    <x:row r="1744">
      <x:c r="A1744" s="8" t="n"/>
      <x:c r="B1744" s="8" t="n"/>
      <x:c r="C1744" s="8" t="n"/>
      <x:c r="D1744" s="8" t="n"/>
      <x:c r="E1744" s="8" t="n"/>
      <x:c r="F1744" s="8" t="n"/>
      <x:c r="G1744" s="7">
        <x:f>IF(A1744="","",IF(01_Parametres!$B$11="Oui",IF((01_Parametres!$B$4*(D1744&gt;0)+01_Parametres!$B$5*(E1744&gt;0)+01_Parametres!$B$6*(F1744&gt;0))=0,"",(01_Parametres!$B$4*IF(D1744&gt;0,D1744,0)+01_Parametres!$B$5*IF(E1744&gt;0,E1744,0)+01_Parametres!$B$6*IF(F1744&gt;0,F1744,0))/(01_Parametres!$B$4*(D1744&gt;0)+01_Parametres!$B$5*(E1744&gt;0)+01_Parametres!$B$6*(F1744&gt;0))),IF(01_Parametres!$B$8=0,"",(01_Parametres!$B$4*D1744+01_Parametres!$B$5*E1744+01_Parametres!$B$6*F1744)/01_Parametres!$B$8)))</x:f>
      </x:c>
      <x:c r="H1744">
        <x:f>IFERROR(VLOOKUP(C1744,02_Referentiels!$A$20:$D$99,3,FALSE),"")</x:f>
      </x:c>
      <x:c r="I1744">
        <x:f>IFERROR(VLOOKUP(B1744,02_Referentiels!$A$5:$C$16,2,FALSE),"")</x:f>
      </x:c>
      <x:c r="J1744">
        <x:f>IF(A1744="","",IF(OR(D1744="",E1744="",F1744=""),1,IF(OR(D1744&lt;0,D1744&gt;3,E1744&lt;0,E1744&gt;3,F1744&lt;0,F1744&gt;3),1,0)))</x:f>
      </x:c>
      <x:c r="K1744">
        <x:f>IF(A1744="","",IF(G1744="",1,0))</x:f>
      </x:c>
      <x:c r="L1744">
        <x:f>IF(A1744="","",IF(COUNTIFS($A$5:$A$2004,A1744,$C$5:$C$2004,C1744)&gt;1,1,0))</x:f>
      </x:c>
    </x:row>
    <x:row r="1745">
      <x:c r="A1745" s="8" t="n"/>
      <x:c r="B1745" s="8" t="n"/>
      <x:c r="C1745" s="8" t="n"/>
      <x:c r="D1745" s="8" t="n"/>
      <x:c r="E1745" s="8" t="n"/>
      <x:c r="F1745" s="8" t="n"/>
      <x:c r="G1745" s="7">
        <x:f>IF(A1745="","",IF(01_Parametres!$B$11="Oui",IF((01_Parametres!$B$4*(D1745&gt;0)+01_Parametres!$B$5*(E1745&gt;0)+01_Parametres!$B$6*(F1745&gt;0))=0,"",(01_Parametres!$B$4*IF(D1745&gt;0,D1745,0)+01_Parametres!$B$5*IF(E1745&gt;0,E1745,0)+01_Parametres!$B$6*IF(F1745&gt;0,F1745,0))/(01_Parametres!$B$4*(D1745&gt;0)+01_Parametres!$B$5*(E1745&gt;0)+01_Parametres!$B$6*(F1745&gt;0))),IF(01_Parametres!$B$8=0,"",(01_Parametres!$B$4*D1745+01_Parametres!$B$5*E1745+01_Parametres!$B$6*F1745)/01_Parametres!$B$8)))</x:f>
      </x:c>
      <x:c r="H1745">
        <x:f>IFERROR(VLOOKUP(C1745,02_Referentiels!$A$20:$D$99,3,FALSE),"")</x:f>
      </x:c>
      <x:c r="I1745">
        <x:f>IFERROR(VLOOKUP(B1745,02_Referentiels!$A$5:$C$16,2,FALSE),"")</x:f>
      </x:c>
      <x:c r="J1745">
        <x:f>IF(A1745="","",IF(OR(D1745="",E1745="",F1745=""),1,IF(OR(D1745&lt;0,D1745&gt;3,E1745&lt;0,E1745&gt;3,F1745&lt;0,F1745&gt;3),1,0)))</x:f>
      </x:c>
      <x:c r="K1745">
        <x:f>IF(A1745="","",IF(G1745="",1,0))</x:f>
      </x:c>
      <x:c r="L1745">
        <x:f>IF(A1745="","",IF(COUNTIFS($A$5:$A$2004,A1745,$C$5:$C$2004,C1745)&gt;1,1,0))</x:f>
      </x:c>
    </x:row>
    <x:row r="1746">
      <x:c r="A1746" s="8" t="n"/>
      <x:c r="B1746" s="8" t="n"/>
      <x:c r="C1746" s="8" t="n"/>
      <x:c r="D1746" s="8" t="n"/>
      <x:c r="E1746" s="8" t="n"/>
      <x:c r="F1746" s="8" t="n"/>
      <x:c r="G1746" s="7">
        <x:f>IF(A1746="","",IF(01_Parametres!$B$11="Oui",IF((01_Parametres!$B$4*(D1746&gt;0)+01_Parametres!$B$5*(E1746&gt;0)+01_Parametres!$B$6*(F1746&gt;0))=0,"",(01_Parametres!$B$4*IF(D1746&gt;0,D1746,0)+01_Parametres!$B$5*IF(E1746&gt;0,E1746,0)+01_Parametres!$B$6*IF(F1746&gt;0,F1746,0))/(01_Parametres!$B$4*(D1746&gt;0)+01_Parametres!$B$5*(E1746&gt;0)+01_Parametres!$B$6*(F1746&gt;0))),IF(01_Parametres!$B$8=0,"",(01_Parametres!$B$4*D1746+01_Parametres!$B$5*E1746+01_Parametres!$B$6*F1746)/01_Parametres!$B$8)))</x:f>
      </x:c>
      <x:c r="H1746">
        <x:f>IFERROR(VLOOKUP(C1746,02_Referentiels!$A$20:$D$99,3,FALSE),"")</x:f>
      </x:c>
      <x:c r="I1746">
        <x:f>IFERROR(VLOOKUP(B1746,02_Referentiels!$A$5:$C$16,2,FALSE),"")</x:f>
      </x:c>
      <x:c r="J1746">
        <x:f>IF(A1746="","",IF(OR(D1746="",E1746="",F1746=""),1,IF(OR(D1746&lt;0,D1746&gt;3,E1746&lt;0,E1746&gt;3,F1746&lt;0,F1746&gt;3),1,0)))</x:f>
      </x:c>
      <x:c r="K1746">
        <x:f>IF(A1746="","",IF(G1746="",1,0))</x:f>
      </x:c>
      <x:c r="L1746">
        <x:f>IF(A1746="","",IF(COUNTIFS($A$5:$A$2004,A1746,$C$5:$C$2004,C1746)&gt;1,1,0))</x:f>
      </x:c>
    </x:row>
    <x:row r="1747">
      <x:c r="A1747" s="8" t="n"/>
      <x:c r="B1747" s="8" t="n"/>
      <x:c r="C1747" s="8" t="n"/>
      <x:c r="D1747" s="8" t="n"/>
      <x:c r="E1747" s="8" t="n"/>
      <x:c r="F1747" s="8" t="n"/>
      <x:c r="G1747" s="7">
        <x:f>IF(A1747="","",IF(01_Parametres!$B$11="Oui",IF((01_Parametres!$B$4*(D1747&gt;0)+01_Parametres!$B$5*(E1747&gt;0)+01_Parametres!$B$6*(F1747&gt;0))=0,"",(01_Parametres!$B$4*IF(D1747&gt;0,D1747,0)+01_Parametres!$B$5*IF(E1747&gt;0,E1747,0)+01_Parametres!$B$6*IF(F1747&gt;0,F1747,0))/(01_Parametres!$B$4*(D1747&gt;0)+01_Parametres!$B$5*(E1747&gt;0)+01_Parametres!$B$6*(F1747&gt;0))),IF(01_Parametres!$B$8=0,"",(01_Parametres!$B$4*D1747+01_Parametres!$B$5*E1747+01_Parametres!$B$6*F1747)/01_Parametres!$B$8)))</x:f>
      </x:c>
      <x:c r="H1747">
        <x:f>IFERROR(VLOOKUP(C1747,02_Referentiels!$A$20:$D$99,3,FALSE),"")</x:f>
      </x:c>
      <x:c r="I1747">
        <x:f>IFERROR(VLOOKUP(B1747,02_Referentiels!$A$5:$C$16,2,FALSE),"")</x:f>
      </x:c>
      <x:c r="J1747">
        <x:f>IF(A1747="","",IF(OR(D1747="",E1747="",F1747=""),1,IF(OR(D1747&lt;0,D1747&gt;3,E1747&lt;0,E1747&gt;3,F1747&lt;0,F1747&gt;3),1,0)))</x:f>
      </x:c>
      <x:c r="K1747">
        <x:f>IF(A1747="","",IF(G1747="",1,0))</x:f>
      </x:c>
      <x:c r="L1747">
        <x:f>IF(A1747="","",IF(COUNTIFS($A$5:$A$2004,A1747,$C$5:$C$2004,C1747)&gt;1,1,0))</x:f>
      </x:c>
    </x:row>
    <x:row r="1748">
      <x:c r="A1748" s="8" t="n"/>
      <x:c r="B1748" s="8" t="n"/>
      <x:c r="C1748" s="8" t="n"/>
      <x:c r="D1748" s="8" t="n"/>
      <x:c r="E1748" s="8" t="n"/>
      <x:c r="F1748" s="8" t="n"/>
      <x:c r="G1748" s="7">
        <x:f>IF(A1748="","",IF(01_Parametres!$B$11="Oui",IF((01_Parametres!$B$4*(D1748&gt;0)+01_Parametres!$B$5*(E1748&gt;0)+01_Parametres!$B$6*(F1748&gt;0))=0,"",(01_Parametres!$B$4*IF(D1748&gt;0,D1748,0)+01_Parametres!$B$5*IF(E1748&gt;0,E1748,0)+01_Parametres!$B$6*IF(F1748&gt;0,F1748,0))/(01_Parametres!$B$4*(D1748&gt;0)+01_Parametres!$B$5*(E1748&gt;0)+01_Parametres!$B$6*(F1748&gt;0))),IF(01_Parametres!$B$8=0,"",(01_Parametres!$B$4*D1748+01_Parametres!$B$5*E1748+01_Parametres!$B$6*F1748)/01_Parametres!$B$8)))</x:f>
      </x:c>
      <x:c r="H1748">
        <x:f>IFERROR(VLOOKUP(C1748,02_Referentiels!$A$20:$D$99,3,FALSE),"")</x:f>
      </x:c>
      <x:c r="I1748">
        <x:f>IFERROR(VLOOKUP(B1748,02_Referentiels!$A$5:$C$16,2,FALSE),"")</x:f>
      </x:c>
      <x:c r="J1748">
        <x:f>IF(A1748="","",IF(OR(D1748="",E1748="",F1748=""),1,IF(OR(D1748&lt;0,D1748&gt;3,E1748&lt;0,E1748&gt;3,F1748&lt;0,F1748&gt;3),1,0)))</x:f>
      </x:c>
      <x:c r="K1748">
        <x:f>IF(A1748="","",IF(G1748="",1,0))</x:f>
      </x:c>
      <x:c r="L1748">
        <x:f>IF(A1748="","",IF(COUNTIFS($A$5:$A$2004,A1748,$C$5:$C$2004,C1748)&gt;1,1,0))</x:f>
      </x:c>
    </x:row>
    <x:row r="1749">
      <x:c r="A1749" s="8" t="n"/>
      <x:c r="B1749" s="8" t="n"/>
      <x:c r="C1749" s="8" t="n"/>
      <x:c r="D1749" s="8" t="n"/>
      <x:c r="E1749" s="8" t="n"/>
      <x:c r="F1749" s="8" t="n"/>
      <x:c r="G1749" s="7">
        <x:f>IF(A1749="","",IF(01_Parametres!$B$11="Oui",IF((01_Parametres!$B$4*(D1749&gt;0)+01_Parametres!$B$5*(E1749&gt;0)+01_Parametres!$B$6*(F1749&gt;0))=0,"",(01_Parametres!$B$4*IF(D1749&gt;0,D1749,0)+01_Parametres!$B$5*IF(E1749&gt;0,E1749,0)+01_Parametres!$B$6*IF(F1749&gt;0,F1749,0))/(01_Parametres!$B$4*(D1749&gt;0)+01_Parametres!$B$5*(E1749&gt;0)+01_Parametres!$B$6*(F1749&gt;0))),IF(01_Parametres!$B$8=0,"",(01_Parametres!$B$4*D1749+01_Parametres!$B$5*E1749+01_Parametres!$B$6*F1749)/01_Parametres!$B$8)))</x:f>
      </x:c>
      <x:c r="H1749">
        <x:f>IFERROR(VLOOKUP(C1749,02_Referentiels!$A$20:$D$99,3,FALSE),"")</x:f>
      </x:c>
      <x:c r="I1749">
        <x:f>IFERROR(VLOOKUP(B1749,02_Referentiels!$A$5:$C$16,2,FALSE),"")</x:f>
      </x:c>
      <x:c r="J1749">
        <x:f>IF(A1749="","",IF(OR(D1749="",E1749="",F1749=""),1,IF(OR(D1749&lt;0,D1749&gt;3,E1749&lt;0,E1749&gt;3,F1749&lt;0,F1749&gt;3),1,0)))</x:f>
      </x:c>
      <x:c r="K1749">
        <x:f>IF(A1749="","",IF(G1749="",1,0))</x:f>
      </x:c>
      <x:c r="L1749">
        <x:f>IF(A1749="","",IF(COUNTIFS($A$5:$A$2004,A1749,$C$5:$C$2004,C1749)&gt;1,1,0))</x:f>
      </x:c>
    </x:row>
    <x:row r="1750">
      <x:c r="A1750" s="8" t="n"/>
      <x:c r="B1750" s="8" t="n"/>
      <x:c r="C1750" s="8" t="n"/>
      <x:c r="D1750" s="8" t="n"/>
      <x:c r="E1750" s="8" t="n"/>
      <x:c r="F1750" s="8" t="n"/>
      <x:c r="G1750" s="7">
        <x:f>IF(A1750="","",IF(01_Parametres!$B$11="Oui",IF((01_Parametres!$B$4*(D1750&gt;0)+01_Parametres!$B$5*(E1750&gt;0)+01_Parametres!$B$6*(F1750&gt;0))=0,"",(01_Parametres!$B$4*IF(D1750&gt;0,D1750,0)+01_Parametres!$B$5*IF(E1750&gt;0,E1750,0)+01_Parametres!$B$6*IF(F1750&gt;0,F1750,0))/(01_Parametres!$B$4*(D1750&gt;0)+01_Parametres!$B$5*(E1750&gt;0)+01_Parametres!$B$6*(F1750&gt;0))),IF(01_Parametres!$B$8=0,"",(01_Parametres!$B$4*D1750+01_Parametres!$B$5*E1750+01_Parametres!$B$6*F1750)/01_Parametres!$B$8)))</x:f>
      </x:c>
      <x:c r="H1750">
        <x:f>IFERROR(VLOOKUP(C1750,02_Referentiels!$A$20:$D$99,3,FALSE),"")</x:f>
      </x:c>
      <x:c r="I1750">
        <x:f>IFERROR(VLOOKUP(B1750,02_Referentiels!$A$5:$C$16,2,FALSE),"")</x:f>
      </x:c>
      <x:c r="J1750">
        <x:f>IF(A1750="","",IF(OR(D1750="",E1750="",F1750=""),1,IF(OR(D1750&lt;0,D1750&gt;3,E1750&lt;0,E1750&gt;3,F1750&lt;0,F1750&gt;3),1,0)))</x:f>
      </x:c>
      <x:c r="K1750">
        <x:f>IF(A1750="","",IF(G1750="",1,0))</x:f>
      </x:c>
      <x:c r="L1750">
        <x:f>IF(A1750="","",IF(COUNTIFS($A$5:$A$2004,A1750,$C$5:$C$2004,C1750)&gt;1,1,0))</x:f>
      </x:c>
    </x:row>
    <x:row r="1751">
      <x:c r="A1751" s="8" t="n"/>
      <x:c r="B1751" s="8" t="n"/>
      <x:c r="C1751" s="8" t="n"/>
      <x:c r="D1751" s="8" t="n"/>
      <x:c r="E1751" s="8" t="n"/>
      <x:c r="F1751" s="8" t="n"/>
      <x:c r="G1751" s="7">
        <x:f>IF(A1751="","",IF(01_Parametres!$B$11="Oui",IF((01_Parametres!$B$4*(D1751&gt;0)+01_Parametres!$B$5*(E1751&gt;0)+01_Parametres!$B$6*(F1751&gt;0))=0,"",(01_Parametres!$B$4*IF(D1751&gt;0,D1751,0)+01_Parametres!$B$5*IF(E1751&gt;0,E1751,0)+01_Parametres!$B$6*IF(F1751&gt;0,F1751,0))/(01_Parametres!$B$4*(D1751&gt;0)+01_Parametres!$B$5*(E1751&gt;0)+01_Parametres!$B$6*(F1751&gt;0))),IF(01_Parametres!$B$8=0,"",(01_Parametres!$B$4*D1751+01_Parametres!$B$5*E1751+01_Parametres!$B$6*F1751)/01_Parametres!$B$8)))</x:f>
      </x:c>
      <x:c r="H1751">
        <x:f>IFERROR(VLOOKUP(C1751,02_Referentiels!$A$20:$D$99,3,FALSE),"")</x:f>
      </x:c>
      <x:c r="I1751">
        <x:f>IFERROR(VLOOKUP(B1751,02_Referentiels!$A$5:$C$16,2,FALSE),"")</x:f>
      </x:c>
      <x:c r="J1751">
        <x:f>IF(A1751="","",IF(OR(D1751="",E1751="",F1751=""),1,IF(OR(D1751&lt;0,D1751&gt;3,E1751&lt;0,E1751&gt;3,F1751&lt;0,F1751&gt;3),1,0)))</x:f>
      </x:c>
      <x:c r="K1751">
        <x:f>IF(A1751="","",IF(G1751="",1,0))</x:f>
      </x:c>
      <x:c r="L1751">
        <x:f>IF(A1751="","",IF(COUNTIFS($A$5:$A$2004,A1751,$C$5:$C$2004,C1751)&gt;1,1,0))</x:f>
      </x:c>
    </x:row>
    <x:row r="1752">
      <x:c r="A1752" s="8" t="n"/>
      <x:c r="B1752" s="8" t="n"/>
      <x:c r="C1752" s="8" t="n"/>
      <x:c r="D1752" s="8" t="n"/>
      <x:c r="E1752" s="8" t="n"/>
      <x:c r="F1752" s="8" t="n"/>
      <x:c r="G1752" s="7">
        <x:f>IF(A1752="","",IF(01_Parametres!$B$11="Oui",IF((01_Parametres!$B$4*(D1752&gt;0)+01_Parametres!$B$5*(E1752&gt;0)+01_Parametres!$B$6*(F1752&gt;0))=0,"",(01_Parametres!$B$4*IF(D1752&gt;0,D1752,0)+01_Parametres!$B$5*IF(E1752&gt;0,E1752,0)+01_Parametres!$B$6*IF(F1752&gt;0,F1752,0))/(01_Parametres!$B$4*(D1752&gt;0)+01_Parametres!$B$5*(E1752&gt;0)+01_Parametres!$B$6*(F1752&gt;0))),IF(01_Parametres!$B$8=0,"",(01_Parametres!$B$4*D1752+01_Parametres!$B$5*E1752+01_Parametres!$B$6*F1752)/01_Parametres!$B$8)))</x:f>
      </x:c>
      <x:c r="H1752">
        <x:f>IFERROR(VLOOKUP(C1752,02_Referentiels!$A$20:$D$99,3,FALSE),"")</x:f>
      </x:c>
      <x:c r="I1752">
        <x:f>IFERROR(VLOOKUP(B1752,02_Referentiels!$A$5:$C$16,2,FALSE),"")</x:f>
      </x:c>
      <x:c r="J1752">
        <x:f>IF(A1752="","",IF(OR(D1752="",E1752="",F1752=""),1,IF(OR(D1752&lt;0,D1752&gt;3,E1752&lt;0,E1752&gt;3,F1752&lt;0,F1752&gt;3),1,0)))</x:f>
      </x:c>
      <x:c r="K1752">
        <x:f>IF(A1752="","",IF(G1752="",1,0))</x:f>
      </x:c>
      <x:c r="L1752">
        <x:f>IF(A1752="","",IF(COUNTIFS($A$5:$A$2004,A1752,$C$5:$C$2004,C1752)&gt;1,1,0))</x:f>
      </x:c>
    </x:row>
    <x:row r="1753">
      <x:c r="A1753" s="8" t="n"/>
      <x:c r="B1753" s="8" t="n"/>
      <x:c r="C1753" s="8" t="n"/>
      <x:c r="D1753" s="8" t="n"/>
      <x:c r="E1753" s="8" t="n"/>
      <x:c r="F1753" s="8" t="n"/>
      <x:c r="G1753" s="7">
        <x:f>IF(A1753="","",IF(01_Parametres!$B$11="Oui",IF((01_Parametres!$B$4*(D1753&gt;0)+01_Parametres!$B$5*(E1753&gt;0)+01_Parametres!$B$6*(F1753&gt;0))=0,"",(01_Parametres!$B$4*IF(D1753&gt;0,D1753,0)+01_Parametres!$B$5*IF(E1753&gt;0,E1753,0)+01_Parametres!$B$6*IF(F1753&gt;0,F1753,0))/(01_Parametres!$B$4*(D1753&gt;0)+01_Parametres!$B$5*(E1753&gt;0)+01_Parametres!$B$6*(F1753&gt;0))),IF(01_Parametres!$B$8=0,"",(01_Parametres!$B$4*D1753+01_Parametres!$B$5*E1753+01_Parametres!$B$6*F1753)/01_Parametres!$B$8)))</x:f>
      </x:c>
      <x:c r="H1753">
        <x:f>IFERROR(VLOOKUP(C1753,02_Referentiels!$A$20:$D$99,3,FALSE),"")</x:f>
      </x:c>
      <x:c r="I1753">
        <x:f>IFERROR(VLOOKUP(B1753,02_Referentiels!$A$5:$C$16,2,FALSE),"")</x:f>
      </x:c>
      <x:c r="J1753">
        <x:f>IF(A1753="","",IF(OR(D1753="",E1753="",F1753=""),1,IF(OR(D1753&lt;0,D1753&gt;3,E1753&lt;0,E1753&gt;3,F1753&lt;0,F1753&gt;3),1,0)))</x:f>
      </x:c>
      <x:c r="K1753">
        <x:f>IF(A1753="","",IF(G1753="",1,0))</x:f>
      </x:c>
      <x:c r="L1753">
        <x:f>IF(A1753="","",IF(COUNTIFS($A$5:$A$2004,A1753,$C$5:$C$2004,C1753)&gt;1,1,0))</x:f>
      </x:c>
    </x:row>
    <x:row r="1754">
      <x:c r="A1754" s="8" t="n"/>
      <x:c r="B1754" s="8" t="n"/>
      <x:c r="C1754" s="8" t="n"/>
      <x:c r="D1754" s="8" t="n"/>
      <x:c r="E1754" s="8" t="n"/>
      <x:c r="F1754" s="8" t="n"/>
      <x:c r="G1754" s="7">
        <x:f>IF(A1754="","",IF(01_Parametres!$B$11="Oui",IF((01_Parametres!$B$4*(D1754&gt;0)+01_Parametres!$B$5*(E1754&gt;0)+01_Parametres!$B$6*(F1754&gt;0))=0,"",(01_Parametres!$B$4*IF(D1754&gt;0,D1754,0)+01_Parametres!$B$5*IF(E1754&gt;0,E1754,0)+01_Parametres!$B$6*IF(F1754&gt;0,F1754,0))/(01_Parametres!$B$4*(D1754&gt;0)+01_Parametres!$B$5*(E1754&gt;0)+01_Parametres!$B$6*(F1754&gt;0))),IF(01_Parametres!$B$8=0,"",(01_Parametres!$B$4*D1754+01_Parametres!$B$5*E1754+01_Parametres!$B$6*F1754)/01_Parametres!$B$8)))</x:f>
      </x:c>
      <x:c r="H1754">
        <x:f>IFERROR(VLOOKUP(C1754,02_Referentiels!$A$20:$D$99,3,FALSE),"")</x:f>
      </x:c>
      <x:c r="I1754">
        <x:f>IFERROR(VLOOKUP(B1754,02_Referentiels!$A$5:$C$16,2,FALSE),"")</x:f>
      </x:c>
      <x:c r="J1754">
        <x:f>IF(A1754="","",IF(OR(D1754="",E1754="",F1754=""),1,IF(OR(D1754&lt;0,D1754&gt;3,E1754&lt;0,E1754&gt;3,F1754&lt;0,F1754&gt;3),1,0)))</x:f>
      </x:c>
      <x:c r="K1754">
        <x:f>IF(A1754="","",IF(G1754="",1,0))</x:f>
      </x:c>
      <x:c r="L1754">
        <x:f>IF(A1754="","",IF(COUNTIFS($A$5:$A$2004,A1754,$C$5:$C$2004,C1754)&gt;1,1,0))</x:f>
      </x:c>
    </x:row>
    <x:row r="1755">
      <x:c r="A1755" s="8" t="n"/>
      <x:c r="B1755" s="8" t="n"/>
      <x:c r="C1755" s="8" t="n"/>
      <x:c r="D1755" s="8" t="n"/>
      <x:c r="E1755" s="8" t="n"/>
      <x:c r="F1755" s="8" t="n"/>
      <x:c r="G1755" s="7">
        <x:f>IF(A1755="","",IF(01_Parametres!$B$11="Oui",IF((01_Parametres!$B$4*(D1755&gt;0)+01_Parametres!$B$5*(E1755&gt;0)+01_Parametres!$B$6*(F1755&gt;0))=0,"",(01_Parametres!$B$4*IF(D1755&gt;0,D1755,0)+01_Parametres!$B$5*IF(E1755&gt;0,E1755,0)+01_Parametres!$B$6*IF(F1755&gt;0,F1755,0))/(01_Parametres!$B$4*(D1755&gt;0)+01_Parametres!$B$5*(E1755&gt;0)+01_Parametres!$B$6*(F1755&gt;0))),IF(01_Parametres!$B$8=0,"",(01_Parametres!$B$4*D1755+01_Parametres!$B$5*E1755+01_Parametres!$B$6*F1755)/01_Parametres!$B$8)))</x:f>
      </x:c>
      <x:c r="H1755">
        <x:f>IFERROR(VLOOKUP(C1755,02_Referentiels!$A$20:$D$99,3,FALSE),"")</x:f>
      </x:c>
      <x:c r="I1755">
        <x:f>IFERROR(VLOOKUP(B1755,02_Referentiels!$A$5:$C$16,2,FALSE),"")</x:f>
      </x:c>
      <x:c r="J1755">
        <x:f>IF(A1755="","",IF(OR(D1755="",E1755="",F1755=""),1,IF(OR(D1755&lt;0,D1755&gt;3,E1755&lt;0,E1755&gt;3,F1755&lt;0,F1755&gt;3),1,0)))</x:f>
      </x:c>
      <x:c r="K1755">
        <x:f>IF(A1755="","",IF(G1755="",1,0))</x:f>
      </x:c>
      <x:c r="L1755">
        <x:f>IF(A1755="","",IF(COUNTIFS($A$5:$A$2004,A1755,$C$5:$C$2004,C1755)&gt;1,1,0))</x:f>
      </x:c>
    </x:row>
    <x:row r="1756">
      <x:c r="A1756" s="8" t="n"/>
      <x:c r="B1756" s="8" t="n"/>
      <x:c r="C1756" s="8" t="n"/>
      <x:c r="D1756" s="8" t="n"/>
      <x:c r="E1756" s="8" t="n"/>
      <x:c r="F1756" s="8" t="n"/>
      <x:c r="G1756" s="7">
        <x:f>IF(A1756="","",IF(01_Parametres!$B$11="Oui",IF((01_Parametres!$B$4*(D1756&gt;0)+01_Parametres!$B$5*(E1756&gt;0)+01_Parametres!$B$6*(F1756&gt;0))=0,"",(01_Parametres!$B$4*IF(D1756&gt;0,D1756,0)+01_Parametres!$B$5*IF(E1756&gt;0,E1756,0)+01_Parametres!$B$6*IF(F1756&gt;0,F1756,0))/(01_Parametres!$B$4*(D1756&gt;0)+01_Parametres!$B$5*(E1756&gt;0)+01_Parametres!$B$6*(F1756&gt;0))),IF(01_Parametres!$B$8=0,"",(01_Parametres!$B$4*D1756+01_Parametres!$B$5*E1756+01_Parametres!$B$6*F1756)/01_Parametres!$B$8)))</x:f>
      </x:c>
      <x:c r="H1756">
        <x:f>IFERROR(VLOOKUP(C1756,02_Referentiels!$A$20:$D$99,3,FALSE),"")</x:f>
      </x:c>
      <x:c r="I1756">
        <x:f>IFERROR(VLOOKUP(B1756,02_Referentiels!$A$5:$C$16,2,FALSE),"")</x:f>
      </x:c>
      <x:c r="J1756">
        <x:f>IF(A1756="","",IF(OR(D1756="",E1756="",F1756=""),1,IF(OR(D1756&lt;0,D1756&gt;3,E1756&lt;0,E1756&gt;3,F1756&lt;0,F1756&gt;3),1,0)))</x:f>
      </x:c>
      <x:c r="K1756">
        <x:f>IF(A1756="","",IF(G1756="",1,0))</x:f>
      </x:c>
      <x:c r="L1756">
        <x:f>IF(A1756="","",IF(COUNTIFS($A$5:$A$2004,A1756,$C$5:$C$2004,C1756)&gt;1,1,0))</x:f>
      </x:c>
    </x:row>
    <x:row r="1757">
      <x:c r="A1757" s="8" t="n"/>
      <x:c r="B1757" s="8" t="n"/>
      <x:c r="C1757" s="8" t="n"/>
      <x:c r="D1757" s="8" t="n"/>
      <x:c r="E1757" s="8" t="n"/>
      <x:c r="F1757" s="8" t="n"/>
      <x:c r="G1757" s="7">
        <x:f>IF(A1757="","",IF(01_Parametres!$B$11="Oui",IF((01_Parametres!$B$4*(D1757&gt;0)+01_Parametres!$B$5*(E1757&gt;0)+01_Parametres!$B$6*(F1757&gt;0))=0,"",(01_Parametres!$B$4*IF(D1757&gt;0,D1757,0)+01_Parametres!$B$5*IF(E1757&gt;0,E1757,0)+01_Parametres!$B$6*IF(F1757&gt;0,F1757,0))/(01_Parametres!$B$4*(D1757&gt;0)+01_Parametres!$B$5*(E1757&gt;0)+01_Parametres!$B$6*(F1757&gt;0))),IF(01_Parametres!$B$8=0,"",(01_Parametres!$B$4*D1757+01_Parametres!$B$5*E1757+01_Parametres!$B$6*F1757)/01_Parametres!$B$8)))</x:f>
      </x:c>
      <x:c r="H1757">
        <x:f>IFERROR(VLOOKUP(C1757,02_Referentiels!$A$20:$D$99,3,FALSE),"")</x:f>
      </x:c>
      <x:c r="I1757">
        <x:f>IFERROR(VLOOKUP(B1757,02_Referentiels!$A$5:$C$16,2,FALSE),"")</x:f>
      </x:c>
      <x:c r="J1757">
        <x:f>IF(A1757="","",IF(OR(D1757="",E1757="",F1757=""),1,IF(OR(D1757&lt;0,D1757&gt;3,E1757&lt;0,E1757&gt;3,F1757&lt;0,F1757&gt;3),1,0)))</x:f>
      </x:c>
      <x:c r="K1757">
        <x:f>IF(A1757="","",IF(G1757="",1,0))</x:f>
      </x:c>
      <x:c r="L1757">
        <x:f>IF(A1757="","",IF(COUNTIFS($A$5:$A$2004,A1757,$C$5:$C$2004,C1757)&gt;1,1,0))</x:f>
      </x:c>
    </x:row>
    <x:row r="1758">
      <x:c r="A1758" s="8" t="n"/>
      <x:c r="B1758" s="8" t="n"/>
      <x:c r="C1758" s="8" t="n"/>
      <x:c r="D1758" s="8" t="n"/>
      <x:c r="E1758" s="8" t="n"/>
      <x:c r="F1758" s="8" t="n"/>
      <x:c r="G1758" s="7">
        <x:f>IF(A1758="","",IF(01_Parametres!$B$11="Oui",IF((01_Parametres!$B$4*(D1758&gt;0)+01_Parametres!$B$5*(E1758&gt;0)+01_Parametres!$B$6*(F1758&gt;0))=0,"",(01_Parametres!$B$4*IF(D1758&gt;0,D1758,0)+01_Parametres!$B$5*IF(E1758&gt;0,E1758,0)+01_Parametres!$B$6*IF(F1758&gt;0,F1758,0))/(01_Parametres!$B$4*(D1758&gt;0)+01_Parametres!$B$5*(E1758&gt;0)+01_Parametres!$B$6*(F1758&gt;0))),IF(01_Parametres!$B$8=0,"",(01_Parametres!$B$4*D1758+01_Parametres!$B$5*E1758+01_Parametres!$B$6*F1758)/01_Parametres!$B$8)))</x:f>
      </x:c>
      <x:c r="H1758">
        <x:f>IFERROR(VLOOKUP(C1758,02_Referentiels!$A$20:$D$99,3,FALSE),"")</x:f>
      </x:c>
      <x:c r="I1758">
        <x:f>IFERROR(VLOOKUP(B1758,02_Referentiels!$A$5:$C$16,2,FALSE),"")</x:f>
      </x:c>
      <x:c r="J1758">
        <x:f>IF(A1758="","",IF(OR(D1758="",E1758="",F1758=""),1,IF(OR(D1758&lt;0,D1758&gt;3,E1758&lt;0,E1758&gt;3,F1758&lt;0,F1758&gt;3),1,0)))</x:f>
      </x:c>
      <x:c r="K1758">
        <x:f>IF(A1758="","",IF(G1758="",1,0))</x:f>
      </x:c>
      <x:c r="L1758">
        <x:f>IF(A1758="","",IF(COUNTIFS($A$5:$A$2004,A1758,$C$5:$C$2004,C1758)&gt;1,1,0))</x:f>
      </x:c>
    </x:row>
    <x:row r="1759">
      <x:c r="A1759" s="8" t="n"/>
      <x:c r="B1759" s="8" t="n"/>
      <x:c r="C1759" s="8" t="n"/>
      <x:c r="D1759" s="8" t="n"/>
      <x:c r="E1759" s="8" t="n"/>
      <x:c r="F1759" s="8" t="n"/>
      <x:c r="G1759" s="7">
        <x:f>IF(A1759="","",IF(01_Parametres!$B$11="Oui",IF((01_Parametres!$B$4*(D1759&gt;0)+01_Parametres!$B$5*(E1759&gt;0)+01_Parametres!$B$6*(F1759&gt;0))=0,"",(01_Parametres!$B$4*IF(D1759&gt;0,D1759,0)+01_Parametres!$B$5*IF(E1759&gt;0,E1759,0)+01_Parametres!$B$6*IF(F1759&gt;0,F1759,0))/(01_Parametres!$B$4*(D1759&gt;0)+01_Parametres!$B$5*(E1759&gt;0)+01_Parametres!$B$6*(F1759&gt;0))),IF(01_Parametres!$B$8=0,"",(01_Parametres!$B$4*D1759+01_Parametres!$B$5*E1759+01_Parametres!$B$6*F1759)/01_Parametres!$B$8)))</x:f>
      </x:c>
      <x:c r="H1759">
        <x:f>IFERROR(VLOOKUP(C1759,02_Referentiels!$A$20:$D$99,3,FALSE),"")</x:f>
      </x:c>
      <x:c r="I1759">
        <x:f>IFERROR(VLOOKUP(B1759,02_Referentiels!$A$5:$C$16,2,FALSE),"")</x:f>
      </x:c>
      <x:c r="J1759">
        <x:f>IF(A1759="","",IF(OR(D1759="",E1759="",F1759=""),1,IF(OR(D1759&lt;0,D1759&gt;3,E1759&lt;0,E1759&gt;3,F1759&lt;0,F1759&gt;3),1,0)))</x:f>
      </x:c>
      <x:c r="K1759">
        <x:f>IF(A1759="","",IF(G1759="",1,0))</x:f>
      </x:c>
      <x:c r="L1759">
        <x:f>IF(A1759="","",IF(COUNTIFS($A$5:$A$2004,A1759,$C$5:$C$2004,C1759)&gt;1,1,0))</x:f>
      </x:c>
    </x:row>
    <x:row r="1760">
      <x:c r="A1760" s="8" t="n"/>
      <x:c r="B1760" s="8" t="n"/>
      <x:c r="C1760" s="8" t="n"/>
      <x:c r="D1760" s="8" t="n"/>
      <x:c r="E1760" s="8" t="n"/>
      <x:c r="F1760" s="8" t="n"/>
      <x:c r="G1760" s="7">
        <x:f>IF(A1760="","",IF(01_Parametres!$B$11="Oui",IF((01_Parametres!$B$4*(D1760&gt;0)+01_Parametres!$B$5*(E1760&gt;0)+01_Parametres!$B$6*(F1760&gt;0))=0,"",(01_Parametres!$B$4*IF(D1760&gt;0,D1760,0)+01_Parametres!$B$5*IF(E1760&gt;0,E1760,0)+01_Parametres!$B$6*IF(F1760&gt;0,F1760,0))/(01_Parametres!$B$4*(D1760&gt;0)+01_Parametres!$B$5*(E1760&gt;0)+01_Parametres!$B$6*(F1760&gt;0))),IF(01_Parametres!$B$8=0,"",(01_Parametres!$B$4*D1760+01_Parametres!$B$5*E1760+01_Parametres!$B$6*F1760)/01_Parametres!$B$8)))</x:f>
      </x:c>
      <x:c r="H1760">
        <x:f>IFERROR(VLOOKUP(C1760,02_Referentiels!$A$20:$D$99,3,FALSE),"")</x:f>
      </x:c>
      <x:c r="I1760">
        <x:f>IFERROR(VLOOKUP(B1760,02_Referentiels!$A$5:$C$16,2,FALSE),"")</x:f>
      </x:c>
      <x:c r="J1760">
        <x:f>IF(A1760="","",IF(OR(D1760="",E1760="",F1760=""),1,IF(OR(D1760&lt;0,D1760&gt;3,E1760&lt;0,E1760&gt;3,F1760&lt;0,F1760&gt;3),1,0)))</x:f>
      </x:c>
      <x:c r="K1760">
        <x:f>IF(A1760="","",IF(G1760="",1,0))</x:f>
      </x:c>
      <x:c r="L1760">
        <x:f>IF(A1760="","",IF(COUNTIFS($A$5:$A$2004,A1760,$C$5:$C$2004,C1760)&gt;1,1,0))</x:f>
      </x:c>
    </x:row>
    <x:row r="1761">
      <x:c r="A1761" s="8" t="n"/>
      <x:c r="B1761" s="8" t="n"/>
      <x:c r="C1761" s="8" t="n"/>
      <x:c r="D1761" s="8" t="n"/>
      <x:c r="E1761" s="8" t="n"/>
      <x:c r="F1761" s="8" t="n"/>
      <x:c r="G1761" s="7">
        <x:f>IF(A1761="","",IF(01_Parametres!$B$11="Oui",IF((01_Parametres!$B$4*(D1761&gt;0)+01_Parametres!$B$5*(E1761&gt;0)+01_Parametres!$B$6*(F1761&gt;0))=0,"",(01_Parametres!$B$4*IF(D1761&gt;0,D1761,0)+01_Parametres!$B$5*IF(E1761&gt;0,E1761,0)+01_Parametres!$B$6*IF(F1761&gt;0,F1761,0))/(01_Parametres!$B$4*(D1761&gt;0)+01_Parametres!$B$5*(E1761&gt;0)+01_Parametres!$B$6*(F1761&gt;0))),IF(01_Parametres!$B$8=0,"",(01_Parametres!$B$4*D1761+01_Parametres!$B$5*E1761+01_Parametres!$B$6*F1761)/01_Parametres!$B$8)))</x:f>
      </x:c>
      <x:c r="H1761">
        <x:f>IFERROR(VLOOKUP(C1761,02_Referentiels!$A$20:$D$99,3,FALSE),"")</x:f>
      </x:c>
      <x:c r="I1761">
        <x:f>IFERROR(VLOOKUP(B1761,02_Referentiels!$A$5:$C$16,2,FALSE),"")</x:f>
      </x:c>
      <x:c r="J1761">
        <x:f>IF(A1761="","",IF(OR(D1761="",E1761="",F1761=""),1,IF(OR(D1761&lt;0,D1761&gt;3,E1761&lt;0,E1761&gt;3,F1761&lt;0,F1761&gt;3),1,0)))</x:f>
      </x:c>
      <x:c r="K1761">
        <x:f>IF(A1761="","",IF(G1761="",1,0))</x:f>
      </x:c>
      <x:c r="L1761">
        <x:f>IF(A1761="","",IF(COUNTIFS($A$5:$A$2004,A1761,$C$5:$C$2004,C1761)&gt;1,1,0))</x:f>
      </x:c>
    </x:row>
    <x:row r="1762">
      <x:c r="A1762" s="8" t="n"/>
      <x:c r="B1762" s="8" t="n"/>
      <x:c r="C1762" s="8" t="n"/>
      <x:c r="D1762" s="8" t="n"/>
      <x:c r="E1762" s="8" t="n"/>
      <x:c r="F1762" s="8" t="n"/>
      <x:c r="G1762" s="7">
        <x:f>IF(A1762="","",IF(01_Parametres!$B$11="Oui",IF((01_Parametres!$B$4*(D1762&gt;0)+01_Parametres!$B$5*(E1762&gt;0)+01_Parametres!$B$6*(F1762&gt;0))=0,"",(01_Parametres!$B$4*IF(D1762&gt;0,D1762,0)+01_Parametres!$B$5*IF(E1762&gt;0,E1762,0)+01_Parametres!$B$6*IF(F1762&gt;0,F1762,0))/(01_Parametres!$B$4*(D1762&gt;0)+01_Parametres!$B$5*(E1762&gt;0)+01_Parametres!$B$6*(F1762&gt;0))),IF(01_Parametres!$B$8=0,"",(01_Parametres!$B$4*D1762+01_Parametres!$B$5*E1762+01_Parametres!$B$6*F1762)/01_Parametres!$B$8)))</x:f>
      </x:c>
      <x:c r="H1762">
        <x:f>IFERROR(VLOOKUP(C1762,02_Referentiels!$A$20:$D$99,3,FALSE),"")</x:f>
      </x:c>
      <x:c r="I1762">
        <x:f>IFERROR(VLOOKUP(B1762,02_Referentiels!$A$5:$C$16,2,FALSE),"")</x:f>
      </x:c>
      <x:c r="J1762">
        <x:f>IF(A1762="","",IF(OR(D1762="",E1762="",F1762=""),1,IF(OR(D1762&lt;0,D1762&gt;3,E1762&lt;0,E1762&gt;3,F1762&lt;0,F1762&gt;3),1,0)))</x:f>
      </x:c>
      <x:c r="K1762">
        <x:f>IF(A1762="","",IF(G1762="",1,0))</x:f>
      </x:c>
      <x:c r="L1762">
        <x:f>IF(A1762="","",IF(COUNTIFS($A$5:$A$2004,A1762,$C$5:$C$2004,C1762)&gt;1,1,0))</x:f>
      </x:c>
    </x:row>
    <x:row r="1763">
      <x:c r="A1763" s="8" t="n"/>
      <x:c r="B1763" s="8" t="n"/>
      <x:c r="C1763" s="8" t="n"/>
      <x:c r="D1763" s="8" t="n"/>
      <x:c r="E1763" s="8" t="n"/>
      <x:c r="F1763" s="8" t="n"/>
      <x:c r="G1763" s="7">
        <x:f>IF(A1763="","",IF(01_Parametres!$B$11="Oui",IF((01_Parametres!$B$4*(D1763&gt;0)+01_Parametres!$B$5*(E1763&gt;0)+01_Parametres!$B$6*(F1763&gt;0))=0,"",(01_Parametres!$B$4*IF(D1763&gt;0,D1763,0)+01_Parametres!$B$5*IF(E1763&gt;0,E1763,0)+01_Parametres!$B$6*IF(F1763&gt;0,F1763,0))/(01_Parametres!$B$4*(D1763&gt;0)+01_Parametres!$B$5*(E1763&gt;0)+01_Parametres!$B$6*(F1763&gt;0))),IF(01_Parametres!$B$8=0,"",(01_Parametres!$B$4*D1763+01_Parametres!$B$5*E1763+01_Parametres!$B$6*F1763)/01_Parametres!$B$8)))</x:f>
      </x:c>
      <x:c r="H1763">
        <x:f>IFERROR(VLOOKUP(C1763,02_Referentiels!$A$20:$D$99,3,FALSE),"")</x:f>
      </x:c>
      <x:c r="I1763">
        <x:f>IFERROR(VLOOKUP(B1763,02_Referentiels!$A$5:$C$16,2,FALSE),"")</x:f>
      </x:c>
      <x:c r="J1763">
        <x:f>IF(A1763="","",IF(OR(D1763="",E1763="",F1763=""),1,IF(OR(D1763&lt;0,D1763&gt;3,E1763&lt;0,E1763&gt;3,F1763&lt;0,F1763&gt;3),1,0)))</x:f>
      </x:c>
      <x:c r="K1763">
        <x:f>IF(A1763="","",IF(G1763="",1,0))</x:f>
      </x:c>
      <x:c r="L1763">
        <x:f>IF(A1763="","",IF(COUNTIFS($A$5:$A$2004,A1763,$C$5:$C$2004,C1763)&gt;1,1,0))</x:f>
      </x:c>
    </x:row>
    <x:row r="1764">
      <x:c r="A1764" s="8" t="n"/>
      <x:c r="B1764" s="8" t="n"/>
      <x:c r="C1764" s="8" t="n"/>
      <x:c r="D1764" s="8" t="n"/>
      <x:c r="E1764" s="8" t="n"/>
      <x:c r="F1764" s="8" t="n"/>
      <x:c r="G1764" s="7">
        <x:f>IF(A1764="","",IF(01_Parametres!$B$11="Oui",IF((01_Parametres!$B$4*(D1764&gt;0)+01_Parametres!$B$5*(E1764&gt;0)+01_Parametres!$B$6*(F1764&gt;0))=0,"",(01_Parametres!$B$4*IF(D1764&gt;0,D1764,0)+01_Parametres!$B$5*IF(E1764&gt;0,E1764,0)+01_Parametres!$B$6*IF(F1764&gt;0,F1764,0))/(01_Parametres!$B$4*(D1764&gt;0)+01_Parametres!$B$5*(E1764&gt;0)+01_Parametres!$B$6*(F1764&gt;0))),IF(01_Parametres!$B$8=0,"",(01_Parametres!$B$4*D1764+01_Parametres!$B$5*E1764+01_Parametres!$B$6*F1764)/01_Parametres!$B$8)))</x:f>
      </x:c>
      <x:c r="H1764">
        <x:f>IFERROR(VLOOKUP(C1764,02_Referentiels!$A$20:$D$99,3,FALSE),"")</x:f>
      </x:c>
      <x:c r="I1764">
        <x:f>IFERROR(VLOOKUP(B1764,02_Referentiels!$A$5:$C$16,2,FALSE),"")</x:f>
      </x:c>
      <x:c r="J1764">
        <x:f>IF(A1764="","",IF(OR(D1764="",E1764="",F1764=""),1,IF(OR(D1764&lt;0,D1764&gt;3,E1764&lt;0,E1764&gt;3,F1764&lt;0,F1764&gt;3),1,0)))</x:f>
      </x:c>
      <x:c r="K1764">
        <x:f>IF(A1764="","",IF(G1764="",1,0))</x:f>
      </x:c>
      <x:c r="L1764">
        <x:f>IF(A1764="","",IF(COUNTIFS($A$5:$A$2004,A1764,$C$5:$C$2004,C1764)&gt;1,1,0))</x:f>
      </x:c>
    </x:row>
    <x:row r="1765">
      <x:c r="A1765" s="8" t="n"/>
      <x:c r="B1765" s="8" t="n"/>
      <x:c r="C1765" s="8" t="n"/>
      <x:c r="D1765" s="8" t="n"/>
      <x:c r="E1765" s="8" t="n"/>
      <x:c r="F1765" s="8" t="n"/>
      <x:c r="G1765" s="7">
        <x:f>IF(A1765="","",IF(01_Parametres!$B$11="Oui",IF((01_Parametres!$B$4*(D1765&gt;0)+01_Parametres!$B$5*(E1765&gt;0)+01_Parametres!$B$6*(F1765&gt;0))=0,"",(01_Parametres!$B$4*IF(D1765&gt;0,D1765,0)+01_Parametres!$B$5*IF(E1765&gt;0,E1765,0)+01_Parametres!$B$6*IF(F1765&gt;0,F1765,0))/(01_Parametres!$B$4*(D1765&gt;0)+01_Parametres!$B$5*(E1765&gt;0)+01_Parametres!$B$6*(F1765&gt;0))),IF(01_Parametres!$B$8=0,"",(01_Parametres!$B$4*D1765+01_Parametres!$B$5*E1765+01_Parametres!$B$6*F1765)/01_Parametres!$B$8)))</x:f>
      </x:c>
      <x:c r="H1765">
        <x:f>IFERROR(VLOOKUP(C1765,02_Referentiels!$A$20:$D$99,3,FALSE),"")</x:f>
      </x:c>
      <x:c r="I1765">
        <x:f>IFERROR(VLOOKUP(B1765,02_Referentiels!$A$5:$C$16,2,FALSE),"")</x:f>
      </x:c>
      <x:c r="J1765">
        <x:f>IF(A1765="","",IF(OR(D1765="",E1765="",F1765=""),1,IF(OR(D1765&lt;0,D1765&gt;3,E1765&lt;0,E1765&gt;3,F1765&lt;0,F1765&gt;3),1,0)))</x:f>
      </x:c>
      <x:c r="K1765">
        <x:f>IF(A1765="","",IF(G1765="",1,0))</x:f>
      </x:c>
      <x:c r="L1765">
        <x:f>IF(A1765="","",IF(COUNTIFS($A$5:$A$2004,A1765,$C$5:$C$2004,C1765)&gt;1,1,0))</x:f>
      </x:c>
    </x:row>
    <x:row r="1766">
      <x:c r="A1766" s="8" t="n"/>
      <x:c r="B1766" s="8" t="n"/>
      <x:c r="C1766" s="8" t="n"/>
      <x:c r="D1766" s="8" t="n"/>
      <x:c r="E1766" s="8" t="n"/>
      <x:c r="F1766" s="8" t="n"/>
      <x:c r="G1766" s="7">
        <x:f>IF(A1766="","",IF(01_Parametres!$B$11="Oui",IF((01_Parametres!$B$4*(D1766&gt;0)+01_Parametres!$B$5*(E1766&gt;0)+01_Parametres!$B$6*(F1766&gt;0))=0,"",(01_Parametres!$B$4*IF(D1766&gt;0,D1766,0)+01_Parametres!$B$5*IF(E1766&gt;0,E1766,0)+01_Parametres!$B$6*IF(F1766&gt;0,F1766,0))/(01_Parametres!$B$4*(D1766&gt;0)+01_Parametres!$B$5*(E1766&gt;0)+01_Parametres!$B$6*(F1766&gt;0))),IF(01_Parametres!$B$8=0,"",(01_Parametres!$B$4*D1766+01_Parametres!$B$5*E1766+01_Parametres!$B$6*F1766)/01_Parametres!$B$8)))</x:f>
      </x:c>
      <x:c r="H1766">
        <x:f>IFERROR(VLOOKUP(C1766,02_Referentiels!$A$20:$D$99,3,FALSE),"")</x:f>
      </x:c>
      <x:c r="I1766">
        <x:f>IFERROR(VLOOKUP(B1766,02_Referentiels!$A$5:$C$16,2,FALSE),"")</x:f>
      </x:c>
      <x:c r="J1766">
        <x:f>IF(A1766="","",IF(OR(D1766="",E1766="",F1766=""),1,IF(OR(D1766&lt;0,D1766&gt;3,E1766&lt;0,E1766&gt;3,F1766&lt;0,F1766&gt;3),1,0)))</x:f>
      </x:c>
      <x:c r="K1766">
        <x:f>IF(A1766="","",IF(G1766="",1,0))</x:f>
      </x:c>
      <x:c r="L1766">
        <x:f>IF(A1766="","",IF(COUNTIFS($A$5:$A$2004,A1766,$C$5:$C$2004,C1766)&gt;1,1,0))</x:f>
      </x:c>
    </x:row>
    <x:row r="1767">
      <x:c r="A1767" s="8" t="n"/>
      <x:c r="B1767" s="8" t="n"/>
      <x:c r="C1767" s="8" t="n"/>
      <x:c r="D1767" s="8" t="n"/>
      <x:c r="E1767" s="8" t="n"/>
      <x:c r="F1767" s="8" t="n"/>
      <x:c r="G1767" s="7">
        <x:f>IF(A1767="","",IF(01_Parametres!$B$11="Oui",IF((01_Parametres!$B$4*(D1767&gt;0)+01_Parametres!$B$5*(E1767&gt;0)+01_Parametres!$B$6*(F1767&gt;0))=0,"",(01_Parametres!$B$4*IF(D1767&gt;0,D1767,0)+01_Parametres!$B$5*IF(E1767&gt;0,E1767,0)+01_Parametres!$B$6*IF(F1767&gt;0,F1767,0))/(01_Parametres!$B$4*(D1767&gt;0)+01_Parametres!$B$5*(E1767&gt;0)+01_Parametres!$B$6*(F1767&gt;0))),IF(01_Parametres!$B$8=0,"",(01_Parametres!$B$4*D1767+01_Parametres!$B$5*E1767+01_Parametres!$B$6*F1767)/01_Parametres!$B$8)))</x:f>
      </x:c>
      <x:c r="H1767">
        <x:f>IFERROR(VLOOKUP(C1767,02_Referentiels!$A$20:$D$99,3,FALSE),"")</x:f>
      </x:c>
      <x:c r="I1767">
        <x:f>IFERROR(VLOOKUP(B1767,02_Referentiels!$A$5:$C$16,2,FALSE),"")</x:f>
      </x:c>
      <x:c r="J1767">
        <x:f>IF(A1767="","",IF(OR(D1767="",E1767="",F1767=""),1,IF(OR(D1767&lt;0,D1767&gt;3,E1767&lt;0,E1767&gt;3,F1767&lt;0,F1767&gt;3),1,0)))</x:f>
      </x:c>
      <x:c r="K1767">
        <x:f>IF(A1767="","",IF(G1767="",1,0))</x:f>
      </x:c>
      <x:c r="L1767">
        <x:f>IF(A1767="","",IF(COUNTIFS($A$5:$A$2004,A1767,$C$5:$C$2004,C1767)&gt;1,1,0))</x:f>
      </x:c>
    </x:row>
    <x:row r="1768">
      <x:c r="A1768" s="8" t="n"/>
      <x:c r="B1768" s="8" t="n"/>
      <x:c r="C1768" s="8" t="n"/>
      <x:c r="D1768" s="8" t="n"/>
      <x:c r="E1768" s="8" t="n"/>
      <x:c r="F1768" s="8" t="n"/>
      <x:c r="G1768" s="7">
        <x:f>IF(A1768="","",IF(01_Parametres!$B$11="Oui",IF((01_Parametres!$B$4*(D1768&gt;0)+01_Parametres!$B$5*(E1768&gt;0)+01_Parametres!$B$6*(F1768&gt;0))=0,"",(01_Parametres!$B$4*IF(D1768&gt;0,D1768,0)+01_Parametres!$B$5*IF(E1768&gt;0,E1768,0)+01_Parametres!$B$6*IF(F1768&gt;0,F1768,0))/(01_Parametres!$B$4*(D1768&gt;0)+01_Parametres!$B$5*(E1768&gt;0)+01_Parametres!$B$6*(F1768&gt;0))),IF(01_Parametres!$B$8=0,"",(01_Parametres!$B$4*D1768+01_Parametres!$B$5*E1768+01_Parametres!$B$6*F1768)/01_Parametres!$B$8)))</x:f>
      </x:c>
      <x:c r="H1768">
        <x:f>IFERROR(VLOOKUP(C1768,02_Referentiels!$A$20:$D$99,3,FALSE),"")</x:f>
      </x:c>
      <x:c r="I1768">
        <x:f>IFERROR(VLOOKUP(B1768,02_Referentiels!$A$5:$C$16,2,FALSE),"")</x:f>
      </x:c>
      <x:c r="J1768">
        <x:f>IF(A1768="","",IF(OR(D1768="",E1768="",F1768=""),1,IF(OR(D1768&lt;0,D1768&gt;3,E1768&lt;0,E1768&gt;3,F1768&lt;0,F1768&gt;3),1,0)))</x:f>
      </x:c>
      <x:c r="K1768">
        <x:f>IF(A1768="","",IF(G1768="",1,0))</x:f>
      </x:c>
      <x:c r="L1768">
        <x:f>IF(A1768="","",IF(COUNTIFS($A$5:$A$2004,A1768,$C$5:$C$2004,C1768)&gt;1,1,0))</x:f>
      </x:c>
    </x:row>
    <x:row r="1769">
      <x:c r="A1769" s="8" t="n"/>
      <x:c r="B1769" s="8" t="n"/>
      <x:c r="C1769" s="8" t="n"/>
      <x:c r="D1769" s="8" t="n"/>
      <x:c r="E1769" s="8" t="n"/>
      <x:c r="F1769" s="8" t="n"/>
      <x:c r="G1769" s="7">
        <x:f>IF(A1769="","",IF(01_Parametres!$B$11="Oui",IF((01_Parametres!$B$4*(D1769&gt;0)+01_Parametres!$B$5*(E1769&gt;0)+01_Parametres!$B$6*(F1769&gt;0))=0,"",(01_Parametres!$B$4*IF(D1769&gt;0,D1769,0)+01_Parametres!$B$5*IF(E1769&gt;0,E1769,0)+01_Parametres!$B$6*IF(F1769&gt;0,F1769,0))/(01_Parametres!$B$4*(D1769&gt;0)+01_Parametres!$B$5*(E1769&gt;0)+01_Parametres!$B$6*(F1769&gt;0))),IF(01_Parametres!$B$8=0,"",(01_Parametres!$B$4*D1769+01_Parametres!$B$5*E1769+01_Parametres!$B$6*F1769)/01_Parametres!$B$8)))</x:f>
      </x:c>
      <x:c r="H1769">
        <x:f>IFERROR(VLOOKUP(C1769,02_Referentiels!$A$20:$D$99,3,FALSE),"")</x:f>
      </x:c>
      <x:c r="I1769">
        <x:f>IFERROR(VLOOKUP(B1769,02_Referentiels!$A$5:$C$16,2,FALSE),"")</x:f>
      </x:c>
      <x:c r="J1769">
        <x:f>IF(A1769="","",IF(OR(D1769="",E1769="",F1769=""),1,IF(OR(D1769&lt;0,D1769&gt;3,E1769&lt;0,E1769&gt;3,F1769&lt;0,F1769&gt;3),1,0)))</x:f>
      </x:c>
      <x:c r="K1769">
        <x:f>IF(A1769="","",IF(G1769="",1,0))</x:f>
      </x:c>
      <x:c r="L1769">
        <x:f>IF(A1769="","",IF(COUNTIFS($A$5:$A$2004,A1769,$C$5:$C$2004,C1769)&gt;1,1,0))</x:f>
      </x:c>
    </x:row>
    <x:row r="1770">
      <x:c r="A1770" s="8" t="n"/>
      <x:c r="B1770" s="8" t="n"/>
      <x:c r="C1770" s="8" t="n"/>
      <x:c r="D1770" s="8" t="n"/>
      <x:c r="E1770" s="8" t="n"/>
      <x:c r="F1770" s="8" t="n"/>
      <x:c r="G1770" s="7">
        <x:f>IF(A1770="","",IF(01_Parametres!$B$11="Oui",IF((01_Parametres!$B$4*(D1770&gt;0)+01_Parametres!$B$5*(E1770&gt;0)+01_Parametres!$B$6*(F1770&gt;0))=0,"",(01_Parametres!$B$4*IF(D1770&gt;0,D1770,0)+01_Parametres!$B$5*IF(E1770&gt;0,E1770,0)+01_Parametres!$B$6*IF(F1770&gt;0,F1770,0))/(01_Parametres!$B$4*(D1770&gt;0)+01_Parametres!$B$5*(E1770&gt;0)+01_Parametres!$B$6*(F1770&gt;0))),IF(01_Parametres!$B$8=0,"",(01_Parametres!$B$4*D1770+01_Parametres!$B$5*E1770+01_Parametres!$B$6*F1770)/01_Parametres!$B$8)))</x:f>
      </x:c>
      <x:c r="H1770">
        <x:f>IFERROR(VLOOKUP(C1770,02_Referentiels!$A$20:$D$99,3,FALSE),"")</x:f>
      </x:c>
      <x:c r="I1770">
        <x:f>IFERROR(VLOOKUP(B1770,02_Referentiels!$A$5:$C$16,2,FALSE),"")</x:f>
      </x:c>
      <x:c r="J1770">
        <x:f>IF(A1770="","",IF(OR(D1770="",E1770="",F1770=""),1,IF(OR(D1770&lt;0,D1770&gt;3,E1770&lt;0,E1770&gt;3,F1770&lt;0,F1770&gt;3),1,0)))</x:f>
      </x:c>
      <x:c r="K1770">
        <x:f>IF(A1770="","",IF(G1770="",1,0))</x:f>
      </x:c>
      <x:c r="L1770">
        <x:f>IF(A1770="","",IF(COUNTIFS($A$5:$A$2004,A1770,$C$5:$C$2004,C1770)&gt;1,1,0))</x:f>
      </x:c>
    </x:row>
    <x:row r="1771">
      <x:c r="A1771" s="8" t="n"/>
      <x:c r="B1771" s="8" t="n"/>
      <x:c r="C1771" s="8" t="n"/>
      <x:c r="D1771" s="8" t="n"/>
      <x:c r="E1771" s="8" t="n"/>
      <x:c r="F1771" s="8" t="n"/>
      <x:c r="G1771" s="7">
        <x:f>IF(A1771="","",IF(01_Parametres!$B$11="Oui",IF((01_Parametres!$B$4*(D1771&gt;0)+01_Parametres!$B$5*(E1771&gt;0)+01_Parametres!$B$6*(F1771&gt;0))=0,"",(01_Parametres!$B$4*IF(D1771&gt;0,D1771,0)+01_Parametres!$B$5*IF(E1771&gt;0,E1771,0)+01_Parametres!$B$6*IF(F1771&gt;0,F1771,0))/(01_Parametres!$B$4*(D1771&gt;0)+01_Parametres!$B$5*(E1771&gt;0)+01_Parametres!$B$6*(F1771&gt;0))),IF(01_Parametres!$B$8=0,"",(01_Parametres!$B$4*D1771+01_Parametres!$B$5*E1771+01_Parametres!$B$6*F1771)/01_Parametres!$B$8)))</x:f>
      </x:c>
      <x:c r="H1771">
        <x:f>IFERROR(VLOOKUP(C1771,02_Referentiels!$A$20:$D$99,3,FALSE),"")</x:f>
      </x:c>
      <x:c r="I1771">
        <x:f>IFERROR(VLOOKUP(B1771,02_Referentiels!$A$5:$C$16,2,FALSE),"")</x:f>
      </x:c>
      <x:c r="J1771">
        <x:f>IF(A1771="","",IF(OR(D1771="",E1771="",F1771=""),1,IF(OR(D1771&lt;0,D1771&gt;3,E1771&lt;0,E1771&gt;3,F1771&lt;0,F1771&gt;3),1,0)))</x:f>
      </x:c>
      <x:c r="K1771">
        <x:f>IF(A1771="","",IF(G1771="",1,0))</x:f>
      </x:c>
      <x:c r="L1771">
        <x:f>IF(A1771="","",IF(COUNTIFS($A$5:$A$2004,A1771,$C$5:$C$2004,C1771)&gt;1,1,0))</x:f>
      </x:c>
    </x:row>
    <x:row r="1772">
      <x:c r="A1772" s="8" t="n"/>
      <x:c r="B1772" s="8" t="n"/>
      <x:c r="C1772" s="8" t="n"/>
      <x:c r="D1772" s="8" t="n"/>
      <x:c r="E1772" s="8" t="n"/>
      <x:c r="F1772" s="8" t="n"/>
      <x:c r="G1772" s="7">
        <x:f>IF(A1772="","",IF(01_Parametres!$B$11="Oui",IF((01_Parametres!$B$4*(D1772&gt;0)+01_Parametres!$B$5*(E1772&gt;0)+01_Parametres!$B$6*(F1772&gt;0))=0,"",(01_Parametres!$B$4*IF(D1772&gt;0,D1772,0)+01_Parametres!$B$5*IF(E1772&gt;0,E1772,0)+01_Parametres!$B$6*IF(F1772&gt;0,F1772,0))/(01_Parametres!$B$4*(D1772&gt;0)+01_Parametres!$B$5*(E1772&gt;0)+01_Parametres!$B$6*(F1772&gt;0))),IF(01_Parametres!$B$8=0,"",(01_Parametres!$B$4*D1772+01_Parametres!$B$5*E1772+01_Parametres!$B$6*F1772)/01_Parametres!$B$8)))</x:f>
      </x:c>
      <x:c r="H1772">
        <x:f>IFERROR(VLOOKUP(C1772,02_Referentiels!$A$20:$D$99,3,FALSE),"")</x:f>
      </x:c>
      <x:c r="I1772">
        <x:f>IFERROR(VLOOKUP(B1772,02_Referentiels!$A$5:$C$16,2,FALSE),"")</x:f>
      </x:c>
      <x:c r="J1772">
        <x:f>IF(A1772="","",IF(OR(D1772="",E1772="",F1772=""),1,IF(OR(D1772&lt;0,D1772&gt;3,E1772&lt;0,E1772&gt;3,F1772&lt;0,F1772&gt;3),1,0)))</x:f>
      </x:c>
      <x:c r="K1772">
        <x:f>IF(A1772="","",IF(G1772="",1,0))</x:f>
      </x:c>
      <x:c r="L1772">
        <x:f>IF(A1772="","",IF(COUNTIFS($A$5:$A$2004,A1772,$C$5:$C$2004,C1772)&gt;1,1,0))</x:f>
      </x:c>
    </x:row>
    <x:row r="1773">
      <x:c r="A1773" s="8" t="n"/>
      <x:c r="B1773" s="8" t="n"/>
      <x:c r="C1773" s="8" t="n"/>
      <x:c r="D1773" s="8" t="n"/>
      <x:c r="E1773" s="8" t="n"/>
      <x:c r="F1773" s="8" t="n"/>
      <x:c r="G1773" s="7">
        <x:f>IF(A1773="","",IF(01_Parametres!$B$11="Oui",IF((01_Parametres!$B$4*(D1773&gt;0)+01_Parametres!$B$5*(E1773&gt;0)+01_Parametres!$B$6*(F1773&gt;0))=0,"",(01_Parametres!$B$4*IF(D1773&gt;0,D1773,0)+01_Parametres!$B$5*IF(E1773&gt;0,E1773,0)+01_Parametres!$B$6*IF(F1773&gt;0,F1773,0))/(01_Parametres!$B$4*(D1773&gt;0)+01_Parametres!$B$5*(E1773&gt;0)+01_Parametres!$B$6*(F1773&gt;0))),IF(01_Parametres!$B$8=0,"",(01_Parametres!$B$4*D1773+01_Parametres!$B$5*E1773+01_Parametres!$B$6*F1773)/01_Parametres!$B$8)))</x:f>
      </x:c>
      <x:c r="H1773">
        <x:f>IFERROR(VLOOKUP(C1773,02_Referentiels!$A$20:$D$99,3,FALSE),"")</x:f>
      </x:c>
      <x:c r="I1773">
        <x:f>IFERROR(VLOOKUP(B1773,02_Referentiels!$A$5:$C$16,2,FALSE),"")</x:f>
      </x:c>
      <x:c r="J1773">
        <x:f>IF(A1773="","",IF(OR(D1773="",E1773="",F1773=""),1,IF(OR(D1773&lt;0,D1773&gt;3,E1773&lt;0,E1773&gt;3,F1773&lt;0,F1773&gt;3),1,0)))</x:f>
      </x:c>
      <x:c r="K1773">
        <x:f>IF(A1773="","",IF(G1773="",1,0))</x:f>
      </x:c>
      <x:c r="L1773">
        <x:f>IF(A1773="","",IF(COUNTIFS($A$5:$A$2004,A1773,$C$5:$C$2004,C1773)&gt;1,1,0))</x:f>
      </x:c>
    </x:row>
    <x:row r="1774">
      <x:c r="A1774" s="8" t="n"/>
      <x:c r="B1774" s="8" t="n"/>
      <x:c r="C1774" s="8" t="n"/>
      <x:c r="D1774" s="8" t="n"/>
      <x:c r="E1774" s="8" t="n"/>
      <x:c r="F1774" s="8" t="n"/>
      <x:c r="G1774" s="7">
        <x:f>IF(A1774="","",IF(01_Parametres!$B$11="Oui",IF((01_Parametres!$B$4*(D1774&gt;0)+01_Parametres!$B$5*(E1774&gt;0)+01_Parametres!$B$6*(F1774&gt;0))=0,"",(01_Parametres!$B$4*IF(D1774&gt;0,D1774,0)+01_Parametres!$B$5*IF(E1774&gt;0,E1774,0)+01_Parametres!$B$6*IF(F1774&gt;0,F1774,0))/(01_Parametres!$B$4*(D1774&gt;0)+01_Parametres!$B$5*(E1774&gt;0)+01_Parametres!$B$6*(F1774&gt;0))),IF(01_Parametres!$B$8=0,"",(01_Parametres!$B$4*D1774+01_Parametres!$B$5*E1774+01_Parametres!$B$6*F1774)/01_Parametres!$B$8)))</x:f>
      </x:c>
      <x:c r="H1774">
        <x:f>IFERROR(VLOOKUP(C1774,02_Referentiels!$A$20:$D$99,3,FALSE),"")</x:f>
      </x:c>
      <x:c r="I1774">
        <x:f>IFERROR(VLOOKUP(B1774,02_Referentiels!$A$5:$C$16,2,FALSE),"")</x:f>
      </x:c>
      <x:c r="J1774">
        <x:f>IF(A1774="","",IF(OR(D1774="",E1774="",F1774=""),1,IF(OR(D1774&lt;0,D1774&gt;3,E1774&lt;0,E1774&gt;3,F1774&lt;0,F1774&gt;3),1,0)))</x:f>
      </x:c>
      <x:c r="K1774">
        <x:f>IF(A1774="","",IF(G1774="",1,0))</x:f>
      </x:c>
      <x:c r="L1774">
        <x:f>IF(A1774="","",IF(COUNTIFS($A$5:$A$2004,A1774,$C$5:$C$2004,C1774)&gt;1,1,0))</x:f>
      </x:c>
    </x:row>
    <x:row r="1775">
      <x:c r="A1775" s="8" t="n"/>
      <x:c r="B1775" s="8" t="n"/>
      <x:c r="C1775" s="8" t="n"/>
      <x:c r="D1775" s="8" t="n"/>
      <x:c r="E1775" s="8" t="n"/>
      <x:c r="F1775" s="8" t="n"/>
      <x:c r="G1775" s="7">
        <x:f>IF(A1775="","",IF(01_Parametres!$B$11="Oui",IF((01_Parametres!$B$4*(D1775&gt;0)+01_Parametres!$B$5*(E1775&gt;0)+01_Parametres!$B$6*(F1775&gt;0))=0,"",(01_Parametres!$B$4*IF(D1775&gt;0,D1775,0)+01_Parametres!$B$5*IF(E1775&gt;0,E1775,0)+01_Parametres!$B$6*IF(F1775&gt;0,F1775,0))/(01_Parametres!$B$4*(D1775&gt;0)+01_Parametres!$B$5*(E1775&gt;0)+01_Parametres!$B$6*(F1775&gt;0))),IF(01_Parametres!$B$8=0,"",(01_Parametres!$B$4*D1775+01_Parametres!$B$5*E1775+01_Parametres!$B$6*F1775)/01_Parametres!$B$8)))</x:f>
      </x:c>
      <x:c r="H1775">
        <x:f>IFERROR(VLOOKUP(C1775,02_Referentiels!$A$20:$D$99,3,FALSE),"")</x:f>
      </x:c>
      <x:c r="I1775">
        <x:f>IFERROR(VLOOKUP(B1775,02_Referentiels!$A$5:$C$16,2,FALSE),"")</x:f>
      </x:c>
      <x:c r="J1775">
        <x:f>IF(A1775="","",IF(OR(D1775="",E1775="",F1775=""),1,IF(OR(D1775&lt;0,D1775&gt;3,E1775&lt;0,E1775&gt;3,F1775&lt;0,F1775&gt;3),1,0)))</x:f>
      </x:c>
      <x:c r="K1775">
        <x:f>IF(A1775="","",IF(G1775="",1,0))</x:f>
      </x:c>
      <x:c r="L1775">
        <x:f>IF(A1775="","",IF(COUNTIFS($A$5:$A$2004,A1775,$C$5:$C$2004,C1775)&gt;1,1,0))</x:f>
      </x:c>
    </x:row>
    <x:row r="1776">
      <x:c r="A1776" s="8" t="n"/>
      <x:c r="B1776" s="8" t="n"/>
      <x:c r="C1776" s="8" t="n"/>
      <x:c r="D1776" s="8" t="n"/>
      <x:c r="E1776" s="8" t="n"/>
      <x:c r="F1776" s="8" t="n"/>
      <x:c r="G1776" s="7">
        <x:f>IF(A1776="","",IF(01_Parametres!$B$11="Oui",IF((01_Parametres!$B$4*(D1776&gt;0)+01_Parametres!$B$5*(E1776&gt;0)+01_Parametres!$B$6*(F1776&gt;0))=0,"",(01_Parametres!$B$4*IF(D1776&gt;0,D1776,0)+01_Parametres!$B$5*IF(E1776&gt;0,E1776,0)+01_Parametres!$B$6*IF(F1776&gt;0,F1776,0))/(01_Parametres!$B$4*(D1776&gt;0)+01_Parametres!$B$5*(E1776&gt;0)+01_Parametres!$B$6*(F1776&gt;0))),IF(01_Parametres!$B$8=0,"",(01_Parametres!$B$4*D1776+01_Parametres!$B$5*E1776+01_Parametres!$B$6*F1776)/01_Parametres!$B$8)))</x:f>
      </x:c>
      <x:c r="H1776">
        <x:f>IFERROR(VLOOKUP(C1776,02_Referentiels!$A$20:$D$99,3,FALSE),"")</x:f>
      </x:c>
      <x:c r="I1776">
        <x:f>IFERROR(VLOOKUP(B1776,02_Referentiels!$A$5:$C$16,2,FALSE),"")</x:f>
      </x:c>
      <x:c r="J1776">
        <x:f>IF(A1776="","",IF(OR(D1776="",E1776="",F1776=""),1,IF(OR(D1776&lt;0,D1776&gt;3,E1776&lt;0,E1776&gt;3,F1776&lt;0,F1776&gt;3),1,0)))</x:f>
      </x:c>
      <x:c r="K1776">
        <x:f>IF(A1776="","",IF(G1776="",1,0))</x:f>
      </x:c>
      <x:c r="L1776">
        <x:f>IF(A1776="","",IF(COUNTIFS($A$5:$A$2004,A1776,$C$5:$C$2004,C1776)&gt;1,1,0))</x:f>
      </x:c>
    </x:row>
    <x:row r="1777">
      <x:c r="A1777" s="8" t="n"/>
      <x:c r="B1777" s="8" t="n"/>
      <x:c r="C1777" s="8" t="n"/>
      <x:c r="D1777" s="8" t="n"/>
      <x:c r="E1777" s="8" t="n"/>
      <x:c r="F1777" s="8" t="n"/>
      <x:c r="G1777" s="7">
        <x:f>IF(A1777="","",IF(01_Parametres!$B$11="Oui",IF((01_Parametres!$B$4*(D1777&gt;0)+01_Parametres!$B$5*(E1777&gt;0)+01_Parametres!$B$6*(F1777&gt;0))=0,"",(01_Parametres!$B$4*IF(D1777&gt;0,D1777,0)+01_Parametres!$B$5*IF(E1777&gt;0,E1777,0)+01_Parametres!$B$6*IF(F1777&gt;0,F1777,0))/(01_Parametres!$B$4*(D1777&gt;0)+01_Parametres!$B$5*(E1777&gt;0)+01_Parametres!$B$6*(F1777&gt;0))),IF(01_Parametres!$B$8=0,"",(01_Parametres!$B$4*D1777+01_Parametres!$B$5*E1777+01_Parametres!$B$6*F1777)/01_Parametres!$B$8)))</x:f>
      </x:c>
      <x:c r="H1777">
        <x:f>IFERROR(VLOOKUP(C1777,02_Referentiels!$A$20:$D$99,3,FALSE),"")</x:f>
      </x:c>
      <x:c r="I1777">
        <x:f>IFERROR(VLOOKUP(B1777,02_Referentiels!$A$5:$C$16,2,FALSE),"")</x:f>
      </x:c>
      <x:c r="J1777">
        <x:f>IF(A1777="","",IF(OR(D1777="",E1777="",F1777=""),1,IF(OR(D1777&lt;0,D1777&gt;3,E1777&lt;0,E1777&gt;3,F1777&lt;0,F1777&gt;3),1,0)))</x:f>
      </x:c>
      <x:c r="K1777">
        <x:f>IF(A1777="","",IF(G1777="",1,0))</x:f>
      </x:c>
      <x:c r="L1777">
        <x:f>IF(A1777="","",IF(COUNTIFS($A$5:$A$2004,A1777,$C$5:$C$2004,C1777)&gt;1,1,0))</x:f>
      </x:c>
    </x:row>
    <x:row r="1778">
      <x:c r="A1778" s="8" t="n"/>
      <x:c r="B1778" s="8" t="n"/>
      <x:c r="C1778" s="8" t="n"/>
      <x:c r="D1778" s="8" t="n"/>
      <x:c r="E1778" s="8" t="n"/>
      <x:c r="F1778" s="8" t="n"/>
      <x:c r="G1778" s="7">
        <x:f>IF(A1778="","",IF(01_Parametres!$B$11="Oui",IF((01_Parametres!$B$4*(D1778&gt;0)+01_Parametres!$B$5*(E1778&gt;0)+01_Parametres!$B$6*(F1778&gt;0))=0,"",(01_Parametres!$B$4*IF(D1778&gt;0,D1778,0)+01_Parametres!$B$5*IF(E1778&gt;0,E1778,0)+01_Parametres!$B$6*IF(F1778&gt;0,F1778,0))/(01_Parametres!$B$4*(D1778&gt;0)+01_Parametres!$B$5*(E1778&gt;0)+01_Parametres!$B$6*(F1778&gt;0))),IF(01_Parametres!$B$8=0,"",(01_Parametres!$B$4*D1778+01_Parametres!$B$5*E1778+01_Parametres!$B$6*F1778)/01_Parametres!$B$8)))</x:f>
      </x:c>
      <x:c r="H1778">
        <x:f>IFERROR(VLOOKUP(C1778,02_Referentiels!$A$20:$D$99,3,FALSE),"")</x:f>
      </x:c>
      <x:c r="I1778">
        <x:f>IFERROR(VLOOKUP(B1778,02_Referentiels!$A$5:$C$16,2,FALSE),"")</x:f>
      </x:c>
      <x:c r="J1778">
        <x:f>IF(A1778="","",IF(OR(D1778="",E1778="",F1778=""),1,IF(OR(D1778&lt;0,D1778&gt;3,E1778&lt;0,E1778&gt;3,F1778&lt;0,F1778&gt;3),1,0)))</x:f>
      </x:c>
      <x:c r="K1778">
        <x:f>IF(A1778="","",IF(G1778="",1,0))</x:f>
      </x:c>
      <x:c r="L1778">
        <x:f>IF(A1778="","",IF(COUNTIFS($A$5:$A$2004,A1778,$C$5:$C$2004,C1778)&gt;1,1,0))</x:f>
      </x:c>
    </x:row>
    <x:row r="1779">
      <x:c r="A1779" s="8" t="n"/>
      <x:c r="B1779" s="8" t="n"/>
      <x:c r="C1779" s="8" t="n"/>
      <x:c r="D1779" s="8" t="n"/>
      <x:c r="E1779" s="8" t="n"/>
      <x:c r="F1779" s="8" t="n"/>
      <x:c r="G1779" s="7">
        <x:f>IF(A1779="","",IF(01_Parametres!$B$11="Oui",IF((01_Parametres!$B$4*(D1779&gt;0)+01_Parametres!$B$5*(E1779&gt;0)+01_Parametres!$B$6*(F1779&gt;0))=0,"",(01_Parametres!$B$4*IF(D1779&gt;0,D1779,0)+01_Parametres!$B$5*IF(E1779&gt;0,E1779,0)+01_Parametres!$B$6*IF(F1779&gt;0,F1779,0))/(01_Parametres!$B$4*(D1779&gt;0)+01_Parametres!$B$5*(E1779&gt;0)+01_Parametres!$B$6*(F1779&gt;0))),IF(01_Parametres!$B$8=0,"",(01_Parametres!$B$4*D1779+01_Parametres!$B$5*E1779+01_Parametres!$B$6*F1779)/01_Parametres!$B$8)))</x:f>
      </x:c>
      <x:c r="H1779">
        <x:f>IFERROR(VLOOKUP(C1779,02_Referentiels!$A$20:$D$99,3,FALSE),"")</x:f>
      </x:c>
      <x:c r="I1779">
        <x:f>IFERROR(VLOOKUP(B1779,02_Referentiels!$A$5:$C$16,2,FALSE),"")</x:f>
      </x:c>
      <x:c r="J1779">
        <x:f>IF(A1779="","",IF(OR(D1779="",E1779="",F1779=""),1,IF(OR(D1779&lt;0,D1779&gt;3,E1779&lt;0,E1779&gt;3,F1779&lt;0,F1779&gt;3),1,0)))</x:f>
      </x:c>
      <x:c r="K1779">
        <x:f>IF(A1779="","",IF(G1779="",1,0))</x:f>
      </x:c>
      <x:c r="L1779">
        <x:f>IF(A1779="","",IF(COUNTIFS($A$5:$A$2004,A1779,$C$5:$C$2004,C1779)&gt;1,1,0))</x:f>
      </x:c>
    </x:row>
    <x:row r="1780">
      <x:c r="A1780" s="8" t="n"/>
      <x:c r="B1780" s="8" t="n"/>
      <x:c r="C1780" s="8" t="n"/>
      <x:c r="D1780" s="8" t="n"/>
      <x:c r="E1780" s="8" t="n"/>
      <x:c r="F1780" s="8" t="n"/>
      <x:c r="G1780" s="7">
        <x:f>IF(A1780="","",IF(01_Parametres!$B$11="Oui",IF((01_Parametres!$B$4*(D1780&gt;0)+01_Parametres!$B$5*(E1780&gt;0)+01_Parametres!$B$6*(F1780&gt;0))=0,"",(01_Parametres!$B$4*IF(D1780&gt;0,D1780,0)+01_Parametres!$B$5*IF(E1780&gt;0,E1780,0)+01_Parametres!$B$6*IF(F1780&gt;0,F1780,0))/(01_Parametres!$B$4*(D1780&gt;0)+01_Parametres!$B$5*(E1780&gt;0)+01_Parametres!$B$6*(F1780&gt;0))),IF(01_Parametres!$B$8=0,"",(01_Parametres!$B$4*D1780+01_Parametres!$B$5*E1780+01_Parametres!$B$6*F1780)/01_Parametres!$B$8)))</x:f>
      </x:c>
      <x:c r="H1780">
        <x:f>IFERROR(VLOOKUP(C1780,02_Referentiels!$A$20:$D$99,3,FALSE),"")</x:f>
      </x:c>
      <x:c r="I1780">
        <x:f>IFERROR(VLOOKUP(B1780,02_Referentiels!$A$5:$C$16,2,FALSE),"")</x:f>
      </x:c>
      <x:c r="J1780">
        <x:f>IF(A1780="","",IF(OR(D1780="",E1780="",F1780=""),1,IF(OR(D1780&lt;0,D1780&gt;3,E1780&lt;0,E1780&gt;3,F1780&lt;0,F1780&gt;3),1,0)))</x:f>
      </x:c>
      <x:c r="K1780">
        <x:f>IF(A1780="","",IF(G1780="",1,0))</x:f>
      </x:c>
      <x:c r="L1780">
        <x:f>IF(A1780="","",IF(COUNTIFS($A$5:$A$2004,A1780,$C$5:$C$2004,C1780)&gt;1,1,0))</x:f>
      </x:c>
    </x:row>
    <x:row r="1781">
      <x:c r="A1781" s="8" t="n"/>
      <x:c r="B1781" s="8" t="n"/>
      <x:c r="C1781" s="8" t="n"/>
      <x:c r="D1781" s="8" t="n"/>
      <x:c r="E1781" s="8" t="n"/>
      <x:c r="F1781" s="8" t="n"/>
      <x:c r="G1781" s="7">
        <x:f>IF(A1781="","",IF(01_Parametres!$B$11="Oui",IF((01_Parametres!$B$4*(D1781&gt;0)+01_Parametres!$B$5*(E1781&gt;0)+01_Parametres!$B$6*(F1781&gt;0))=0,"",(01_Parametres!$B$4*IF(D1781&gt;0,D1781,0)+01_Parametres!$B$5*IF(E1781&gt;0,E1781,0)+01_Parametres!$B$6*IF(F1781&gt;0,F1781,0))/(01_Parametres!$B$4*(D1781&gt;0)+01_Parametres!$B$5*(E1781&gt;0)+01_Parametres!$B$6*(F1781&gt;0))),IF(01_Parametres!$B$8=0,"",(01_Parametres!$B$4*D1781+01_Parametres!$B$5*E1781+01_Parametres!$B$6*F1781)/01_Parametres!$B$8)))</x:f>
      </x:c>
      <x:c r="H1781">
        <x:f>IFERROR(VLOOKUP(C1781,02_Referentiels!$A$20:$D$99,3,FALSE),"")</x:f>
      </x:c>
      <x:c r="I1781">
        <x:f>IFERROR(VLOOKUP(B1781,02_Referentiels!$A$5:$C$16,2,FALSE),"")</x:f>
      </x:c>
      <x:c r="J1781">
        <x:f>IF(A1781="","",IF(OR(D1781="",E1781="",F1781=""),1,IF(OR(D1781&lt;0,D1781&gt;3,E1781&lt;0,E1781&gt;3,F1781&lt;0,F1781&gt;3),1,0)))</x:f>
      </x:c>
      <x:c r="K1781">
        <x:f>IF(A1781="","",IF(G1781="",1,0))</x:f>
      </x:c>
      <x:c r="L1781">
        <x:f>IF(A1781="","",IF(COUNTIFS($A$5:$A$2004,A1781,$C$5:$C$2004,C1781)&gt;1,1,0))</x:f>
      </x:c>
    </x:row>
    <x:row r="1782">
      <x:c r="A1782" s="8" t="n"/>
      <x:c r="B1782" s="8" t="n"/>
      <x:c r="C1782" s="8" t="n"/>
      <x:c r="D1782" s="8" t="n"/>
      <x:c r="E1782" s="8" t="n"/>
      <x:c r="F1782" s="8" t="n"/>
      <x:c r="G1782" s="7">
        <x:f>IF(A1782="","",IF(01_Parametres!$B$11="Oui",IF((01_Parametres!$B$4*(D1782&gt;0)+01_Parametres!$B$5*(E1782&gt;0)+01_Parametres!$B$6*(F1782&gt;0))=0,"",(01_Parametres!$B$4*IF(D1782&gt;0,D1782,0)+01_Parametres!$B$5*IF(E1782&gt;0,E1782,0)+01_Parametres!$B$6*IF(F1782&gt;0,F1782,0))/(01_Parametres!$B$4*(D1782&gt;0)+01_Parametres!$B$5*(E1782&gt;0)+01_Parametres!$B$6*(F1782&gt;0))),IF(01_Parametres!$B$8=0,"",(01_Parametres!$B$4*D1782+01_Parametres!$B$5*E1782+01_Parametres!$B$6*F1782)/01_Parametres!$B$8)))</x:f>
      </x:c>
      <x:c r="H1782">
        <x:f>IFERROR(VLOOKUP(C1782,02_Referentiels!$A$20:$D$99,3,FALSE),"")</x:f>
      </x:c>
      <x:c r="I1782">
        <x:f>IFERROR(VLOOKUP(B1782,02_Referentiels!$A$5:$C$16,2,FALSE),"")</x:f>
      </x:c>
      <x:c r="J1782">
        <x:f>IF(A1782="","",IF(OR(D1782="",E1782="",F1782=""),1,IF(OR(D1782&lt;0,D1782&gt;3,E1782&lt;0,E1782&gt;3,F1782&lt;0,F1782&gt;3),1,0)))</x:f>
      </x:c>
      <x:c r="K1782">
        <x:f>IF(A1782="","",IF(G1782="",1,0))</x:f>
      </x:c>
      <x:c r="L1782">
        <x:f>IF(A1782="","",IF(COUNTIFS($A$5:$A$2004,A1782,$C$5:$C$2004,C1782)&gt;1,1,0))</x:f>
      </x:c>
    </x:row>
    <x:row r="1783">
      <x:c r="A1783" s="8" t="n"/>
      <x:c r="B1783" s="8" t="n"/>
      <x:c r="C1783" s="8" t="n"/>
      <x:c r="D1783" s="8" t="n"/>
      <x:c r="E1783" s="8" t="n"/>
      <x:c r="F1783" s="8" t="n"/>
      <x:c r="G1783" s="7">
        <x:f>IF(A1783="","",IF(01_Parametres!$B$11="Oui",IF((01_Parametres!$B$4*(D1783&gt;0)+01_Parametres!$B$5*(E1783&gt;0)+01_Parametres!$B$6*(F1783&gt;0))=0,"",(01_Parametres!$B$4*IF(D1783&gt;0,D1783,0)+01_Parametres!$B$5*IF(E1783&gt;0,E1783,0)+01_Parametres!$B$6*IF(F1783&gt;0,F1783,0))/(01_Parametres!$B$4*(D1783&gt;0)+01_Parametres!$B$5*(E1783&gt;0)+01_Parametres!$B$6*(F1783&gt;0))),IF(01_Parametres!$B$8=0,"",(01_Parametres!$B$4*D1783+01_Parametres!$B$5*E1783+01_Parametres!$B$6*F1783)/01_Parametres!$B$8)))</x:f>
      </x:c>
      <x:c r="H1783">
        <x:f>IFERROR(VLOOKUP(C1783,02_Referentiels!$A$20:$D$99,3,FALSE),"")</x:f>
      </x:c>
      <x:c r="I1783">
        <x:f>IFERROR(VLOOKUP(B1783,02_Referentiels!$A$5:$C$16,2,FALSE),"")</x:f>
      </x:c>
      <x:c r="J1783">
        <x:f>IF(A1783="","",IF(OR(D1783="",E1783="",F1783=""),1,IF(OR(D1783&lt;0,D1783&gt;3,E1783&lt;0,E1783&gt;3,F1783&lt;0,F1783&gt;3),1,0)))</x:f>
      </x:c>
      <x:c r="K1783">
        <x:f>IF(A1783="","",IF(G1783="",1,0))</x:f>
      </x:c>
      <x:c r="L1783">
        <x:f>IF(A1783="","",IF(COUNTIFS($A$5:$A$2004,A1783,$C$5:$C$2004,C1783)&gt;1,1,0))</x:f>
      </x:c>
    </x:row>
    <x:row r="1784">
      <x:c r="A1784" s="8" t="n"/>
      <x:c r="B1784" s="8" t="n"/>
      <x:c r="C1784" s="8" t="n"/>
      <x:c r="D1784" s="8" t="n"/>
      <x:c r="E1784" s="8" t="n"/>
      <x:c r="F1784" s="8" t="n"/>
      <x:c r="G1784" s="7">
        <x:f>IF(A1784="","",IF(01_Parametres!$B$11="Oui",IF((01_Parametres!$B$4*(D1784&gt;0)+01_Parametres!$B$5*(E1784&gt;0)+01_Parametres!$B$6*(F1784&gt;0))=0,"",(01_Parametres!$B$4*IF(D1784&gt;0,D1784,0)+01_Parametres!$B$5*IF(E1784&gt;0,E1784,0)+01_Parametres!$B$6*IF(F1784&gt;0,F1784,0))/(01_Parametres!$B$4*(D1784&gt;0)+01_Parametres!$B$5*(E1784&gt;0)+01_Parametres!$B$6*(F1784&gt;0))),IF(01_Parametres!$B$8=0,"",(01_Parametres!$B$4*D1784+01_Parametres!$B$5*E1784+01_Parametres!$B$6*F1784)/01_Parametres!$B$8)))</x:f>
      </x:c>
      <x:c r="H1784">
        <x:f>IFERROR(VLOOKUP(C1784,02_Referentiels!$A$20:$D$99,3,FALSE),"")</x:f>
      </x:c>
      <x:c r="I1784">
        <x:f>IFERROR(VLOOKUP(B1784,02_Referentiels!$A$5:$C$16,2,FALSE),"")</x:f>
      </x:c>
      <x:c r="J1784">
        <x:f>IF(A1784="","",IF(OR(D1784="",E1784="",F1784=""),1,IF(OR(D1784&lt;0,D1784&gt;3,E1784&lt;0,E1784&gt;3,F1784&lt;0,F1784&gt;3),1,0)))</x:f>
      </x:c>
      <x:c r="K1784">
        <x:f>IF(A1784="","",IF(G1784="",1,0))</x:f>
      </x:c>
      <x:c r="L1784">
        <x:f>IF(A1784="","",IF(COUNTIFS($A$5:$A$2004,A1784,$C$5:$C$2004,C1784)&gt;1,1,0))</x:f>
      </x:c>
    </x:row>
    <x:row r="1785">
      <x:c r="A1785" s="8" t="n"/>
      <x:c r="B1785" s="8" t="n"/>
      <x:c r="C1785" s="8" t="n"/>
      <x:c r="D1785" s="8" t="n"/>
      <x:c r="E1785" s="8" t="n"/>
      <x:c r="F1785" s="8" t="n"/>
      <x:c r="G1785" s="7">
        <x:f>IF(A1785="","",IF(01_Parametres!$B$11="Oui",IF((01_Parametres!$B$4*(D1785&gt;0)+01_Parametres!$B$5*(E1785&gt;0)+01_Parametres!$B$6*(F1785&gt;0))=0,"",(01_Parametres!$B$4*IF(D1785&gt;0,D1785,0)+01_Parametres!$B$5*IF(E1785&gt;0,E1785,0)+01_Parametres!$B$6*IF(F1785&gt;0,F1785,0))/(01_Parametres!$B$4*(D1785&gt;0)+01_Parametres!$B$5*(E1785&gt;0)+01_Parametres!$B$6*(F1785&gt;0))),IF(01_Parametres!$B$8=0,"",(01_Parametres!$B$4*D1785+01_Parametres!$B$5*E1785+01_Parametres!$B$6*F1785)/01_Parametres!$B$8)))</x:f>
      </x:c>
      <x:c r="H1785">
        <x:f>IFERROR(VLOOKUP(C1785,02_Referentiels!$A$20:$D$99,3,FALSE),"")</x:f>
      </x:c>
      <x:c r="I1785">
        <x:f>IFERROR(VLOOKUP(B1785,02_Referentiels!$A$5:$C$16,2,FALSE),"")</x:f>
      </x:c>
      <x:c r="J1785">
        <x:f>IF(A1785="","",IF(OR(D1785="",E1785="",F1785=""),1,IF(OR(D1785&lt;0,D1785&gt;3,E1785&lt;0,E1785&gt;3,F1785&lt;0,F1785&gt;3),1,0)))</x:f>
      </x:c>
      <x:c r="K1785">
        <x:f>IF(A1785="","",IF(G1785="",1,0))</x:f>
      </x:c>
      <x:c r="L1785">
        <x:f>IF(A1785="","",IF(COUNTIFS($A$5:$A$2004,A1785,$C$5:$C$2004,C1785)&gt;1,1,0))</x:f>
      </x:c>
    </x:row>
    <x:row r="1786">
      <x:c r="A1786" s="8" t="n"/>
      <x:c r="B1786" s="8" t="n"/>
      <x:c r="C1786" s="8" t="n"/>
      <x:c r="D1786" s="8" t="n"/>
      <x:c r="E1786" s="8" t="n"/>
      <x:c r="F1786" s="8" t="n"/>
      <x:c r="G1786" s="7">
        <x:f>IF(A1786="","",IF(01_Parametres!$B$11="Oui",IF((01_Parametres!$B$4*(D1786&gt;0)+01_Parametres!$B$5*(E1786&gt;0)+01_Parametres!$B$6*(F1786&gt;0))=0,"",(01_Parametres!$B$4*IF(D1786&gt;0,D1786,0)+01_Parametres!$B$5*IF(E1786&gt;0,E1786,0)+01_Parametres!$B$6*IF(F1786&gt;0,F1786,0))/(01_Parametres!$B$4*(D1786&gt;0)+01_Parametres!$B$5*(E1786&gt;0)+01_Parametres!$B$6*(F1786&gt;0))),IF(01_Parametres!$B$8=0,"",(01_Parametres!$B$4*D1786+01_Parametres!$B$5*E1786+01_Parametres!$B$6*F1786)/01_Parametres!$B$8)))</x:f>
      </x:c>
      <x:c r="H1786">
        <x:f>IFERROR(VLOOKUP(C1786,02_Referentiels!$A$20:$D$99,3,FALSE),"")</x:f>
      </x:c>
      <x:c r="I1786">
        <x:f>IFERROR(VLOOKUP(B1786,02_Referentiels!$A$5:$C$16,2,FALSE),"")</x:f>
      </x:c>
      <x:c r="J1786">
        <x:f>IF(A1786="","",IF(OR(D1786="",E1786="",F1786=""),1,IF(OR(D1786&lt;0,D1786&gt;3,E1786&lt;0,E1786&gt;3,F1786&lt;0,F1786&gt;3),1,0)))</x:f>
      </x:c>
      <x:c r="K1786">
        <x:f>IF(A1786="","",IF(G1786="",1,0))</x:f>
      </x:c>
      <x:c r="L1786">
        <x:f>IF(A1786="","",IF(COUNTIFS($A$5:$A$2004,A1786,$C$5:$C$2004,C1786)&gt;1,1,0))</x:f>
      </x:c>
    </x:row>
    <x:row r="1787">
      <x:c r="A1787" s="8" t="n"/>
      <x:c r="B1787" s="8" t="n"/>
      <x:c r="C1787" s="8" t="n"/>
      <x:c r="D1787" s="8" t="n"/>
      <x:c r="E1787" s="8" t="n"/>
      <x:c r="F1787" s="8" t="n"/>
      <x:c r="G1787" s="7">
        <x:f>IF(A1787="","",IF(01_Parametres!$B$11="Oui",IF((01_Parametres!$B$4*(D1787&gt;0)+01_Parametres!$B$5*(E1787&gt;0)+01_Parametres!$B$6*(F1787&gt;0))=0,"",(01_Parametres!$B$4*IF(D1787&gt;0,D1787,0)+01_Parametres!$B$5*IF(E1787&gt;0,E1787,0)+01_Parametres!$B$6*IF(F1787&gt;0,F1787,0))/(01_Parametres!$B$4*(D1787&gt;0)+01_Parametres!$B$5*(E1787&gt;0)+01_Parametres!$B$6*(F1787&gt;0))),IF(01_Parametres!$B$8=0,"",(01_Parametres!$B$4*D1787+01_Parametres!$B$5*E1787+01_Parametres!$B$6*F1787)/01_Parametres!$B$8)))</x:f>
      </x:c>
      <x:c r="H1787">
        <x:f>IFERROR(VLOOKUP(C1787,02_Referentiels!$A$20:$D$99,3,FALSE),"")</x:f>
      </x:c>
      <x:c r="I1787">
        <x:f>IFERROR(VLOOKUP(B1787,02_Referentiels!$A$5:$C$16,2,FALSE),"")</x:f>
      </x:c>
      <x:c r="J1787">
        <x:f>IF(A1787="","",IF(OR(D1787="",E1787="",F1787=""),1,IF(OR(D1787&lt;0,D1787&gt;3,E1787&lt;0,E1787&gt;3,F1787&lt;0,F1787&gt;3),1,0)))</x:f>
      </x:c>
      <x:c r="K1787">
        <x:f>IF(A1787="","",IF(G1787="",1,0))</x:f>
      </x:c>
      <x:c r="L1787">
        <x:f>IF(A1787="","",IF(COUNTIFS($A$5:$A$2004,A1787,$C$5:$C$2004,C1787)&gt;1,1,0))</x:f>
      </x:c>
    </x:row>
    <x:row r="1788">
      <x:c r="A1788" s="8" t="n"/>
      <x:c r="B1788" s="8" t="n"/>
      <x:c r="C1788" s="8" t="n"/>
      <x:c r="D1788" s="8" t="n"/>
      <x:c r="E1788" s="8" t="n"/>
      <x:c r="F1788" s="8" t="n"/>
      <x:c r="G1788" s="7">
        <x:f>IF(A1788="","",IF(01_Parametres!$B$11="Oui",IF((01_Parametres!$B$4*(D1788&gt;0)+01_Parametres!$B$5*(E1788&gt;0)+01_Parametres!$B$6*(F1788&gt;0))=0,"",(01_Parametres!$B$4*IF(D1788&gt;0,D1788,0)+01_Parametres!$B$5*IF(E1788&gt;0,E1788,0)+01_Parametres!$B$6*IF(F1788&gt;0,F1788,0))/(01_Parametres!$B$4*(D1788&gt;0)+01_Parametres!$B$5*(E1788&gt;0)+01_Parametres!$B$6*(F1788&gt;0))),IF(01_Parametres!$B$8=0,"",(01_Parametres!$B$4*D1788+01_Parametres!$B$5*E1788+01_Parametres!$B$6*F1788)/01_Parametres!$B$8)))</x:f>
      </x:c>
      <x:c r="H1788">
        <x:f>IFERROR(VLOOKUP(C1788,02_Referentiels!$A$20:$D$99,3,FALSE),"")</x:f>
      </x:c>
      <x:c r="I1788">
        <x:f>IFERROR(VLOOKUP(B1788,02_Referentiels!$A$5:$C$16,2,FALSE),"")</x:f>
      </x:c>
      <x:c r="J1788">
        <x:f>IF(A1788="","",IF(OR(D1788="",E1788="",F1788=""),1,IF(OR(D1788&lt;0,D1788&gt;3,E1788&lt;0,E1788&gt;3,F1788&lt;0,F1788&gt;3),1,0)))</x:f>
      </x:c>
      <x:c r="K1788">
        <x:f>IF(A1788="","",IF(G1788="",1,0))</x:f>
      </x:c>
      <x:c r="L1788">
        <x:f>IF(A1788="","",IF(COUNTIFS($A$5:$A$2004,A1788,$C$5:$C$2004,C1788)&gt;1,1,0))</x:f>
      </x:c>
    </x:row>
    <x:row r="1789">
      <x:c r="A1789" s="8" t="n"/>
      <x:c r="B1789" s="8" t="n"/>
      <x:c r="C1789" s="8" t="n"/>
      <x:c r="D1789" s="8" t="n"/>
      <x:c r="E1789" s="8" t="n"/>
      <x:c r="F1789" s="8" t="n"/>
      <x:c r="G1789" s="7">
        <x:f>IF(A1789="","",IF(01_Parametres!$B$11="Oui",IF((01_Parametres!$B$4*(D1789&gt;0)+01_Parametres!$B$5*(E1789&gt;0)+01_Parametres!$B$6*(F1789&gt;0))=0,"",(01_Parametres!$B$4*IF(D1789&gt;0,D1789,0)+01_Parametres!$B$5*IF(E1789&gt;0,E1789,0)+01_Parametres!$B$6*IF(F1789&gt;0,F1789,0))/(01_Parametres!$B$4*(D1789&gt;0)+01_Parametres!$B$5*(E1789&gt;0)+01_Parametres!$B$6*(F1789&gt;0))),IF(01_Parametres!$B$8=0,"",(01_Parametres!$B$4*D1789+01_Parametres!$B$5*E1789+01_Parametres!$B$6*F1789)/01_Parametres!$B$8)))</x:f>
      </x:c>
      <x:c r="H1789">
        <x:f>IFERROR(VLOOKUP(C1789,02_Referentiels!$A$20:$D$99,3,FALSE),"")</x:f>
      </x:c>
      <x:c r="I1789">
        <x:f>IFERROR(VLOOKUP(B1789,02_Referentiels!$A$5:$C$16,2,FALSE),"")</x:f>
      </x:c>
      <x:c r="J1789">
        <x:f>IF(A1789="","",IF(OR(D1789="",E1789="",F1789=""),1,IF(OR(D1789&lt;0,D1789&gt;3,E1789&lt;0,E1789&gt;3,F1789&lt;0,F1789&gt;3),1,0)))</x:f>
      </x:c>
      <x:c r="K1789">
        <x:f>IF(A1789="","",IF(G1789="",1,0))</x:f>
      </x:c>
      <x:c r="L1789">
        <x:f>IF(A1789="","",IF(COUNTIFS($A$5:$A$2004,A1789,$C$5:$C$2004,C1789)&gt;1,1,0))</x:f>
      </x:c>
    </x:row>
    <x:row r="1790">
      <x:c r="A1790" s="8" t="n"/>
      <x:c r="B1790" s="8" t="n"/>
      <x:c r="C1790" s="8" t="n"/>
      <x:c r="D1790" s="8" t="n"/>
      <x:c r="E1790" s="8" t="n"/>
      <x:c r="F1790" s="8" t="n"/>
      <x:c r="G1790" s="7">
        <x:f>IF(A1790="","",IF(01_Parametres!$B$11="Oui",IF((01_Parametres!$B$4*(D1790&gt;0)+01_Parametres!$B$5*(E1790&gt;0)+01_Parametres!$B$6*(F1790&gt;0))=0,"",(01_Parametres!$B$4*IF(D1790&gt;0,D1790,0)+01_Parametres!$B$5*IF(E1790&gt;0,E1790,0)+01_Parametres!$B$6*IF(F1790&gt;0,F1790,0))/(01_Parametres!$B$4*(D1790&gt;0)+01_Parametres!$B$5*(E1790&gt;0)+01_Parametres!$B$6*(F1790&gt;0))),IF(01_Parametres!$B$8=0,"",(01_Parametres!$B$4*D1790+01_Parametres!$B$5*E1790+01_Parametres!$B$6*F1790)/01_Parametres!$B$8)))</x:f>
      </x:c>
      <x:c r="H1790">
        <x:f>IFERROR(VLOOKUP(C1790,02_Referentiels!$A$20:$D$99,3,FALSE),"")</x:f>
      </x:c>
      <x:c r="I1790">
        <x:f>IFERROR(VLOOKUP(B1790,02_Referentiels!$A$5:$C$16,2,FALSE),"")</x:f>
      </x:c>
      <x:c r="J1790">
        <x:f>IF(A1790="","",IF(OR(D1790="",E1790="",F1790=""),1,IF(OR(D1790&lt;0,D1790&gt;3,E1790&lt;0,E1790&gt;3,F1790&lt;0,F1790&gt;3),1,0)))</x:f>
      </x:c>
      <x:c r="K1790">
        <x:f>IF(A1790="","",IF(G1790="",1,0))</x:f>
      </x:c>
      <x:c r="L1790">
        <x:f>IF(A1790="","",IF(COUNTIFS($A$5:$A$2004,A1790,$C$5:$C$2004,C1790)&gt;1,1,0))</x:f>
      </x:c>
    </x:row>
    <x:row r="1791">
      <x:c r="A1791" s="8" t="n"/>
      <x:c r="B1791" s="8" t="n"/>
      <x:c r="C1791" s="8" t="n"/>
      <x:c r="D1791" s="8" t="n"/>
      <x:c r="E1791" s="8" t="n"/>
      <x:c r="F1791" s="8" t="n"/>
      <x:c r="G1791" s="7">
        <x:f>IF(A1791="","",IF(01_Parametres!$B$11="Oui",IF((01_Parametres!$B$4*(D1791&gt;0)+01_Parametres!$B$5*(E1791&gt;0)+01_Parametres!$B$6*(F1791&gt;0))=0,"",(01_Parametres!$B$4*IF(D1791&gt;0,D1791,0)+01_Parametres!$B$5*IF(E1791&gt;0,E1791,0)+01_Parametres!$B$6*IF(F1791&gt;0,F1791,0))/(01_Parametres!$B$4*(D1791&gt;0)+01_Parametres!$B$5*(E1791&gt;0)+01_Parametres!$B$6*(F1791&gt;0))),IF(01_Parametres!$B$8=0,"",(01_Parametres!$B$4*D1791+01_Parametres!$B$5*E1791+01_Parametres!$B$6*F1791)/01_Parametres!$B$8)))</x:f>
      </x:c>
      <x:c r="H1791">
        <x:f>IFERROR(VLOOKUP(C1791,02_Referentiels!$A$20:$D$99,3,FALSE),"")</x:f>
      </x:c>
      <x:c r="I1791">
        <x:f>IFERROR(VLOOKUP(B1791,02_Referentiels!$A$5:$C$16,2,FALSE),"")</x:f>
      </x:c>
      <x:c r="J1791">
        <x:f>IF(A1791="","",IF(OR(D1791="",E1791="",F1791=""),1,IF(OR(D1791&lt;0,D1791&gt;3,E1791&lt;0,E1791&gt;3,F1791&lt;0,F1791&gt;3),1,0)))</x:f>
      </x:c>
      <x:c r="K1791">
        <x:f>IF(A1791="","",IF(G1791="",1,0))</x:f>
      </x:c>
      <x:c r="L1791">
        <x:f>IF(A1791="","",IF(COUNTIFS($A$5:$A$2004,A1791,$C$5:$C$2004,C1791)&gt;1,1,0))</x:f>
      </x:c>
    </x:row>
    <x:row r="1792">
      <x:c r="A1792" s="8" t="n"/>
      <x:c r="B1792" s="8" t="n"/>
      <x:c r="C1792" s="8" t="n"/>
      <x:c r="D1792" s="8" t="n"/>
      <x:c r="E1792" s="8" t="n"/>
      <x:c r="F1792" s="8" t="n"/>
      <x:c r="G1792" s="7">
        <x:f>IF(A1792="","",IF(01_Parametres!$B$11="Oui",IF((01_Parametres!$B$4*(D1792&gt;0)+01_Parametres!$B$5*(E1792&gt;0)+01_Parametres!$B$6*(F1792&gt;0))=0,"",(01_Parametres!$B$4*IF(D1792&gt;0,D1792,0)+01_Parametres!$B$5*IF(E1792&gt;0,E1792,0)+01_Parametres!$B$6*IF(F1792&gt;0,F1792,0))/(01_Parametres!$B$4*(D1792&gt;0)+01_Parametres!$B$5*(E1792&gt;0)+01_Parametres!$B$6*(F1792&gt;0))),IF(01_Parametres!$B$8=0,"",(01_Parametres!$B$4*D1792+01_Parametres!$B$5*E1792+01_Parametres!$B$6*F1792)/01_Parametres!$B$8)))</x:f>
      </x:c>
      <x:c r="H1792">
        <x:f>IFERROR(VLOOKUP(C1792,02_Referentiels!$A$20:$D$99,3,FALSE),"")</x:f>
      </x:c>
      <x:c r="I1792">
        <x:f>IFERROR(VLOOKUP(B1792,02_Referentiels!$A$5:$C$16,2,FALSE),"")</x:f>
      </x:c>
      <x:c r="J1792">
        <x:f>IF(A1792="","",IF(OR(D1792="",E1792="",F1792=""),1,IF(OR(D1792&lt;0,D1792&gt;3,E1792&lt;0,E1792&gt;3,F1792&lt;0,F1792&gt;3),1,0)))</x:f>
      </x:c>
      <x:c r="K1792">
        <x:f>IF(A1792="","",IF(G1792="",1,0))</x:f>
      </x:c>
      <x:c r="L1792">
        <x:f>IF(A1792="","",IF(COUNTIFS($A$5:$A$2004,A1792,$C$5:$C$2004,C1792)&gt;1,1,0))</x:f>
      </x:c>
    </x:row>
    <x:row r="1793">
      <x:c r="A1793" s="8" t="n"/>
      <x:c r="B1793" s="8" t="n"/>
      <x:c r="C1793" s="8" t="n"/>
      <x:c r="D1793" s="8" t="n"/>
      <x:c r="E1793" s="8" t="n"/>
      <x:c r="F1793" s="8" t="n"/>
      <x:c r="G1793" s="7">
        <x:f>IF(A1793="","",IF(01_Parametres!$B$11="Oui",IF((01_Parametres!$B$4*(D1793&gt;0)+01_Parametres!$B$5*(E1793&gt;0)+01_Parametres!$B$6*(F1793&gt;0))=0,"",(01_Parametres!$B$4*IF(D1793&gt;0,D1793,0)+01_Parametres!$B$5*IF(E1793&gt;0,E1793,0)+01_Parametres!$B$6*IF(F1793&gt;0,F1793,0))/(01_Parametres!$B$4*(D1793&gt;0)+01_Parametres!$B$5*(E1793&gt;0)+01_Parametres!$B$6*(F1793&gt;0))),IF(01_Parametres!$B$8=0,"",(01_Parametres!$B$4*D1793+01_Parametres!$B$5*E1793+01_Parametres!$B$6*F1793)/01_Parametres!$B$8)))</x:f>
      </x:c>
      <x:c r="H1793">
        <x:f>IFERROR(VLOOKUP(C1793,02_Referentiels!$A$20:$D$99,3,FALSE),"")</x:f>
      </x:c>
      <x:c r="I1793">
        <x:f>IFERROR(VLOOKUP(B1793,02_Referentiels!$A$5:$C$16,2,FALSE),"")</x:f>
      </x:c>
      <x:c r="J1793">
        <x:f>IF(A1793="","",IF(OR(D1793="",E1793="",F1793=""),1,IF(OR(D1793&lt;0,D1793&gt;3,E1793&lt;0,E1793&gt;3,F1793&lt;0,F1793&gt;3),1,0)))</x:f>
      </x:c>
      <x:c r="K1793">
        <x:f>IF(A1793="","",IF(G1793="",1,0))</x:f>
      </x:c>
      <x:c r="L1793">
        <x:f>IF(A1793="","",IF(COUNTIFS($A$5:$A$2004,A1793,$C$5:$C$2004,C1793)&gt;1,1,0))</x:f>
      </x:c>
    </x:row>
    <x:row r="1794">
      <x:c r="A1794" s="8" t="n"/>
      <x:c r="B1794" s="8" t="n"/>
      <x:c r="C1794" s="8" t="n"/>
      <x:c r="D1794" s="8" t="n"/>
      <x:c r="E1794" s="8" t="n"/>
      <x:c r="F1794" s="8" t="n"/>
      <x:c r="G1794" s="7">
        <x:f>IF(A1794="","",IF(01_Parametres!$B$11="Oui",IF((01_Parametres!$B$4*(D1794&gt;0)+01_Parametres!$B$5*(E1794&gt;0)+01_Parametres!$B$6*(F1794&gt;0))=0,"",(01_Parametres!$B$4*IF(D1794&gt;0,D1794,0)+01_Parametres!$B$5*IF(E1794&gt;0,E1794,0)+01_Parametres!$B$6*IF(F1794&gt;0,F1794,0))/(01_Parametres!$B$4*(D1794&gt;0)+01_Parametres!$B$5*(E1794&gt;0)+01_Parametres!$B$6*(F1794&gt;0))),IF(01_Parametres!$B$8=0,"",(01_Parametres!$B$4*D1794+01_Parametres!$B$5*E1794+01_Parametres!$B$6*F1794)/01_Parametres!$B$8)))</x:f>
      </x:c>
      <x:c r="H1794">
        <x:f>IFERROR(VLOOKUP(C1794,02_Referentiels!$A$20:$D$99,3,FALSE),"")</x:f>
      </x:c>
      <x:c r="I1794">
        <x:f>IFERROR(VLOOKUP(B1794,02_Referentiels!$A$5:$C$16,2,FALSE),"")</x:f>
      </x:c>
      <x:c r="J1794">
        <x:f>IF(A1794="","",IF(OR(D1794="",E1794="",F1794=""),1,IF(OR(D1794&lt;0,D1794&gt;3,E1794&lt;0,E1794&gt;3,F1794&lt;0,F1794&gt;3),1,0)))</x:f>
      </x:c>
      <x:c r="K1794">
        <x:f>IF(A1794="","",IF(G1794="",1,0))</x:f>
      </x:c>
      <x:c r="L1794">
        <x:f>IF(A1794="","",IF(COUNTIFS($A$5:$A$2004,A1794,$C$5:$C$2004,C1794)&gt;1,1,0))</x:f>
      </x:c>
    </x:row>
    <x:row r="1795">
      <x:c r="A1795" s="8" t="n"/>
      <x:c r="B1795" s="8" t="n"/>
      <x:c r="C1795" s="8" t="n"/>
      <x:c r="D1795" s="8" t="n"/>
      <x:c r="E1795" s="8" t="n"/>
      <x:c r="F1795" s="8" t="n"/>
      <x:c r="G1795" s="7">
        <x:f>IF(A1795="","",IF(01_Parametres!$B$11="Oui",IF((01_Parametres!$B$4*(D1795&gt;0)+01_Parametres!$B$5*(E1795&gt;0)+01_Parametres!$B$6*(F1795&gt;0))=0,"",(01_Parametres!$B$4*IF(D1795&gt;0,D1795,0)+01_Parametres!$B$5*IF(E1795&gt;0,E1795,0)+01_Parametres!$B$6*IF(F1795&gt;0,F1795,0))/(01_Parametres!$B$4*(D1795&gt;0)+01_Parametres!$B$5*(E1795&gt;0)+01_Parametres!$B$6*(F1795&gt;0))),IF(01_Parametres!$B$8=0,"",(01_Parametres!$B$4*D1795+01_Parametres!$B$5*E1795+01_Parametres!$B$6*F1795)/01_Parametres!$B$8)))</x:f>
      </x:c>
      <x:c r="H1795">
        <x:f>IFERROR(VLOOKUP(C1795,02_Referentiels!$A$20:$D$99,3,FALSE),"")</x:f>
      </x:c>
      <x:c r="I1795">
        <x:f>IFERROR(VLOOKUP(B1795,02_Referentiels!$A$5:$C$16,2,FALSE),"")</x:f>
      </x:c>
      <x:c r="J1795">
        <x:f>IF(A1795="","",IF(OR(D1795="",E1795="",F1795=""),1,IF(OR(D1795&lt;0,D1795&gt;3,E1795&lt;0,E1795&gt;3,F1795&lt;0,F1795&gt;3),1,0)))</x:f>
      </x:c>
      <x:c r="K1795">
        <x:f>IF(A1795="","",IF(G1795="",1,0))</x:f>
      </x:c>
      <x:c r="L1795">
        <x:f>IF(A1795="","",IF(COUNTIFS($A$5:$A$2004,A1795,$C$5:$C$2004,C1795)&gt;1,1,0))</x:f>
      </x:c>
    </x:row>
    <x:row r="1796">
      <x:c r="A1796" s="8" t="n"/>
      <x:c r="B1796" s="8" t="n"/>
      <x:c r="C1796" s="8" t="n"/>
      <x:c r="D1796" s="8" t="n"/>
      <x:c r="E1796" s="8" t="n"/>
      <x:c r="F1796" s="8" t="n"/>
      <x:c r="G1796" s="7">
        <x:f>IF(A1796="","",IF(01_Parametres!$B$11="Oui",IF((01_Parametres!$B$4*(D1796&gt;0)+01_Parametres!$B$5*(E1796&gt;0)+01_Parametres!$B$6*(F1796&gt;0))=0,"",(01_Parametres!$B$4*IF(D1796&gt;0,D1796,0)+01_Parametres!$B$5*IF(E1796&gt;0,E1796,0)+01_Parametres!$B$6*IF(F1796&gt;0,F1796,0))/(01_Parametres!$B$4*(D1796&gt;0)+01_Parametres!$B$5*(E1796&gt;0)+01_Parametres!$B$6*(F1796&gt;0))),IF(01_Parametres!$B$8=0,"",(01_Parametres!$B$4*D1796+01_Parametres!$B$5*E1796+01_Parametres!$B$6*F1796)/01_Parametres!$B$8)))</x:f>
      </x:c>
      <x:c r="H1796">
        <x:f>IFERROR(VLOOKUP(C1796,02_Referentiels!$A$20:$D$99,3,FALSE),"")</x:f>
      </x:c>
      <x:c r="I1796">
        <x:f>IFERROR(VLOOKUP(B1796,02_Referentiels!$A$5:$C$16,2,FALSE),"")</x:f>
      </x:c>
      <x:c r="J1796">
        <x:f>IF(A1796="","",IF(OR(D1796="",E1796="",F1796=""),1,IF(OR(D1796&lt;0,D1796&gt;3,E1796&lt;0,E1796&gt;3,F1796&lt;0,F1796&gt;3),1,0)))</x:f>
      </x:c>
      <x:c r="K1796">
        <x:f>IF(A1796="","",IF(G1796="",1,0))</x:f>
      </x:c>
      <x:c r="L1796">
        <x:f>IF(A1796="","",IF(COUNTIFS($A$5:$A$2004,A1796,$C$5:$C$2004,C1796)&gt;1,1,0))</x:f>
      </x:c>
    </x:row>
    <x:row r="1797">
      <x:c r="A1797" s="8" t="n"/>
      <x:c r="B1797" s="8" t="n"/>
      <x:c r="C1797" s="8" t="n"/>
      <x:c r="D1797" s="8" t="n"/>
      <x:c r="E1797" s="8" t="n"/>
      <x:c r="F1797" s="8" t="n"/>
      <x:c r="G1797" s="7">
        <x:f>IF(A1797="","",IF(01_Parametres!$B$11="Oui",IF((01_Parametres!$B$4*(D1797&gt;0)+01_Parametres!$B$5*(E1797&gt;0)+01_Parametres!$B$6*(F1797&gt;0))=0,"",(01_Parametres!$B$4*IF(D1797&gt;0,D1797,0)+01_Parametres!$B$5*IF(E1797&gt;0,E1797,0)+01_Parametres!$B$6*IF(F1797&gt;0,F1797,0))/(01_Parametres!$B$4*(D1797&gt;0)+01_Parametres!$B$5*(E1797&gt;0)+01_Parametres!$B$6*(F1797&gt;0))),IF(01_Parametres!$B$8=0,"",(01_Parametres!$B$4*D1797+01_Parametres!$B$5*E1797+01_Parametres!$B$6*F1797)/01_Parametres!$B$8)))</x:f>
      </x:c>
      <x:c r="H1797">
        <x:f>IFERROR(VLOOKUP(C1797,02_Referentiels!$A$20:$D$99,3,FALSE),"")</x:f>
      </x:c>
      <x:c r="I1797">
        <x:f>IFERROR(VLOOKUP(B1797,02_Referentiels!$A$5:$C$16,2,FALSE),"")</x:f>
      </x:c>
      <x:c r="J1797">
        <x:f>IF(A1797="","",IF(OR(D1797="",E1797="",F1797=""),1,IF(OR(D1797&lt;0,D1797&gt;3,E1797&lt;0,E1797&gt;3,F1797&lt;0,F1797&gt;3),1,0)))</x:f>
      </x:c>
      <x:c r="K1797">
        <x:f>IF(A1797="","",IF(G1797="",1,0))</x:f>
      </x:c>
      <x:c r="L1797">
        <x:f>IF(A1797="","",IF(COUNTIFS($A$5:$A$2004,A1797,$C$5:$C$2004,C1797)&gt;1,1,0))</x:f>
      </x:c>
    </x:row>
    <x:row r="1798">
      <x:c r="A1798" s="8" t="n"/>
      <x:c r="B1798" s="8" t="n"/>
      <x:c r="C1798" s="8" t="n"/>
      <x:c r="D1798" s="8" t="n"/>
      <x:c r="E1798" s="8" t="n"/>
      <x:c r="F1798" s="8" t="n"/>
      <x:c r="G1798" s="7">
        <x:f>IF(A1798="","",IF(01_Parametres!$B$11="Oui",IF((01_Parametres!$B$4*(D1798&gt;0)+01_Parametres!$B$5*(E1798&gt;0)+01_Parametres!$B$6*(F1798&gt;0))=0,"",(01_Parametres!$B$4*IF(D1798&gt;0,D1798,0)+01_Parametres!$B$5*IF(E1798&gt;0,E1798,0)+01_Parametres!$B$6*IF(F1798&gt;0,F1798,0))/(01_Parametres!$B$4*(D1798&gt;0)+01_Parametres!$B$5*(E1798&gt;0)+01_Parametres!$B$6*(F1798&gt;0))),IF(01_Parametres!$B$8=0,"",(01_Parametres!$B$4*D1798+01_Parametres!$B$5*E1798+01_Parametres!$B$6*F1798)/01_Parametres!$B$8)))</x:f>
      </x:c>
      <x:c r="H1798">
        <x:f>IFERROR(VLOOKUP(C1798,02_Referentiels!$A$20:$D$99,3,FALSE),"")</x:f>
      </x:c>
      <x:c r="I1798">
        <x:f>IFERROR(VLOOKUP(B1798,02_Referentiels!$A$5:$C$16,2,FALSE),"")</x:f>
      </x:c>
      <x:c r="J1798">
        <x:f>IF(A1798="","",IF(OR(D1798="",E1798="",F1798=""),1,IF(OR(D1798&lt;0,D1798&gt;3,E1798&lt;0,E1798&gt;3,F1798&lt;0,F1798&gt;3),1,0)))</x:f>
      </x:c>
      <x:c r="K1798">
        <x:f>IF(A1798="","",IF(G1798="",1,0))</x:f>
      </x:c>
      <x:c r="L1798">
        <x:f>IF(A1798="","",IF(COUNTIFS($A$5:$A$2004,A1798,$C$5:$C$2004,C1798)&gt;1,1,0))</x:f>
      </x:c>
    </x:row>
    <x:row r="1799">
      <x:c r="A1799" s="8" t="n"/>
      <x:c r="B1799" s="8" t="n"/>
      <x:c r="C1799" s="8" t="n"/>
      <x:c r="D1799" s="8" t="n"/>
      <x:c r="E1799" s="8" t="n"/>
      <x:c r="F1799" s="8" t="n"/>
      <x:c r="G1799" s="7">
        <x:f>IF(A1799="","",IF(01_Parametres!$B$11="Oui",IF((01_Parametres!$B$4*(D1799&gt;0)+01_Parametres!$B$5*(E1799&gt;0)+01_Parametres!$B$6*(F1799&gt;0))=0,"",(01_Parametres!$B$4*IF(D1799&gt;0,D1799,0)+01_Parametres!$B$5*IF(E1799&gt;0,E1799,0)+01_Parametres!$B$6*IF(F1799&gt;0,F1799,0))/(01_Parametres!$B$4*(D1799&gt;0)+01_Parametres!$B$5*(E1799&gt;0)+01_Parametres!$B$6*(F1799&gt;0))),IF(01_Parametres!$B$8=0,"",(01_Parametres!$B$4*D1799+01_Parametres!$B$5*E1799+01_Parametres!$B$6*F1799)/01_Parametres!$B$8)))</x:f>
      </x:c>
      <x:c r="H1799">
        <x:f>IFERROR(VLOOKUP(C1799,02_Referentiels!$A$20:$D$99,3,FALSE),"")</x:f>
      </x:c>
      <x:c r="I1799">
        <x:f>IFERROR(VLOOKUP(B1799,02_Referentiels!$A$5:$C$16,2,FALSE),"")</x:f>
      </x:c>
      <x:c r="J1799">
        <x:f>IF(A1799="","",IF(OR(D1799="",E1799="",F1799=""),1,IF(OR(D1799&lt;0,D1799&gt;3,E1799&lt;0,E1799&gt;3,F1799&lt;0,F1799&gt;3),1,0)))</x:f>
      </x:c>
      <x:c r="K1799">
        <x:f>IF(A1799="","",IF(G1799="",1,0))</x:f>
      </x:c>
      <x:c r="L1799">
        <x:f>IF(A1799="","",IF(COUNTIFS($A$5:$A$2004,A1799,$C$5:$C$2004,C1799)&gt;1,1,0))</x:f>
      </x:c>
    </x:row>
    <x:row r="1800">
      <x:c r="A1800" s="8" t="n"/>
      <x:c r="B1800" s="8" t="n"/>
      <x:c r="C1800" s="8" t="n"/>
      <x:c r="D1800" s="8" t="n"/>
      <x:c r="E1800" s="8" t="n"/>
      <x:c r="F1800" s="8" t="n"/>
      <x:c r="G1800" s="7">
        <x:f>IF(A1800="","",IF(01_Parametres!$B$11="Oui",IF((01_Parametres!$B$4*(D1800&gt;0)+01_Parametres!$B$5*(E1800&gt;0)+01_Parametres!$B$6*(F1800&gt;0))=0,"",(01_Parametres!$B$4*IF(D1800&gt;0,D1800,0)+01_Parametres!$B$5*IF(E1800&gt;0,E1800,0)+01_Parametres!$B$6*IF(F1800&gt;0,F1800,0))/(01_Parametres!$B$4*(D1800&gt;0)+01_Parametres!$B$5*(E1800&gt;0)+01_Parametres!$B$6*(F1800&gt;0))),IF(01_Parametres!$B$8=0,"",(01_Parametres!$B$4*D1800+01_Parametres!$B$5*E1800+01_Parametres!$B$6*F1800)/01_Parametres!$B$8)))</x:f>
      </x:c>
      <x:c r="H1800">
        <x:f>IFERROR(VLOOKUP(C1800,02_Referentiels!$A$20:$D$99,3,FALSE),"")</x:f>
      </x:c>
      <x:c r="I1800">
        <x:f>IFERROR(VLOOKUP(B1800,02_Referentiels!$A$5:$C$16,2,FALSE),"")</x:f>
      </x:c>
      <x:c r="J1800">
        <x:f>IF(A1800="","",IF(OR(D1800="",E1800="",F1800=""),1,IF(OR(D1800&lt;0,D1800&gt;3,E1800&lt;0,E1800&gt;3,F1800&lt;0,F1800&gt;3),1,0)))</x:f>
      </x:c>
      <x:c r="K1800">
        <x:f>IF(A1800="","",IF(G1800="",1,0))</x:f>
      </x:c>
      <x:c r="L1800">
        <x:f>IF(A1800="","",IF(COUNTIFS($A$5:$A$2004,A1800,$C$5:$C$2004,C1800)&gt;1,1,0))</x:f>
      </x:c>
    </x:row>
    <x:row r="1801">
      <x:c r="A1801" s="8" t="n"/>
      <x:c r="B1801" s="8" t="n"/>
      <x:c r="C1801" s="8" t="n"/>
      <x:c r="D1801" s="8" t="n"/>
      <x:c r="E1801" s="8" t="n"/>
      <x:c r="F1801" s="8" t="n"/>
      <x:c r="G1801" s="7">
        <x:f>IF(A1801="","",IF(01_Parametres!$B$11="Oui",IF((01_Parametres!$B$4*(D1801&gt;0)+01_Parametres!$B$5*(E1801&gt;0)+01_Parametres!$B$6*(F1801&gt;0))=0,"",(01_Parametres!$B$4*IF(D1801&gt;0,D1801,0)+01_Parametres!$B$5*IF(E1801&gt;0,E1801,0)+01_Parametres!$B$6*IF(F1801&gt;0,F1801,0))/(01_Parametres!$B$4*(D1801&gt;0)+01_Parametres!$B$5*(E1801&gt;0)+01_Parametres!$B$6*(F1801&gt;0))),IF(01_Parametres!$B$8=0,"",(01_Parametres!$B$4*D1801+01_Parametres!$B$5*E1801+01_Parametres!$B$6*F1801)/01_Parametres!$B$8)))</x:f>
      </x:c>
      <x:c r="H1801">
        <x:f>IFERROR(VLOOKUP(C1801,02_Referentiels!$A$20:$D$99,3,FALSE),"")</x:f>
      </x:c>
      <x:c r="I1801">
        <x:f>IFERROR(VLOOKUP(B1801,02_Referentiels!$A$5:$C$16,2,FALSE),"")</x:f>
      </x:c>
      <x:c r="J1801">
        <x:f>IF(A1801="","",IF(OR(D1801="",E1801="",F1801=""),1,IF(OR(D1801&lt;0,D1801&gt;3,E1801&lt;0,E1801&gt;3,F1801&lt;0,F1801&gt;3),1,0)))</x:f>
      </x:c>
      <x:c r="K1801">
        <x:f>IF(A1801="","",IF(G1801="",1,0))</x:f>
      </x:c>
      <x:c r="L1801">
        <x:f>IF(A1801="","",IF(COUNTIFS($A$5:$A$2004,A1801,$C$5:$C$2004,C1801)&gt;1,1,0))</x:f>
      </x:c>
    </x:row>
    <x:row r="1802">
      <x:c r="A1802" s="8" t="n"/>
      <x:c r="B1802" s="8" t="n"/>
      <x:c r="C1802" s="8" t="n"/>
      <x:c r="D1802" s="8" t="n"/>
      <x:c r="E1802" s="8" t="n"/>
      <x:c r="F1802" s="8" t="n"/>
      <x:c r="G1802" s="7">
        <x:f>IF(A1802="","",IF(01_Parametres!$B$11="Oui",IF((01_Parametres!$B$4*(D1802&gt;0)+01_Parametres!$B$5*(E1802&gt;0)+01_Parametres!$B$6*(F1802&gt;0))=0,"",(01_Parametres!$B$4*IF(D1802&gt;0,D1802,0)+01_Parametres!$B$5*IF(E1802&gt;0,E1802,0)+01_Parametres!$B$6*IF(F1802&gt;0,F1802,0))/(01_Parametres!$B$4*(D1802&gt;0)+01_Parametres!$B$5*(E1802&gt;0)+01_Parametres!$B$6*(F1802&gt;0))),IF(01_Parametres!$B$8=0,"",(01_Parametres!$B$4*D1802+01_Parametres!$B$5*E1802+01_Parametres!$B$6*F1802)/01_Parametres!$B$8)))</x:f>
      </x:c>
      <x:c r="H1802">
        <x:f>IFERROR(VLOOKUP(C1802,02_Referentiels!$A$20:$D$99,3,FALSE),"")</x:f>
      </x:c>
      <x:c r="I1802">
        <x:f>IFERROR(VLOOKUP(B1802,02_Referentiels!$A$5:$C$16,2,FALSE),"")</x:f>
      </x:c>
      <x:c r="J1802">
        <x:f>IF(A1802="","",IF(OR(D1802="",E1802="",F1802=""),1,IF(OR(D1802&lt;0,D1802&gt;3,E1802&lt;0,E1802&gt;3,F1802&lt;0,F1802&gt;3),1,0)))</x:f>
      </x:c>
      <x:c r="K1802">
        <x:f>IF(A1802="","",IF(G1802="",1,0))</x:f>
      </x:c>
      <x:c r="L1802">
        <x:f>IF(A1802="","",IF(COUNTIFS($A$5:$A$2004,A1802,$C$5:$C$2004,C1802)&gt;1,1,0))</x:f>
      </x:c>
    </x:row>
    <x:row r="1803">
      <x:c r="A1803" s="8" t="n"/>
      <x:c r="B1803" s="8" t="n"/>
      <x:c r="C1803" s="8" t="n"/>
      <x:c r="D1803" s="8" t="n"/>
      <x:c r="E1803" s="8" t="n"/>
      <x:c r="F1803" s="8" t="n"/>
      <x:c r="G1803" s="7">
        <x:f>IF(A1803="","",IF(01_Parametres!$B$11="Oui",IF((01_Parametres!$B$4*(D1803&gt;0)+01_Parametres!$B$5*(E1803&gt;0)+01_Parametres!$B$6*(F1803&gt;0))=0,"",(01_Parametres!$B$4*IF(D1803&gt;0,D1803,0)+01_Parametres!$B$5*IF(E1803&gt;0,E1803,0)+01_Parametres!$B$6*IF(F1803&gt;0,F1803,0))/(01_Parametres!$B$4*(D1803&gt;0)+01_Parametres!$B$5*(E1803&gt;0)+01_Parametres!$B$6*(F1803&gt;0))),IF(01_Parametres!$B$8=0,"",(01_Parametres!$B$4*D1803+01_Parametres!$B$5*E1803+01_Parametres!$B$6*F1803)/01_Parametres!$B$8)))</x:f>
      </x:c>
      <x:c r="H1803">
        <x:f>IFERROR(VLOOKUP(C1803,02_Referentiels!$A$20:$D$99,3,FALSE),"")</x:f>
      </x:c>
      <x:c r="I1803">
        <x:f>IFERROR(VLOOKUP(B1803,02_Referentiels!$A$5:$C$16,2,FALSE),"")</x:f>
      </x:c>
      <x:c r="J1803">
        <x:f>IF(A1803="","",IF(OR(D1803="",E1803="",F1803=""),1,IF(OR(D1803&lt;0,D1803&gt;3,E1803&lt;0,E1803&gt;3,F1803&lt;0,F1803&gt;3),1,0)))</x:f>
      </x:c>
      <x:c r="K1803">
        <x:f>IF(A1803="","",IF(G1803="",1,0))</x:f>
      </x:c>
      <x:c r="L1803">
        <x:f>IF(A1803="","",IF(COUNTIFS($A$5:$A$2004,A1803,$C$5:$C$2004,C1803)&gt;1,1,0))</x:f>
      </x:c>
    </x:row>
    <x:row r="1804">
      <x:c r="A1804" s="8" t="n"/>
      <x:c r="B1804" s="8" t="n"/>
      <x:c r="C1804" s="8" t="n"/>
      <x:c r="D1804" s="8" t="n"/>
      <x:c r="E1804" s="8" t="n"/>
      <x:c r="F1804" s="8" t="n"/>
      <x:c r="G1804" s="7">
        <x:f>IF(A1804="","",IF(01_Parametres!$B$11="Oui",IF((01_Parametres!$B$4*(D1804&gt;0)+01_Parametres!$B$5*(E1804&gt;0)+01_Parametres!$B$6*(F1804&gt;0))=0,"",(01_Parametres!$B$4*IF(D1804&gt;0,D1804,0)+01_Parametres!$B$5*IF(E1804&gt;0,E1804,0)+01_Parametres!$B$6*IF(F1804&gt;0,F1804,0))/(01_Parametres!$B$4*(D1804&gt;0)+01_Parametres!$B$5*(E1804&gt;0)+01_Parametres!$B$6*(F1804&gt;0))),IF(01_Parametres!$B$8=0,"",(01_Parametres!$B$4*D1804+01_Parametres!$B$5*E1804+01_Parametres!$B$6*F1804)/01_Parametres!$B$8)))</x:f>
      </x:c>
      <x:c r="H1804">
        <x:f>IFERROR(VLOOKUP(C1804,02_Referentiels!$A$20:$D$99,3,FALSE),"")</x:f>
      </x:c>
      <x:c r="I1804">
        <x:f>IFERROR(VLOOKUP(B1804,02_Referentiels!$A$5:$C$16,2,FALSE),"")</x:f>
      </x:c>
      <x:c r="J1804">
        <x:f>IF(A1804="","",IF(OR(D1804="",E1804="",F1804=""),1,IF(OR(D1804&lt;0,D1804&gt;3,E1804&lt;0,E1804&gt;3,F1804&lt;0,F1804&gt;3),1,0)))</x:f>
      </x:c>
      <x:c r="K1804">
        <x:f>IF(A1804="","",IF(G1804="",1,0))</x:f>
      </x:c>
      <x:c r="L1804">
        <x:f>IF(A1804="","",IF(COUNTIFS($A$5:$A$2004,A1804,$C$5:$C$2004,C1804)&gt;1,1,0))</x:f>
      </x:c>
    </x:row>
    <x:row r="1805">
      <x:c r="A1805" s="8" t="n"/>
      <x:c r="B1805" s="8" t="n"/>
      <x:c r="C1805" s="8" t="n"/>
      <x:c r="D1805" s="8" t="n"/>
      <x:c r="E1805" s="8" t="n"/>
      <x:c r="F1805" s="8" t="n"/>
      <x:c r="G1805" s="7">
        <x:f>IF(A1805="","",IF(01_Parametres!$B$11="Oui",IF((01_Parametres!$B$4*(D1805&gt;0)+01_Parametres!$B$5*(E1805&gt;0)+01_Parametres!$B$6*(F1805&gt;0))=0,"",(01_Parametres!$B$4*IF(D1805&gt;0,D1805,0)+01_Parametres!$B$5*IF(E1805&gt;0,E1805,0)+01_Parametres!$B$6*IF(F1805&gt;0,F1805,0))/(01_Parametres!$B$4*(D1805&gt;0)+01_Parametres!$B$5*(E1805&gt;0)+01_Parametres!$B$6*(F1805&gt;0))),IF(01_Parametres!$B$8=0,"",(01_Parametres!$B$4*D1805+01_Parametres!$B$5*E1805+01_Parametres!$B$6*F1805)/01_Parametres!$B$8)))</x:f>
      </x:c>
      <x:c r="H1805">
        <x:f>IFERROR(VLOOKUP(C1805,02_Referentiels!$A$20:$D$99,3,FALSE),"")</x:f>
      </x:c>
      <x:c r="I1805">
        <x:f>IFERROR(VLOOKUP(B1805,02_Referentiels!$A$5:$C$16,2,FALSE),"")</x:f>
      </x:c>
      <x:c r="J1805">
        <x:f>IF(A1805="","",IF(OR(D1805="",E1805="",F1805=""),1,IF(OR(D1805&lt;0,D1805&gt;3,E1805&lt;0,E1805&gt;3,F1805&lt;0,F1805&gt;3),1,0)))</x:f>
      </x:c>
      <x:c r="K1805">
        <x:f>IF(A1805="","",IF(G1805="",1,0))</x:f>
      </x:c>
      <x:c r="L1805">
        <x:f>IF(A1805="","",IF(COUNTIFS($A$5:$A$2004,A1805,$C$5:$C$2004,C1805)&gt;1,1,0))</x:f>
      </x:c>
    </x:row>
    <x:row r="1806">
      <x:c r="A1806" s="8" t="n"/>
      <x:c r="B1806" s="8" t="n"/>
      <x:c r="C1806" s="8" t="n"/>
      <x:c r="D1806" s="8" t="n"/>
      <x:c r="E1806" s="8" t="n"/>
      <x:c r="F1806" s="8" t="n"/>
      <x:c r="G1806" s="7">
        <x:f>IF(A1806="","",IF(01_Parametres!$B$11="Oui",IF((01_Parametres!$B$4*(D1806&gt;0)+01_Parametres!$B$5*(E1806&gt;0)+01_Parametres!$B$6*(F1806&gt;0))=0,"",(01_Parametres!$B$4*IF(D1806&gt;0,D1806,0)+01_Parametres!$B$5*IF(E1806&gt;0,E1806,0)+01_Parametres!$B$6*IF(F1806&gt;0,F1806,0))/(01_Parametres!$B$4*(D1806&gt;0)+01_Parametres!$B$5*(E1806&gt;0)+01_Parametres!$B$6*(F1806&gt;0))),IF(01_Parametres!$B$8=0,"",(01_Parametres!$B$4*D1806+01_Parametres!$B$5*E1806+01_Parametres!$B$6*F1806)/01_Parametres!$B$8)))</x:f>
      </x:c>
      <x:c r="H1806">
        <x:f>IFERROR(VLOOKUP(C1806,02_Referentiels!$A$20:$D$99,3,FALSE),"")</x:f>
      </x:c>
      <x:c r="I1806">
        <x:f>IFERROR(VLOOKUP(B1806,02_Referentiels!$A$5:$C$16,2,FALSE),"")</x:f>
      </x:c>
      <x:c r="J1806">
        <x:f>IF(A1806="","",IF(OR(D1806="",E1806="",F1806=""),1,IF(OR(D1806&lt;0,D1806&gt;3,E1806&lt;0,E1806&gt;3,F1806&lt;0,F1806&gt;3),1,0)))</x:f>
      </x:c>
      <x:c r="K1806">
        <x:f>IF(A1806="","",IF(G1806="",1,0))</x:f>
      </x:c>
      <x:c r="L1806">
        <x:f>IF(A1806="","",IF(COUNTIFS($A$5:$A$2004,A1806,$C$5:$C$2004,C1806)&gt;1,1,0))</x:f>
      </x:c>
    </x:row>
    <x:row r="1807">
      <x:c r="A1807" s="8" t="n"/>
      <x:c r="B1807" s="8" t="n"/>
      <x:c r="C1807" s="8" t="n"/>
      <x:c r="D1807" s="8" t="n"/>
      <x:c r="E1807" s="8" t="n"/>
      <x:c r="F1807" s="8" t="n"/>
      <x:c r="G1807" s="7">
        <x:f>IF(A1807="","",IF(01_Parametres!$B$11="Oui",IF((01_Parametres!$B$4*(D1807&gt;0)+01_Parametres!$B$5*(E1807&gt;0)+01_Parametres!$B$6*(F1807&gt;0))=0,"",(01_Parametres!$B$4*IF(D1807&gt;0,D1807,0)+01_Parametres!$B$5*IF(E1807&gt;0,E1807,0)+01_Parametres!$B$6*IF(F1807&gt;0,F1807,0))/(01_Parametres!$B$4*(D1807&gt;0)+01_Parametres!$B$5*(E1807&gt;0)+01_Parametres!$B$6*(F1807&gt;0))),IF(01_Parametres!$B$8=0,"",(01_Parametres!$B$4*D1807+01_Parametres!$B$5*E1807+01_Parametres!$B$6*F1807)/01_Parametres!$B$8)))</x:f>
      </x:c>
      <x:c r="H1807">
        <x:f>IFERROR(VLOOKUP(C1807,02_Referentiels!$A$20:$D$99,3,FALSE),"")</x:f>
      </x:c>
      <x:c r="I1807">
        <x:f>IFERROR(VLOOKUP(B1807,02_Referentiels!$A$5:$C$16,2,FALSE),"")</x:f>
      </x:c>
      <x:c r="J1807">
        <x:f>IF(A1807="","",IF(OR(D1807="",E1807="",F1807=""),1,IF(OR(D1807&lt;0,D1807&gt;3,E1807&lt;0,E1807&gt;3,F1807&lt;0,F1807&gt;3),1,0)))</x:f>
      </x:c>
      <x:c r="K1807">
        <x:f>IF(A1807="","",IF(G1807="",1,0))</x:f>
      </x:c>
      <x:c r="L1807">
        <x:f>IF(A1807="","",IF(COUNTIFS($A$5:$A$2004,A1807,$C$5:$C$2004,C1807)&gt;1,1,0))</x:f>
      </x:c>
    </x:row>
    <x:row r="1808">
      <x:c r="A1808" s="8" t="n"/>
      <x:c r="B1808" s="8" t="n"/>
      <x:c r="C1808" s="8" t="n"/>
      <x:c r="D1808" s="8" t="n"/>
      <x:c r="E1808" s="8" t="n"/>
      <x:c r="F1808" s="8" t="n"/>
      <x:c r="G1808" s="7">
        <x:f>IF(A1808="","",IF(01_Parametres!$B$11="Oui",IF((01_Parametres!$B$4*(D1808&gt;0)+01_Parametres!$B$5*(E1808&gt;0)+01_Parametres!$B$6*(F1808&gt;0))=0,"",(01_Parametres!$B$4*IF(D1808&gt;0,D1808,0)+01_Parametres!$B$5*IF(E1808&gt;0,E1808,0)+01_Parametres!$B$6*IF(F1808&gt;0,F1808,0))/(01_Parametres!$B$4*(D1808&gt;0)+01_Parametres!$B$5*(E1808&gt;0)+01_Parametres!$B$6*(F1808&gt;0))),IF(01_Parametres!$B$8=0,"",(01_Parametres!$B$4*D1808+01_Parametres!$B$5*E1808+01_Parametres!$B$6*F1808)/01_Parametres!$B$8)))</x:f>
      </x:c>
      <x:c r="H1808">
        <x:f>IFERROR(VLOOKUP(C1808,02_Referentiels!$A$20:$D$99,3,FALSE),"")</x:f>
      </x:c>
      <x:c r="I1808">
        <x:f>IFERROR(VLOOKUP(B1808,02_Referentiels!$A$5:$C$16,2,FALSE),"")</x:f>
      </x:c>
      <x:c r="J1808">
        <x:f>IF(A1808="","",IF(OR(D1808="",E1808="",F1808=""),1,IF(OR(D1808&lt;0,D1808&gt;3,E1808&lt;0,E1808&gt;3,F1808&lt;0,F1808&gt;3),1,0)))</x:f>
      </x:c>
      <x:c r="K1808">
        <x:f>IF(A1808="","",IF(G1808="",1,0))</x:f>
      </x:c>
      <x:c r="L1808">
        <x:f>IF(A1808="","",IF(COUNTIFS($A$5:$A$2004,A1808,$C$5:$C$2004,C1808)&gt;1,1,0))</x:f>
      </x:c>
    </x:row>
    <x:row r="1809">
      <x:c r="A1809" s="8" t="n"/>
      <x:c r="B1809" s="8" t="n"/>
      <x:c r="C1809" s="8" t="n"/>
      <x:c r="D1809" s="8" t="n"/>
      <x:c r="E1809" s="8" t="n"/>
      <x:c r="F1809" s="8" t="n"/>
      <x:c r="G1809" s="7">
        <x:f>IF(A1809="","",IF(01_Parametres!$B$11="Oui",IF((01_Parametres!$B$4*(D1809&gt;0)+01_Parametres!$B$5*(E1809&gt;0)+01_Parametres!$B$6*(F1809&gt;0))=0,"",(01_Parametres!$B$4*IF(D1809&gt;0,D1809,0)+01_Parametres!$B$5*IF(E1809&gt;0,E1809,0)+01_Parametres!$B$6*IF(F1809&gt;0,F1809,0))/(01_Parametres!$B$4*(D1809&gt;0)+01_Parametres!$B$5*(E1809&gt;0)+01_Parametres!$B$6*(F1809&gt;0))),IF(01_Parametres!$B$8=0,"",(01_Parametres!$B$4*D1809+01_Parametres!$B$5*E1809+01_Parametres!$B$6*F1809)/01_Parametres!$B$8)))</x:f>
      </x:c>
      <x:c r="H1809">
        <x:f>IFERROR(VLOOKUP(C1809,02_Referentiels!$A$20:$D$99,3,FALSE),"")</x:f>
      </x:c>
      <x:c r="I1809">
        <x:f>IFERROR(VLOOKUP(B1809,02_Referentiels!$A$5:$C$16,2,FALSE),"")</x:f>
      </x:c>
      <x:c r="J1809">
        <x:f>IF(A1809="","",IF(OR(D1809="",E1809="",F1809=""),1,IF(OR(D1809&lt;0,D1809&gt;3,E1809&lt;0,E1809&gt;3,F1809&lt;0,F1809&gt;3),1,0)))</x:f>
      </x:c>
      <x:c r="K1809">
        <x:f>IF(A1809="","",IF(G1809="",1,0))</x:f>
      </x:c>
      <x:c r="L1809">
        <x:f>IF(A1809="","",IF(COUNTIFS($A$5:$A$2004,A1809,$C$5:$C$2004,C1809)&gt;1,1,0))</x:f>
      </x:c>
    </x:row>
    <x:row r="1810">
      <x:c r="A1810" s="8" t="n"/>
      <x:c r="B1810" s="8" t="n"/>
      <x:c r="C1810" s="8" t="n"/>
      <x:c r="D1810" s="8" t="n"/>
      <x:c r="E1810" s="8" t="n"/>
      <x:c r="F1810" s="8" t="n"/>
      <x:c r="G1810" s="7">
        <x:f>IF(A1810="","",IF(01_Parametres!$B$11="Oui",IF((01_Parametres!$B$4*(D1810&gt;0)+01_Parametres!$B$5*(E1810&gt;0)+01_Parametres!$B$6*(F1810&gt;0))=0,"",(01_Parametres!$B$4*IF(D1810&gt;0,D1810,0)+01_Parametres!$B$5*IF(E1810&gt;0,E1810,0)+01_Parametres!$B$6*IF(F1810&gt;0,F1810,0))/(01_Parametres!$B$4*(D1810&gt;0)+01_Parametres!$B$5*(E1810&gt;0)+01_Parametres!$B$6*(F1810&gt;0))),IF(01_Parametres!$B$8=0,"",(01_Parametres!$B$4*D1810+01_Parametres!$B$5*E1810+01_Parametres!$B$6*F1810)/01_Parametres!$B$8)))</x:f>
      </x:c>
      <x:c r="H1810">
        <x:f>IFERROR(VLOOKUP(C1810,02_Referentiels!$A$20:$D$99,3,FALSE),"")</x:f>
      </x:c>
      <x:c r="I1810">
        <x:f>IFERROR(VLOOKUP(B1810,02_Referentiels!$A$5:$C$16,2,FALSE),"")</x:f>
      </x:c>
      <x:c r="J1810">
        <x:f>IF(A1810="","",IF(OR(D1810="",E1810="",F1810=""),1,IF(OR(D1810&lt;0,D1810&gt;3,E1810&lt;0,E1810&gt;3,F1810&lt;0,F1810&gt;3),1,0)))</x:f>
      </x:c>
      <x:c r="K1810">
        <x:f>IF(A1810="","",IF(G1810="",1,0))</x:f>
      </x:c>
      <x:c r="L1810">
        <x:f>IF(A1810="","",IF(COUNTIFS($A$5:$A$2004,A1810,$C$5:$C$2004,C1810)&gt;1,1,0))</x:f>
      </x:c>
    </x:row>
    <x:row r="1811">
      <x:c r="A1811" s="8" t="n"/>
      <x:c r="B1811" s="8" t="n"/>
      <x:c r="C1811" s="8" t="n"/>
      <x:c r="D1811" s="8" t="n"/>
      <x:c r="E1811" s="8" t="n"/>
      <x:c r="F1811" s="8" t="n"/>
      <x:c r="G1811" s="7">
        <x:f>IF(A1811="","",IF(01_Parametres!$B$11="Oui",IF((01_Parametres!$B$4*(D1811&gt;0)+01_Parametres!$B$5*(E1811&gt;0)+01_Parametres!$B$6*(F1811&gt;0))=0,"",(01_Parametres!$B$4*IF(D1811&gt;0,D1811,0)+01_Parametres!$B$5*IF(E1811&gt;0,E1811,0)+01_Parametres!$B$6*IF(F1811&gt;0,F1811,0))/(01_Parametres!$B$4*(D1811&gt;0)+01_Parametres!$B$5*(E1811&gt;0)+01_Parametres!$B$6*(F1811&gt;0))),IF(01_Parametres!$B$8=0,"",(01_Parametres!$B$4*D1811+01_Parametres!$B$5*E1811+01_Parametres!$B$6*F1811)/01_Parametres!$B$8)))</x:f>
      </x:c>
      <x:c r="H1811">
        <x:f>IFERROR(VLOOKUP(C1811,02_Referentiels!$A$20:$D$99,3,FALSE),"")</x:f>
      </x:c>
      <x:c r="I1811">
        <x:f>IFERROR(VLOOKUP(B1811,02_Referentiels!$A$5:$C$16,2,FALSE),"")</x:f>
      </x:c>
      <x:c r="J1811">
        <x:f>IF(A1811="","",IF(OR(D1811="",E1811="",F1811=""),1,IF(OR(D1811&lt;0,D1811&gt;3,E1811&lt;0,E1811&gt;3,F1811&lt;0,F1811&gt;3),1,0)))</x:f>
      </x:c>
      <x:c r="K1811">
        <x:f>IF(A1811="","",IF(G1811="",1,0))</x:f>
      </x:c>
      <x:c r="L1811">
        <x:f>IF(A1811="","",IF(COUNTIFS($A$5:$A$2004,A1811,$C$5:$C$2004,C1811)&gt;1,1,0))</x:f>
      </x:c>
    </x:row>
    <x:row r="1812">
      <x:c r="A1812" s="8" t="n"/>
      <x:c r="B1812" s="8" t="n"/>
      <x:c r="C1812" s="8" t="n"/>
      <x:c r="D1812" s="8" t="n"/>
      <x:c r="E1812" s="8" t="n"/>
      <x:c r="F1812" s="8" t="n"/>
      <x:c r="G1812" s="7">
        <x:f>IF(A1812="","",IF(01_Parametres!$B$11="Oui",IF((01_Parametres!$B$4*(D1812&gt;0)+01_Parametres!$B$5*(E1812&gt;0)+01_Parametres!$B$6*(F1812&gt;0))=0,"",(01_Parametres!$B$4*IF(D1812&gt;0,D1812,0)+01_Parametres!$B$5*IF(E1812&gt;0,E1812,0)+01_Parametres!$B$6*IF(F1812&gt;0,F1812,0))/(01_Parametres!$B$4*(D1812&gt;0)+01_Parametres!$B$5*(E1812&gt;0)+01_Parametres!$B$6*(F1812&gt;0))),IF(01_Parametres!$B$8=0,"",(01_Parametres!$B$4*D1812+01_Parametres!$B$5*E1812+01_Parametres!$B$6*F1812)/01_Parametres!$B$8)))</x:f>
      </x:c>
      <x:c r="H1812">
        <x:f>IFERROR(VLOOKUP(C1812,02_Referentiels!$A$20:$D$99,3,FALSE),"")</x:f>
      </x:c>
      <x:c r="I1812">
        <x:f>IFERROR(VLOOKUP(B1812,02_Referentiels!$A$5:$C$16,2,FALSE),"")</x:f>
      </x:c>
      <x:c r="J1812">
        <x:f>IF(A1812="","",IF(OR(D1812="",E1812="",F1812=""),1,IF(OR(D1812&lt;0,D1812&gt;3,E1812&lt;0,E1812&gt;3,F1812&lt;0,F1812&gt;3),1,0)))</x:f>
      </x:c>
      <x:c r="K1812">
        <x:f>IF(A1812="","",IF(G1812="",1,0))</x:f>
      </x:c>
      <x:c r="L1812">
        <x:f>IF(A1812="","",IF(COUNTIFS($A$5:$A$2004,A1812,$C$5:$C$2004,C1812)&gt;1,1,0))</x:f>
      </x:c>
    </x:row>
    <x:row r="1813">
      <x:c r="A1813" s="8" t="n"/>
      <x:c r="B1813" s="8" t="n"/>
      <x:c r="C1813" s="8" t="n"/>
      <x:c r="D1813" s="8" t="n"/>
      <x:c r="E1813" s="8" t="n"/>
      <x:c r="F1813" s="8" t="n"/>
      <x:c r="G1813" s="7">
        <x:f>IF(A1813="","",IF(01_Parametres!$B$11="Oui",IF((01_Parametres!$B$4*(D1813&gt;0)+01_Parametres!$B$5*(E1813&gt;0)+01_Parametres!$B$6*(F1813&gt;0))=0,"",(01_Parametres!$B$4*IF(D1813&gt;0,D1813,0)+01_Parametres!$B$5*IF(E1813&gt;0,E1813,0)+01_Parametres!$B$6*IF(F1813&gt;0,F1813,0))/(01_Parametres!$B$4*(D1813&gt;0)+01_Parametres!$B$5*(E1813&gt;0)+01_Parametres!$B$6*(F1813&gt;0))),IF(01_Parametres!$B$8=0,"",(01_Parametres!$B$4*D1813+01_Parametres!$B$5*E1813+01_Parametres!$B$6*F1813)/01_Parametres!$B$8)))</x:f>
      </x:c>
      <x:c r="H1813">
        <x:f>IFERROR(VLOOKUP(C1813,02_Referentiels!$A$20:$D$99,3,FALSE),"")</x:f>
      </x:c>
      <x:c r="I1813">
        <x:f>IFERROR(VLOOKUP(B1813,02_Referentiels!$A$5:$C$16,2,FALSE),"")</x:f>
      </x:c>
      <x:c r="J1813">
        <x:f>IF(A1813="","",IF(OR(D1813="",E1813="",F1813=""),1,IF(OR(D1813&lt;0,D1813&gt;3,E1813&lt;0,E1813&gt;3,F1813&lt;0,F1813&gt;3),1,0)))</x:f>
      </x:c>
      <x:c r="K1813">
        <x:f>IF(A1813="","",IF(G1813="",1,0))</x:f>
      </x:c>
      <x:c r="L1813">
        <x:f>IF(A1813="","",IF(COUNTIFS($A$5:$A$2004,A1813,$C$5:$C$2004,C1813)&gt;1,1,0))</x:f>
      </x:c>
    </x:row>
    <x:row r="1814">
      <x:c r="A1814" s="8" t="n"/>
      <x:c r="B1814" s="8" t="n"/>
      <x:c r="C1814" s="8" t="n"/>
      <x:c r="D1814" s="8" t="n"/>
      <x:c r="E1814" s="8" t="n"/>
      <x:c r="F1814" s="8" t="n"/>
      <x:c r="G1814" s="7">
        <x:f>IF(A1814="","",IF(01_Parametres!$B$11="Oui",IF((01_Parametres!$B$4*(D1814&gt;0)+01_Parametres!$B$5*(E1814&gt;0)+01_Parametres!$B$6*(F1814&gt;0))=0,"",(01_Parametres!$B$4*IF(D1814&gt;0,D1814,0)+01_Parametres!$B$5*IF(E1814&gt;0,E1814,0)+01_Parametres!$B$6*IF(F1814&gt;0,F1814,0))/(01_Parametres!$B$4*(D1814&gt;0)+01_Parametres!$B$5*(E1814&gt;0)+01_Parametres!$B$6*(F1814&gt;0))),IF(01_Parametres!$B$8=0,"",(01_Parametres!$B$4*D1814+01_Parametres!$B$5*E1814+01_Parametres!$B$6*F1814)/01_Parametres!$B$8)))</x:f>
      </x:c>
      <x:c r="H1814">
        <x:f>IFERROR(VLOOKUP(C1814,02_Referentiels!$A$20:$D$99,3,FALSE),"")</x:f>
      </x:c>
      <x:c r="I1814">
        <x:f>IFERROR(VLOOKUP(B1814,02_Referentiels!$A$5:$C$16,2,FALSE),"")</x:f>
      </x:c>
      <x:c r="J1814">
        <x:f>IF(A1814="","",IF(OR(D1814="",E1814="",F1814=""),1,IF(OR(D1814&lt;0,D1814&gt;3,E1814&lt;0,E1814&gt;3,F1814&lt;0,F1814&gt;3),1,0)))</x:f>
      </x:c>
      <x:c r="K1814">
        <x:f>IF(A1814="","",IF(G1814="",1,0))</x:f>
      </x:c>
      <x:c r="L1814">
        <x:f>IF(A1814="","",IF(COUNTIFS($A$5:$A$2004,A1814,$C$5:$C$2004,C1814)&gt;1,1,0))</x:f>
      </x:c>
    </x:row>
    <x:row r="1815">
      <x:c r="A1815" s="8" t="n"/>
      <x:c r="B1815" s="8" t="n"/>
      <x:c r="C1815" s="8" t="n"/>
      <x:c r="D1815" s="8" t="n"/>
      <x:c r="E1815" s="8" t="n"/>
      <x:c r="F1815" s="8" t="n"/>
      <x:c r="G1815" s="7">
        <x:f>IF(A1815="","",IF(01_Parametres!$B$11="Oui",IF((01_Parametres!$B$4*(D1815&gt;0)+01_Parametres!$B$5*(E1815&gt;0)+01_Parametres!$B$6*(F1815&gt;0))=0,"",(01_Parametres!$B$4*IF(D1815&gt;0,D1815,0)+01_Parametres!$B$5*IF(E1815&gt;0,E1815,0)+01_Parametres!$B$6*IF(F1815&gt;0,F1815,0))/(01_Parametres!$B$4*(D1815&gt;0)+01_Parametres!$B$5*(E1815&gt;0)+01_Parametres!$B$6*(F1815&gt;0))),IF(01_Parametres!$B$8=0,"",(01_Parametres!$B$4*D1815+01_Parametres!$B$5*E1815+01_Parametres!$B$6*F1815)/01_Parametres!$B$8)))</x:f>
      </x:c>
      <x:c r="H1815">
        <x:f>IFERROR(VLOOKUP(C1815,02_Referentiels!$A$20:$D$99,3,FALSE),"")</x:f>
      </x:c>
      <x:c r="I1815">
        <x:f>IFERROR(VLOOKUP(B1815,02_Referentiels!$A$5:$C$16,2,FALSE),"")</x:f>
      </x:c>
      <x:c r="J1815">
        <x:f>IF(A1815="","",IF(OR(D1815="",E1815="",F1815=""),1,IF(OR(D1815&lt;0,D1815&gt;3,E1815&lt;0,E1815&gt;3,F1815&lt;0,F1815&gt;3),1,0)))</x:f>
      </x:c>
      <x:c r="K1815">
        <x:f>IF(A1815="","",IF(G1815="",1,0))</x:f>
      </x:c>
      <x:c r="L1815">
        <x:f>IF(A1815="","",IF(COUNTIFS($A$5:$A$2004,A1815,$C$5:$C$2004,C1815)&gt;1,1,0))</x:f>
      </x:c>
    </x:row>
    <x:row r="1816">
      <x:c r="A1816" s="8" t="n"/>
      <x:c r="B1816" s="8" t="n"/>
      <x:c r="C1816" s="8" t="n"/>
      <x:c r="D1816" s="8" t="n"/>
      <x:c r="E1816" s="8" t="n"/>
      <x:c r="F1816" s="8" t="n"/>
      <x:c r="G1816" s="7">
        <x:f>IF(A1816="","",IF(01_Parametres!$B$11="Oui",IF((01_Parametres!$B$4*(D1816&gt;0)+01_Parametres!$B$5*(E1816&gt;0)+01_Parametres!$B$6*(F1816&gt;0))=0,"",(01_Parametres!$B$4*IF(D1816&gt;0,D1816,0)+01_Parametres!$B$5*IF(E1816&gt;0,E1816,0)+01_Parametres!$B$6*IF(F1816&gt;0,F1816,0))/(01_Parametres!$B$4*(D1816&gt;0)+01_Parametres!$B$5*(E1816&gt;0)+01_Parametres!$B$6*(F1816&gt;0))),IF(01_Parametres!$B$8=0,"",(01_Parametres!$B$4*D1816+01_Parametres!$B$5*E1816+01_Parametres!$B$6*F1816)/01_Parametres!$B$8)))</x:f>
      </x:c>
      <x:c r="H1816">
        <x:f>IFERROR(VLOOKUP(C1816,02_Referentiels!$A$20:$D$99,3,FALSE),"")</x:f>
      </x:c>
      <x:c r="I1816">
        <x:f>IFERROR(VLOOKUP(B1816,02_Referentiels!$A$5:$C$16,2,FALSE),"")</x:f>
      </x:c>
      <x:c r="J1816">
        <x:f>IF(A1816="","",IF(OR(D1816="",E1816="",F1816=""),1,IF(OR(D1816&lt;0,D1816&gt;3,E1816&lt;0,E1816&gt;3,F1816&lt;0,F1816&gt;3),1,0)))</x:f>
      </x:c>
      <x:c r="K1816">
        <x:f>IF(A1816="","",IF(G1816="",1,0))</x:f>
      </x:c>
      <x:c r="L1816">
        <x:f>IF(A1816="","",IF(COUNTIFS($A$5:$A$2004,A1816,$C$5:$C$2004,C1816)&gt;1,1,0))</x:f>
      </x:c>
    </x:row>
    <x:row r="1817">
      <x:c r="A1817" s="8" t="n"/>
      <x:c r="B1817" s="8" t="n"/>
      <x:c r="C1817" s="8" t="n"/>
      <x:c r="D1817" s="8" t="n"/>
      <x:c r="E1817" s="8" t="n"/>
      <x:c r="F1817" s="8" t="n"/>
      <x:c r="G1817" s="7">
        <x:f>IF(A1817="","",IF(01_Parametres!$B$11="Oui",IF((01_Parametres!$B$4*(D1817&gt;0)+01_Parametres!$B$5*(E1817&gt;0)+01_Parametres!$B$6*(F1817&gt;0))=0,"",(01_Parametres!$B$4*IF(D1817&gt;0,D1817,0)+01_Parametres!$B$5*IF(E1817&gt;0,E1817,0)+01_Parametres!$B$6*IF(F1817&gt;0,F1817,0))/(01_Parametres!$B$4*(D1817&gt;0)+01_Parametres!$B$5*(E1817&gt;0)+01_Parametres!$B$6*(F1817&gt;0))),IF(01_Parametres!$B$8=0,"",(01_Parametres!$B$4*D1817+01_Parametres!$B$5*E1817+01_Parametres!$B$6*F1817)/01_Parametres!$B$8)))</x:f>
      </x:c>
      <x:c r="H1817">
        <x:f>IFERROR(VLOOKUP(C1817,02_Referentiels!$A$20:$D$99,3,FALSE),"")</x:f>
      </x:c>
      <x:c r="I1817">
        <x:f>IFERROR(VLOOKUP(B1817,02_Referentiels!$A$5:$C$16,2,FALSE),"")</x:f>
      </x:c>
      <x:c r="J1817">
        <x:f>IF(A1817="","",IF(OR(D1817="",E1817="",F1817=""),1,IF(OR(D1817&lt;0,D1817&gt;3,E1817&lt;0,E1817&gt;3,F1817&lt;0,F1817&gt;3),1,0)))</x:f>
      </x:c>
      <x:c r="K1817">
        <x:f>IF(A1817="","",IF(G1817="",1,0))</x:f>
      </x:c>
      <x:c r="L1817">
        <x:f>IF(A1817="","",IF(COUNTIFS($A$5:$A$2004,A1817,$C$5:$C$2004,C1817)&gt;1,1,0))</x:f>
      </x:c>
    </x:row>
    <x:row r="1818">
      <x:c r="A1818" s="8" t="n"/>
      <x:c r="B1818" s="8" t="n"/>
      <x:c r="C1818" s="8" t="n"/>
      <x:c r="D1818" s="8" t="n"/>
      <x:c r="E1818" s="8" t="n"/>
      <x:c r="F1818" s="8" t="n"/>
      <x:c r="G1818" s="7">
        <x:f>IF(A1818="","",IF(01_Parametres!$B$11="Oui",IF((01_Parametres!$B$4*(D1818&gt;0)+01_Parametres!$B$5*(E1818&gt;0)+01_Parametres!$B$6*(F1818&gt;0))=0,"",(01_Parametres!$B$4*IF(D1818&gt;0,D1818,0)+01_Parametres!$B$5*IF(E1818&gt;0,E1818,0)+01_Parametres!$B$6*IF(F1818&gt;0,F1818,0))/(01_Parametres!$B$4*(D1818&gt;0)+01_Parametres!$B$5*(E1818&gt;0)+01_Parametres!$B$6*(F1818&gt;0))),IF(01_Parametres!$B$8=0,"",(01_Parametres!$B$4*D1818+01_Parametres!$B$5*E1818+01_Parametres!$B$6*F1818)/01_Parametres!$B$8)))</x:f>
      </x:c>
      <x:c r="H1818">
        <x:f>IFERROR(VLOOKUP(C1818,02_Referentiels!$A$20:$D$99,3,FALSE),"")</x:f>
      </x:c>
      <x:c r="I1818">
        <x:f>IFERROR(VLOOKUP(B1818,02_Referentiels!$A$5:$C$16,2,FALSE),"")</x:f>
      </x:c>
      <x:c r="J1818">
        <x:f>IF(A1818="","",IF(OR(D1818="",E1818="",F1818=""),1,IF(OR(D1818&lt;0,D1818&gt;3,E1818&lt;0,E1818&gt;3,F1818&lt;0,F1818&gt;3),1,0)))</x:f>
      </x:c>
      <x:c r="K1818">
        <x:f>IF(A1818="","",IF(G1818="",1,0))</x:f>
      </x:c>
      <x:c r="L1818">
        <x:f>IF(A1818="","",IF(COUNTIFS($A$5:$A$2004,A1818,$C$5:$C$2004,C1818)&gt;1,1,0))</x:f>
      </x:c>
    </x:row>
    <x:row r="1819">
      <x:c r="A1819" s="8" t="n"/>
      <x:c r="B1819" s="8" t="n"/>
      <x:c r="C1819" s="8" t="n"/>
      <x:c r="D1819" s="8" t="n"/>
      <x:c r="E1819" s="8" t="n"/>
      <x:c r="F1819" s="8" t="n"/>
      <x:c r="G1819" s="7">
        <x:f>IF(A1819="","",IF(01_Parametres!$B$11="Oui",IF((01_Parametres!$B$4*(D1819&gt;0)+01_Parametres!$B$5*(E1819&gt;0)+01_Parametres!$B$6*(F1819&gt;0))=0,"",(01_Parametres!$B$4*IF(D1819&gt;0,D1819,0)+01_Parametres!$B$5*IF(E1819&gt;0,E1819,0)+01_Parametres!$B$6*IF(F1819&gt;0,F1819,0))/(01_Parametres!$B$4*(D1819&gt;0)+01_Parametres!$B$5*(E1819&gt;0)+01_Parametres!$B$6*(F1819&gt;0))),IF(01_Parametres!$B$8=0,"",(01_Parametres!$B$4*D1819+01_Parametres!$B$5*E1819+01_Parametres!$B$6*F1819)/01_Parametres!$B$8)))</x:f>
      </x:c>
      <x:c r="H1819">
        <x:f>IFERROR(VLOOKUP(C1819,02_Referentiels!$A$20:$D$99,3,FALSE),"")</x:f>
      </x:c>
      <x:c r="I1819">
        <x:f>IFERROR(VLOOKUP(B1819,02_Referentiels!$A$5:$C$16,2,FALSE),"")</x:f>
      </x:c>
      <x:c r="J1819">
        <x:f>IF(A1819="","",IF(OR(D1819="",E1819="",F1819=""),1,IF(OR(D1819&lt;0,D1819&gt;3,E1819&lt;0,E1819&gt;3,F1819&lt;0,F1819&gt;3),1,0)))</x:f>
      </x:c>
      <x:c r="K1819">
        <x:f>IF(A1819="","",IF(G1819="",1,0))</x:f>
      </x:c>
      <x:c r="L1819">
        <x:f>IF(A1819="","",IF(COUNTIFS($A$5:$A$2004,A1819,$C$5:$C$2004,C1819)&gt;1,1,0))</x:f>
      </x:c>
    </x:row>
    <x:row r="1820">
      <x:c r="A1820" s="8" t="n"/>
      <x:c r="B1820" s="8" t="n"/>
      <x:c r="C1820" s="8" t="n"/>
      <x:c r="D1820" s="8" t="n"/>
      <x:c r="E1820" s="8" t="n"/>
      <x:c r="F1820" s="8" t="n"/>
      <x:c r="G1820" s="7">
        <x:f>IF(A1820="","",IF(01_Parametres!$B$11="Oui",IF((01_Parametres!$B$4*(D1820&gt;0)+01_Parametres!$B$5*(E1820&gt;0)+01_Parametres!$B$6*(F1820&gt;0))=0,"",(01_Parametres!$B$4*IF(D1820&gt;0,D1820,0)+01_Parametres!$B$5*IF(E1820&gt;0,E1820,0)+01_Parametres!$B$6*IF(F1820&gt;0,F1820,0))/(01_Parametres!$B$4*(D1820&gt;0)+01_Parametres!$B$5*(E1820&gt;0)+01_Parametres!$B$6*(F1820&gt;0))),IF(01_Parametres!$B$8=0,"",(01_Parametres!$B$4*D1820+01_Parametres!$B$5*E1820+01_Parametres!$B$6*F1820)/01_Parametres!$B$8)))</x:f>
      </x:c>
      <x:c r="H1820">
        <x:f>IFERROR(VLOOKUP(C1820,02_Referentiels!$A$20:$D$99,3,FALSE),"")</x:f>
      </x:c>
      <x:c r="I1820">
        <x:f>IFERROR(VLOOKUP(B1820,02_Referentiels!$A$5:$C$16,2,FALSE),"")</x:f>
      </x:c>
      <x:c r="J1820">
        <x:f>IF(A1820="","",IF(OR(D1820="",E1820="",F1820=""),1,IF(OR(D1820&lt;0,D1820&gt;3,E1820&lt;0,E1820&gt;3,F1820&lt;0,F1820&gt;3),1,0)))</x:f>
      </x:c>
      <x:c r="K1820">
        <x:f>IF(A1820="","",IF(G1820="",1,0))</x:f>
      </x:c>
      <x:c r="L1820">
        <x:f>IF(A1820="","",IF(COUNTIFS($A$5:$A$2004,A1820,$C$5:$C$2004,C1820)&gt;1,1,0))</x:f>
      </x:c>
    </x:row>
    <x:row r="1821">
      <x:c r="A1821" s="8" t="n"/>
      <x:c r="B1821" s="8" t="n"/>
      <x:c r="C1821" s="8" t="n"/>
      <x:c r="D1821" s="8" t="n"/>
      <x:c r="E1821" s="8" t="n"/>
      <x:c r="F1821" s="8" t="n"/>
      <x:c r="G1821" s="7">
        <x:f>IF(A1821="","",IF(01_Parametres!$B$11="Oui",IF((01_Parametres!$B$4*(D1821&gt;0)+01_Parametres!$B$5*(E1821&gt;0)+01_Parametres!$B$6*(F1821&gt;0))=0,"",(01_Parametres!$B$4*IF(D1821&gt;0,D1821,0)+01_Parametres!$B$5*IF(E1821&gt;0,E1821,0)+01_Parametres!$B$6*IF(F1821&gt;0,F1821,0))/(01_Parametres!$B$4*(D1821&gt;0)+01_Parametres!$B$5*(E1821&gt;0)+01_Parametres!$B$6*(F1821&gt;0))),IF(01_Parametres!$B$8=0,"",(01_Parametres!$B$4*D1821+01_Parametres!$B$5*E1821+01_Parametres!$B$6*F1821)/01_Parametres!$B$8)))</x:f>
      </x:c>
      <x:c r="H1821">
        <x:f>IFERROR(VLOOKUP(C1821,02_Referentiels!$A$20:$D$99,3,FALSE),"")</x:f>
      </x:c>
      <x:c r="I1821">
        <x:f>IFERROR(VLOOKUP(B1821,02_Referentiels!$A$5:$C$16,2,FALSE),"")</x:f>
      </x:c>
      <x:c r="J1821">
        <x:f>IF(A1821="","",IF(OR(D1821="",E1821="",F1821=""),1,IF(OR(D1821&lt;0,D1821&gt;3,E1821&lt;0,E1821&gt;3,F1821&lt;0,F1821&gt;3),1,0)))</x:f>
      </x:c>
      <x:c r="K1821">
        <x:f>IF(A1821="","",IF(G1821="",1,0))</x:f>
      </x:c>
      <x:c r="L1821">
        <x:f>IF(A1821="","",IF(COUNTIFS($A$5:$A$2004,A1821,$C$5:$C$2004,C1821)&gt;1,1,0))</x:f>
      </x:c>
    </x:row>
    <x:row r="1822">
      <x:c r="A1822" s="8" t="n"/>
      <x:c r="B1822" s="8" t="n"/>
      <x:c r="C1822" s="8" t="n"/>
      <x:c r="D1822" s="8" t="n"/>
      <x:c r="E1822" s="8" t="n"/>
      <x:c r="F1822" s="8" t="n"/>
      <x:c r="G1822" s="7">
        <x:f>IF(A1822="","",IF(01_Parametres!$B$11="Oui",IF((01_Parametres!$B$4*(D1822&gt;0)+01_Parametres!$B$5*(E1822&gt;0)+01_Parametres!$B$6*(F1822&gt;0))=0,"",(01_Parametres!$B$4*IF(D1822&gt;0,D1822,0)+01_Parametres!$B$5*IF(E1822&gt;0,E1822,0)+01_Parametres!$B$6*IF(F1822&gt;0,F1822,0))/(01_Parametres!$B$4*(D1822&gt;0)+01_Parametres!$B$5*(E1822&gt;0)+01_Parametres!$B$6*(F1822&gt;0))),IF(01_Parametres!$B$8=0,"",(01_Parametres!$B$4*D1822+01_Parametres!$B$5*E1822+01_Parametres!$B$6*F1822)/01_Parametres!$B$8)))</x:f>
      </x:c>
      <x:c r="H1822">
        <x:f>IFERROR(VLOOKUP(C1822,02_Referentiels!$A$20:$D$99,3,FALSE),"")</x:f>
      </x:c>
      <x:c r="I1822">
        <x:f>IFERROR(VLOOKUP(B1822,02_Referentiels!$A$5:$C$16,2,FALSE),"")</x:f>
      </x:c>
      <x:c r="J1822">
        <x:f>IF(A1822="","",IF(OR(D1822="",E1822="",F1822=""),1,IF(OR(D1822&lt;0,D1822&gt;3,E1822&lt;0,E1822&gt;3,F1822&lt;0,F1822&gt;3),1,0)))</x:f>
      </x:c>
      <x:c r="K1822">
        <x:f>IF(A1822="","",IF(G1822="",1,0))</x:f>
      </x:c>
      <x:c r="L1822">
        <x:f>IF(A1822="","",IF(COUNTIFS($A$5:$A$2004,A1822,$C$5:$C$2004,C1822)&gt;1,1,0))</x:f>
      </x:c>
    </x:row>
    <x:row r="1823">
      <x:c r="A1823" s="8" t="n"/>
      <x:c r="B1823" s="8" t="n"/>
      <x:c r="C1823" s="8" t="n"/>
      <x:c r="D1823" s="8" t="n"/>
      <x:c r="E1823" s="8" t="n"/>
      <x:c r="F1823" s="8" t="n"/>
      <x:c r="G1823" s="7">
        <x:f>IF(A1823="","",IF(01_Parametres!$B$11="Oui",IF((01_Parametres!$B$4*(D1823&gt;0)+01_Parametres!$B$5*(E1823&gt;0)+01_Parametres!$B$6*(F1823&gt;0))=0,"",(01_Parametres!$B$4*IF(D1823&gt;0,D1823,0)+01_Parametres!$B$5*IF(E1823&gt;0,E1823,0)+01_Parametres!$B$6*IF(F1823&gt;0,F1823,0))/(01_Parametres!$B$4*(D1823&gt;0)+01_Parametres!$B$5*(E1823&gt;0)+01_Parametres!$B$6*(F1823&gt;0))),IF(01_Parametres!$B$8=0,"",(01_Parametres!$B$4*D1823+01_Parametres!$B$5*E1823+01_Parametres!$B$6*F1823)/01_Parametres!$B$8)))</x:f>
      </x:c>
      <x:c r="H1823">
        <x:f>IFERROR(VLOOKUP(C1823,02_Referentiels!$A$20:$D$99,3,FALSE),"")</x:f>
      </x:c>
      <x:c r="I1823">
        <x:f>IFERROR(VLOOKUP(B1823,02_Referentiels!$A$5:$C$16,2,FALSE),"")</x:f>
      </x:c>
      <x:c r="J1823">
        <x:f>IF(A1823="","",IF(OR(D1823="",E1823="",F1823=""),1,IF(OR(D1823&lt;0,D1823&gt;3,E1823&lt;0,E1823&gt;3,F1823&lt;0,F1823&gt;3),1,0)))</x:f>
      </x:c>
      <x:c r="K1823">
        <x:f>IF(A1823="","",IF(G1823="",1,0))</x:f>
      </x:c>
      <x:c r="L1823">
        <x:f>IF(A1823="","",IF(COUNTIFS($A$5:$A$2004,A1823,$C$5:$C$2004,C1823)&gt;1,1,0))</x:f>
      </x:c>
    </x:row>
    <x:row r="1824">
      <x:c r="A1824" s="8" t="n"/>
      <x:c r="B1824" s="8" t="n"/>
      <x:c r="C1824" s="8" t="n"/>
      <x:c r="D1824" s="8" t="n"/>
      <x:c r="E1824" s="8" t="n"/>
      <x:c r="F1824" s="8" t="n"/>
      <x:c r="G1824" s="7">
        <x:f>IF(A1824="","",IF(01_Parametres!$B$11="Oui",IF((01_Parametres!$B$4*(D1824&gt;0)+01_Parametres!$B$5*(E1824&gt;0)+01_Parametres!$B$6*(F1824&gt;0))=0,"",(01_Parametres!$B$4*IF(D1824&gt;0,D1824,0)+01_Parametres!$B$5*IF(E1824&gt;0,E1824,0)+01_Parametres!$B$6*IF(F1824&gt;0,F1824,0))/(01_Parametres!$B$4*(D1824&gt;0)+01_Parametres!$B$5*(E1824&gt;0)+01_Parametres!$B$6*(F1824&gt;0))),IF(01_Parametres!$B$8=0,"",(01_Parametres!$B$4*D1824+01_Parametres!$B$5*E1824+01_Parametres!$B$6*F1824)/01_Parametres!$B$8)))</x:f>
      </x:c>
      <x:c r="H1824">
        <x:f>IFERROR(VLOOKUP(C1824,02_Referentiels!$A$20:$D$99,3,FALSE),"")</x:f>
      </x:c>
      <x:c r="I1824">
        <x:f>IFERROR(VLOOKUP(B1824,02_Referentiels!$A$5:$C$16,2,FALSE),"")</x:f>
      </x:c>
      <x:c r="J1824">
        <x:f>IF(A1824="","",IF(OR(D1824="",E1824="",F1824=""),1,IF(OR(D1824&lt;0,D1824&gt;3,E1824&lt;0,E1824&gt;3,F1824&lt;0,F1824&gt;3),1,0)))</x:f>
      </x:c>
      <x:c r="K1824">
        <x:f>IF(A1824="","",IF(G1824="",1,0))</x:f>
      </x:c>
      <x:c r="L1824">
        <x:f>IF(A1824="","",IF(COUNTIFS($A$5:$A$2004,A1824,$C$5:$C$2004,C1824)&gt;1,1,0))</x:f>
      </x:c>
    </x:row>
    <x:row r="1825">
      <x:c r="A1825" s="8" t="n"/>
      <x:c r="B1825" s="8" t="n"/>
      <x:c r="C1825" s="8" t="n"/>
      <x:c r="D1825" s="8" t="n"/>
      <x:c r="E1825" s="8" t="n"/>
      <x:c r="F1825" s="8" t="n"/>
      <x:c r="G1825" s="7">
        <x:f>IF(A1825="","",IF(01_Parametres!$B$11="Oui",IF((01_Parametres!$B$4*(D1825&gt;0)+01_Parametres!$B$5*(E1825&gt;0)+01_Parametres!$B$6*(F1825&gt;0))=0,"",(01_Parametres!$B$4*IF(D1825&gt;0,D1825,0)+01_Parametres!$B$5*IF(E1825&gt;0,E1825,0)+01_Parametres!$B$6*IF(F1825&gt;0,F1825,0))/(01_Parametres!$B$4*(D1825&gt;0)+01_Parametres!$B$5*(E1825&gt;0)+01_Parametres!$B$6*(F1825&gt;0))),IF(01_Parametres!$B$8=0,"",(01_Parametres!$B$4*D1825+01_Parametres!$B$5*E1825+01_Parametres!$B$6*F1825)/01_Parametres!$B$8)))</x:f>
      </x:c>
      <x:c r="H1825">
        <x:f>IFERROR(VLOOKUP(C1825,02_Referentiels!$A$20:$D$99,3,FALSE),"")</x:f>
      </x:c>
      <x:c r="I1825">
        <x:f>IFERROR(VLOOKUP(B1825,02_Referentiels!$A$5:$C$16,2,FALSE),"")</x:f>
      </x:c>
      <x:c r="J1825">
        <x:f>IF(A1825="","",IF(OR(D1825="",E1825="",F1825=""),1,IF(OR(D1825&lt;0,D1825&gt;3,E1825&lt;0,E1825&gt;3,F1825&lt;0,F1825&gt;3),1,0)))</x:f>
      </x:c>
      <x:c r="K1825">
        <x:f>IF(A1825="","",IF(G1825="",1,0))</x:f>
      </x:c>
      <x:c r="L1825">
        <x:f>IF(A1825="","",IF(COUNTIFS($A$5:$A$2004,A1825,$C$5:$C$2004,C1825)&gt;1,1,0))</x:f>
      </x:c>
    </x:row>
    <x:row r="1826">
      <x:c r="A1826" s="8" t="n"/>
      <x:c r="B1826" s="8" t="n"/>
      <x:c r="C1826" s="8" t="n"/>
      <x:c r="D1826" s="8" t="n"/>
      <x:c r="E1826" s="8" t="n"/>
      <x:c r="F1826" s="8" t="n"/>
      <x:c r="G1826" s="7">
        <x:f>IF(A1826="","",IF(01_Parametres!$B$11="Oui",IF((01_Parametres!$B$4*(D1826&gt;0)+01_Parametres!$B$5*(E1826&gt;0)+01_Parametres!$B$6*(F1826&gt;0))=0,"",(01_Parametres!$B$4*IF(D1826&gt;0,D1826,0)+01_Parametres!$B$5*IF(E1826&gt;0,E1826,0)+01_Parametres!$B$6*IF(F1826&gt;0,F1826,0))/(01_Parametres!$B$4*(D1826&gt;0)+01_Parametres!$B$5*(E1826&gt;0)+01_Parametres!$B$6*(F1826&gt;0))),IF(01_Parametres!$B$8=0,"",(01_Parametres!$B$4*D1826+01_Parametres!$B$5*E1826+01_Parametres!$B$6*F1826)/01_Parametres!$B$8)))</x:f>
      </x:c>
      <x:c r="H1826">
        <x:f>IFERROR(VLOOKUP(C1826,02_Referentiels!$A$20:$D$99,3,FALSE),"")</x:f>
      </x:c>
      <x:c r="I1826">
        <x:f>IFERROR(VLOOKUP(B1826,02_Referentiels!$A$5:$C$16,2,FALSE),"")</x:f>
      </x:c>
      <x:c r="J1826">
        <x:f>IF(A1826="","",IF(OR(D1826="",E1826="",F1826=""),1,IF(OR(D1826&lt;0,D1826&gt;3,E1826&lt;0,E1826&gt;3,F1826&lt;0,F1826&gt;3),1,0)))</x:f>
      </x:c>
      <x:c r="K1826">
        <x:f>IF(A1826="","",IF(G1826="",1,0))</x:f>
      </x:c>
      <x:c r="L1826">
        <x:f>IF(A1826="","",IF(COUNTIFS($A$5:$A$2004,A1826,$C$5:$C$2004,C1826)&gt;1,1,0))</x:f>
      </x:c>
    </x:row>
    <x:row r="1827">
      <x:c r="A1827" s="8" t="n"/>
      <x:c r="B1827" s="8" t="n"/>
      <x:c r="C1827" s="8" t="n"/>
      <x:c r="D1827" s="8" t="n"/>
      <x:c r="E1827" s="8" t="n"/>
      <x:c r="F1827" s="8" t="n"/>
      <x:c r="G1827" s="7">
        <x:f>IF(A1827="","",IF(01_Parametres!$B$11="Oui",IF((01_Parametres!$B$4*(D1827&gt;0)+01_Parametres!$B$5*(E1827&gt;0)+01_Parametres!$B$6*(F1827&gt;0))=0,"",(01_Parametres!$B$4*IF(D1827&gt;0,D1827,0)+01_Parametres!$B$5*IF(E1827&gt;0,E1827,0)+01_Parametres!$B$6*IF(F1827&gt;0,F1827,0))/(01_Parametres!$B$4*(D1827&gt;0)+01_Parametres!$B$5*(E1827&gt;0)+01_Parametres!$B$6*(F1827&gt;0))),IF(01_Parametres!$B$8=0,"",(01_Parametres!$B$4*D1827+01_Parametres!$B$5*E1827+01_Parametres!$B$6*F1827)/01_Parametres!$B$8)))</x:f>
      </x:c>
      <x:c r="H1827">
        <x:f>IFERROR(VLOOKUP(C1827,02_Referentiels!$A$20:$D$99,3,FALSE),"")</x:f>
      </x:c>
      <x:c r="I1827">
        <x:f>IFERROR(VLOOKUP(B1827,02_Referentiels!$A$5:$C$16,2,FALSE),"")</x:f>
      </x:c>
      <x:c r="J1827">
        <x:f>IF(A1827="","",IF(OR(D1827="",E1827="",F1827=""),1,IF(OR(D1827&lt;0,D1827&gt;3,E1827&lt;0,E1827&gt;3,F1827&lt;0,F1827&gt;3),1,0)))</x:f>
      </x:c>
      <x:c r="K1827">
        <x:f>IF(A1827="","",IF(G1827="",1,0))</x:f>
      </x:c>
      <x:c r="L1827">
        <x:f>IF(A1827="","",IF(COUNTIFS($A$5:$A$2004,A1827,$C$5:$C$2004,C1827)&gt;1,1,0))</x:f>
      </x:c>
    </x:row>
    <x:row r="1828">
      <x:c r="A1828" s="8" t="n"/>
      <x:c r="B1828" s="8" t="n"/>
      <x:c r="C1828" s="8" t="n"/>
      <x:c r="D1828" s="8" t="n"/>
      <x:c r="E1828" s="8" t="n"/>
      <x:c r="F1828" s="8" t="n"/>
      <x:c r="G1828" s="7">
        <x:f>IF(A1828="","",IF(01_Parametres!$B$11="Oui",IF((01_Parametres!$B$4*(D1828&gt;0)+01_Parametres!$B$5*(E1828&gt;0)+01_Parametres!$B$6*(F1828&gt;0))=0,"",(01_Parametres!$B$4*IF(D1828&gt;0,D1828,0)+01_Parametres!$B$5*IF(E1828&gt;0,E1828,0)+01_Parametres!$B$6*IF(F1828&gt;0,F1828,0))/(01_Parametres!$B$4*(D1828&gt;0)+01_Parametres!$B$5*(E1828&gt;0)+01_Parametres!$B$6*(F1828&gt;0))),IF(01_Parametres!$B$8=0,"",(01_Parametres!$B$4*D1828+01_Parametres!$B$5*E1828+01_Parametres!$B$6*F1828)/01_Parametres!$B$8)))</x:f>
      </x:c>
      <x:c r="H1828">
        <x:f>IFERROR(VLOOKUP(C1828,02_Referentiels!$A$20:$D$99,3,FALSE),"")</x:f>
      </x:c>
      <x:c r="I1828">
        <x:f>IFERROR(VLOOKUP(B1828,02_Referentiels!$A$5:$C$16,2,FALSE),"")</x:f>
      </x:c>
      <x:c r="J1828">
        <x:f>IF(A1828="","",IF(OR(D1828="",E1828="",F1828=""),1,IF(OR(D1828&lt;0,D1828&gt;3,E1828&lt;0,E1828&gt;3,F1828&lt;0,F1828&gt;3),1,0)))</x:f>
      </x:c>
      <x:c r="K1828">
        <x:f>IF(A1828="","",IF(G1828="",1,0))</x:f>
      </x:c>
      <x:c r="L1828">
        <x:f>IF(A1828="","",IF(COUNTIFS($A$5:$A$2004,A1828,$C$5:$C$2004,C1828)&gt;1,1,0))</x:f>
      </x:c>
    </x:row>
    <x:row r="1829">
      <x:c r="A1829" s="8" t="n"/>
      <x:c r="B1829" s="8" t="n"/>
      <x:c r="C1829" s="8" t="n"/>
      <x:c r="D1829" s="8" t="n"/>
      <x:c r="E1829" s="8" t="n"/>
      <x:c r="F1829" s="8" t="n"/>
      <x:c r="G1829" s="7">
        <x:f>IF(A1829="","",IF(01_Parametres!$B$11="Oui",IF((01_Parametres!$B$4*(D1829&gt;0)+01_Parametres!$B$5*(E1829&gt;0)+01_Parametres!$B$6*(F1829&gt;0))=0,"",(01_Parametres!$B$4*IF(D1829&gt;0,D1829,0)+01_Parametres!$B$5*IF(E1829&gt;0,E1829,0)+01_Parametres!$B$6*IF(F1829&gt;0,F1829,0))/(01_Parametres!$B$4*(D1829&gt;0)+01_Parametres!$B$5*(E1829&gt;0)+01_Parametres!$B$6*(F1829&gt;0))),IF(01_Parametres!$B$8=0,"",(01_Parametres!$B$4*D1829+01_Parametres!$B$5*E1829+01_Parametres!$B$6*F1829)/01_Parametres!$B$8)))</x:f>
      </x:c>
      <x:c r="H1829">
        <x:f>IFERROR(VLOOKUP(C1829,02_Referentiels!$A$20:$D$99,3,FALSE),"")</x:f>
      </x:c>
      <x:c r="I1829">
        <x:f>IFERROR(VLOOKUP(B1829,02_Referentiels!$A$5:$C$16,2,FALSE),"")</x:f>
      </x:c>
      <x:c r="J1829">
        <x:f>IF(A1829="","",IF(OR(D1829="",E1829="",F1829=""),1,IF(OR(D1829&lt;0,D1829&gt;3,E1829&lt;0,E1829&gt;3,F1829&lt;0,F1829&gt;3),1,0)))</x:f>
      </x:c>
      <x:c r="K1829">
        <x:f>IF(A1829="","",IF(G1829="",1,0))</x:f>
      </x:c>
      <x:c r="L1829">
        <x:f>IF(A1829="","",IF(COUNTIFS($A$5:$A$2004,A1829,$C$5:$C$2004,C1829)&gt;1,1,0))</x:f>
      </x:c>
    </x:row>
    <x:row r="1830">
      <x:c r="A1830" s="8" t="n"/>
      <x:c r="B1830" s="8" t="n"/>
      <x:c r="C1830" s="8" t="n"/>
      <x:c r="D1830" s="8" t="n"/>
      <x:c r="E1830" s="8" t="n"/>
      <x:c r="F1830" s="8" t="n"/>
      <x:c r="G1830" s="7">
        <x:f>IF(A1830="","",IF(01_Parametres!$B$11="Oui",IF((01_Parametres!$B$4*(D1830&gt;0)+01_Parametres!$B$5*(E1830&gt;0)+01_Parametres!$B$6*(F1830&gt;0))=0,"",(01_Parametres!$B$4*IF(D1830&gt;0,D1830,0)+01_Parametres!$B$5*IF(E1830&gt;0,E1830,0)+01_Parametres!$B$6*IF(F1830&gt;0,F1830,0))/(01_Parametres!$B$4*(D1830&gt;0)+01_Parametres!$B$5*(E1830&gt;0)+01_Parametres!$B$6*(F1830&gt;0))),IF(01_Parametres!$B$8=0,"",(01_Parametres!$B$4*D1830+01_Parametres!$B$5*E1830+01_Parametres!$B$6*F1830)/01_Parametres!$B$8)))</x:f>
      </x:c>
      <x:c r="H1830">
        <x:f>IFERROR(VLOOKUP(C1830,02_Referentiels!$A$20:$D$99,3,FALSE),"")</x:f>
      </x:c>
      <x:c r="I1830">
        <x:f>IFERROR(VLOOKUP(B1830,02_Referentiels!$A$5:$C$16,2,FALSE),"")</x:f>
      </x:c>
      <x:c r="J1830">
        <x:f>IF(A1830="","",IF(OR(D1830="",E1830="",F1830=""),1,IF(OR(D1830&lt;0,D1830&gt;3,E1830&lt;0,E1830&gt;3,F1830&lt;0,F1830&gt;3),1,0)))</x:f>
      </x:c>
      <x:c r="K1830">
        <x:f>IF(A1830="","",IF(G1830="",1,0))</x:f>
      </x:c>
      <x:c r="L1830">
        <x:f>IF(A1830="","",IF(COUNTIFS($A$5:$A$2004,A1830,$C$5:$C$2004,C1830)&gt;1,1,0))</x:f>
      </x:c>
    </x:row>
    <x:row r="1831">
      <x:c r="A1831" s="8" t="n"/>
      <x:c r="B1831" s="8" t="n"/>
      <x:c r="C1831" s="8" t="n"/>
      <x:c r="D1831" s="8" t="n"/>
      <x:c r="E1831" s="8" t="n"/>
      <x:c r="F1831" s="8" t="n"/>
      <x:c r="G1831" s="7">
        <x:f>IF(A1831="","",IF(01_Parametres!$B$11="Oui",IF((01_Parametres!$B$4*(D1831&gt;0)+01_Parametres!$B$5*(E1831&gt;0)+01_Parametres!$B$6*(F1831&gt;0))=0,"",(01_Parametres!$B$4*IF(D1831&gt;0,D1831,0)+01_Parametres!$B$5*IF(E1831&gt;0,E1831,0)+01_Parametres!$B$6*IF(F1831&gt;0,F1831,0))/(01_Parametres!$B$4*(D1831&gt;0)+01_Parametres!$B$5*(E1831&gt;0)+01_Parametres!$B$6*(F1831&gt;0))),IF(01_Parametres!$B$8=0,"",(01_Parametres!$B$4*D1831+01_Parametres!$B$5*E1831+01_Parametres!$B$6*F1831)/01_Parametres!$B$8)))</x:f>
      </x:c>
      <x:c r="H1831">
        <x:f>IFERROR(VLOOKUP(C1831,02_Referentiels!$A$20:$D$99,3,FALSE),"")</x:f>
      </x:c>
      <x:c r="I1831">
        <x:f>IFERROR(VLOOKUP(B1831,02_Referentiels!$A$5:$C$16,2,FALSE),"")</x:f>
      </x:c>
      <x:c r="J1831">
        <x:f>IF(A1831="","",IF(OR(D1831="",E1831="",F1831=""),1,IF(OR(D1831&lt;0,D1831&gt;3,E1831&lt;0,E1831&gt;3,F1831&lt;0,F1831&gt;3),1,0)))</x:f>
      </x:c>
      <x:c r="K1831">
        <x:f>IF(A1831="","",IF(G1831="",1,0))</x:f>
      </x:c>
      <x:c r="L1831">
        <x:f>IF(A1831="","",IF(COUNTIFS($A$5:$A$2004,A1831,$C$5:$C$2004,C1831)&gt;1,1,0))</x:f>
      </x:c>
    </x:row>
    <x:row r="1832">
      <x:c r="A1832" s="8" t="n"/>
      <x:c r="B1832" s="8" t="n"/>
      <x:c r="C1832" s="8" t="n"/>
      <x:c r="D1832" s="8" t="n"/>
      <x:c r="E1832" s="8" t="n"/>
      <x:c r="F1832" s="8" t="n"/>
      <x:c r="G1832" s="7">
        <x:f>IF(A1832="","",IF(01_Parametres!$B$11="Oui",IF((01_Parametres!$B$4*(D1832&gt;0)+01_Parametres!$B$5*(E1832&gt;0)+01_Parametres!$B$6*(F1832&gt;0))=0,"",(01_Parametres!$B$4*IF(D1832&gt;0,D1832,0)+01_Parametres!$B$5*IF(E1832&gt;0,E1832,0)+01_Parametres!$B$6*IF(F1832&gt;0,F1832,0))/(01_Parametres!$B$4*(D1832&gt;0)+01_Parametres!$B$5*(E1832&gt;0)+01_Parametres!$B$6*(F1832&gt;0))),IF(01_Parametres!$B$8=0,"",(01_Parametres!$B$4*D1832+01_Parametres!$B$5*E1832+01_Parametres!$B$6*F1832)/01_Parametres!$B$8)))</x:f>
      </x:c>
      <x:c r="H1832">
        <x:f>IFERROR(VLOOKUP(C1832,02_Referentiels!$A$20:$D$99,3,FALSE),"")</x:f>
      </x:c>
      <x:c r="I1832">
        <x:f>IFERROR(VLOOKUP(B1832,02_Referentiels!$A$5:$C$16,2,FALSE),"")</x:f>
      </x:c>
      <x:c r="J1832">
        <x:f>IF(A1832="","",IF(OR(D1832="",E1832="",F1832=""),1,IF(OR(D1832&lt;0,D1832&gt;3,E1832&lt;0,E1832&gt;3,F1832&lt;0,F1832&gt;3),1,0)))</x:f>
      </x:c>
      <x:c r="K1832">
        <x:f>IF(A1832="","",IF(G1832="",1,0))</x:f>
      </x:c>
      <x:c r="L1832">
        <x:f>IF(A1832="","",IF(COUNTIFS($A$5:$A$2004,A1832,$C$5:$C$2004,C1832)&gt;1,1,0))</x:f>
      </x:c>
    </x:row>
    <x:row r="1833">
      <x:c r="A1833" s="8" t="n"/>
      <x:c r="B1833" s="8" t="n"/>
      <x:c r="C1833" s="8" t="n"/>
      <x:c r="D1833" s="8" t="n"/>
      <x:c r="E1833" s="8" t="n"/>
      <x:c r="F1833" s="8" t="n"/>
      <x:c r="G1833" s="7">
        <x:f>IF(A1833="","",IF(01_Parametres!$B$11="Oui",IF((01_Parametres!$B$4*(D1833&gt;0)+01_Parametres!$B$5*(E1833&gt;0)+01_Parametres!$B$6*(F1833&gt;0))=0,"",(01_Parametres!$B$4*IF(D1833&gt;0,D1833,0)+01_Parametres!$B$5*IF(E1833&gt;0,E1833,0)+01_Parametres!$B$6*IF(F1833&gt;0,F1833,0))/(01_Parametres!$B$4*(D1833&gt;0)+01_Parametres!$B$5*(E1833&gt;0)+01_Parametres!$B$6*(F1833&gt;0))),IF(01_Parametres!$B$8=0,"",(01_Parametres!$B$4*D1833+01_Parametres!$B$5*E1833+01_Parametres!$B$6*F1833)/01_Parametres!$B$8)))</x:f>
      </x:c>
      <x:c r="H1833">
        <x:f>IFERROR(VLOOKUP(C1833,02_Referentiels!$A$20:$D$99,3,FALSE),"")</x:f>
      </x:c>
      <x:c r="I1833">
        <x:f>IFERROR(VLOOKUP(B1833,02_Referentiels!$A$5:$C$16,2,FALSE),"")</x:f>
      </x:c>
      <x:c r="J1833">
        <x:f>IF(A1833="","",IF(OR(D1833="",E1833="",F1833=""),1,IF(OR(D1833&lt;0,D1833&gt;3,E1833&lt;0,E1833&gt;3,F1833&lt;0,F1833&gt;3),1,0)))</x:f>
      </x:c>
      <x:c r="K1833">
        <x:f>IF(A1833="","",IF(G1833="",1,0))</x:f>
      </x:c>
      <x:c r="L1833">
        <x:f>IF(A1833="","",IF(COUNTIFS($A$5:$A$2004,A1833,$C$5:$C$2004,C1833)&gt;1,1,0))</x:f>
      </x:c>
    </x:row>
    <x:row r="1834">
      <x:c r="A1834" s="8" t="n"/>
      <x:c r="B1834" s="8" t="n"/>
      <x:c r="C1834" s="8" t="n"/>
      <x:c r="D1834" s="8" t="n"/>
      <x:c r="E1834" s="8" t="n"/>
      <x:c r="F1834" s="8" t="n"/>
      <x:c r="G1834" s="7">
        <x:f>IF(A1834="","",IF(01_Parametres!$B$11="Oui",IF((01_Parametres!$B$4*(D1834&gt;0)+01_Parametres!$B$5*(E1834&gt;0)+01_Parametres!$B$6*(F1834&gt;0))=0,"",(01_Parametres!$B$4*IF(D1834&gt;0,D1834,0)+01_Parametres!$B$5*IF(E1834&gt;0,E1834,0)+01_Parametres!$B$6*IF(F1834&gt;0,F1834,0))/(01_Parametres!$B$4*(D1834&gt;0)+01_Parametres!$B$5*(E1834&gt;0)+01_Parametres!$B$6*(F1834&gt;0))),IF(01_Parametres!$B$8=0,"",(01_Parametres!$B$4*D1834+01_Parametres!$B$5*E1834+01_Parametres!$B$6*F1834)/01_Parametres!$B$8)))</x:f>
      </x:c>
      <x:c r="H1834">
        <x:f>IFERROR(VLOOKUP(C1834,02_Referentiels!$A$20:$D$99,3,FALSE),"")</x:f>
      </x:c>
      <x:c r="I1834">
        <x:f>IFERROR(VLOOKUP(B1834,02_Referentiels!$A$5:$C$16,2,FALSE),"")</x:f>
      </x:c>
      <x:c r="J1834">
        <x:f>IF(A1834="","",IF(OR(D1834="",E1834="",F1834=""),1,IF(OR(D1834&lt;0,D1834&gt;3,E1834&lt;0,E1834&gt;3,F1834&lt;0,F1834&gt;3),1,0)))</x:f>
      </x:c>
      <x:c r="K1834">
        <x:f>IF(A1834="","",IF(G1834="",1,0))</x:f>
      </x:c>
      <x:c r="L1834">
        <x:f>IF(A1834="","",IF(COUNTIFS($A$5:$A$2004,A1834,$C$5:$C$2004,C1834)&gt;1,1,0))</x:f>
      </x:c>
    </x:row>
    <x:row r="1835">
      <x:c r="A1835" s="8" t="n"/>
      <x:c r="B1835" s="8" t="n"/>
      <x:c r="C1835" s="8" t="n"/>
      <x:c r="D1835" s="8" t="n"/>
      <x:c r="E1835" s="8" t="n"/>
      <x:c r="F1835" s="8" t="n"/>
      <x:c r="G1835" s="7">
        <x:f>IF(A1835="","",IF(01_Parametres!$B$11="Oui",IF((01_Parametres!$B$4*(D1835&gt;0)+01_Parametres!$B$5*(E1835&gt;0)+01_Parametres!$B$6*(F1835&gt;0))=0,"",(01_Parametres!$B$4*IF(D1835&gt;0,D1835,0)+01_Parametres!$B$5*IF(E1835&gt;0,E1835,0)+01_Parametres!$B$6*IF(F1835&gt;0,F1835,0))/(01_Parametres!$B$4*(D1835&gt;0)+01_Parametres!$B$5*(E1835&gt;0)+01_Parametres!$B$6*(F1835&gt;0))),IF(01_Parametres!$B$8=0,"",(01_Parametres!$B$4*D1835+01_Parametres!$B$5*E1835+01_Parametres!$B$6*F1835)/01_Parametres!$B$8)))</x:f>
      </x:c>
      <x:c r="H1835">
        <x:f>IFERROR(VLOOKUP(C1835,02_Referentiels!$A$20:$D$99,3,FALSE),"")</x:f>
      </x:c>
      <x:c r="I1835">
        <x:f>IFERROR(VLOOKUP(B1835,02_Referentiels!$A$5:$C$16,2,FALSE),"")</x:f>
      </x:c>
      <x:c r="J1835">
        <x:f>IF(A1835="","",IF(OR(D1835="",E1835="",F1835=""),1,IF(OR(D1835&lt;0,D1835&gt;3,E1835&lt;0,E1835&gt;3,F1835&lt;0,F1835&gt;3),1,0)))</x:f>
      </x:c>
      <x:c r="K1835">
        <x:f>IF(A1835="","",IF(G1835="",1,0))</x:f>
      </x:c>
      <x:c r="L1835">
        <x:f>IF(A1835="","",IF(COUNTIFS($A$5:$A$2004,A1835,$C$5:$C$2004,C1835)&gt;1,1,0))</x:f>
      </x:c>
    </x:row>
    <x:row r="1836">
      <x:c r="A1836" s="8" t="n"/>
      <x:c r="B1836" s="8" t="n"/>
      <x:c r="C1836" s="8" t="n"/>
      <x:c r="D1836" s="8" t="n"/>
      <x:c r="E1836" s="8" t="n"/>
      <x:c r="F1836" s="8" t="n"/>
      <x:c r="G1836" s="7">
        <x:f>IF(A1836="","",IF(01_Parametres!$B$11="Oui",IF((01_Parametres!$B$4*(D1836&gt;0)+01_Parametres!$B$5*(E1836&gt;0)+01_Parametres!$B$6*(F1836&gt;0))=0,"",(01_Parametres!$B$4*IF(D1836&gt;0,D1836,0)+01_Parametres!$B$5*IF(E1836&gt;0,E1836,0)+01_Parametres!$B$6*IF(F1836&gt;0,F1836,0))/(01_Parametres!$B$4*(D1836&gt;0)+01_Parametres!$B$5*(E1836&gt;0)+01_Parametres!$B$6*(F1836&gt;0))),IF(01_Parametres!$B$8=0,"",(01_Parametres!$B$4*D1836+01_Parametres!$B$5*E1836+01_Parametres!$B$6*F1836)/01_Parametres!$B$8)))</x:f>
      </x:c>
      <x:c r="H1836">
        <x:f>IFERROR(VLOOKUP(C1836,02_Referentiels!$A$20:$D$99,3,FALSE),"")</x:f>
      </x:c>
      <x:c r="I1836">
        <x:f>IFERROR(VLOOKUP(B1836,02_Referentiels!$A$5:$C$16,2,FALSE),"")</x:f>
      </x:c>
      <x:c r="J1836">
        <x:f>IF(A1836="","",IF(OR(D1836="",E1836="",F1836=""),1,IF(OR(D1836&lt;0,D1836&gt;3,E1836&lt;0,E1836&gt;3,F1836&lt;0,F1836&gt;3),1,0)))</x:f>
      </x:c>
      <x:c r="K1836">
        <x:f>IF(A1836="","",IF(G1836="",1,0))</x:f>
      </x:c>
      <x:c r="L1836">
        <x:f>IF(A1836="","",IF(COUNTIFS($A$5:$A$2004,A1836,$C$5:$C$2004,C1836)&gt;1,1,0))</x:f>
      </x:c>
    </x:row>
    <x:row r="1837">
      <x:c r="A1837" s="8" t="n"/>
      <x:c r="B1837" s="8" t="n"/>
      <x:c r="C1837" s="8" t="n"/>
      <x:c r="D1837" s="8" t="n"/>
      <x:c r="E1837" s="8" t="n"/>
      <x:c r="F1837" s="8" t="n"/>
      <x:c r="G1837" s="7">
        <x:f>IF(A1837="","",IF(01_Parametres!$B$11="Oui",IF((01_Parametres!$B$4*(D1837&gt;0)+01_Parametres!$B$5*(E1837&gt;0)+01_Parametres!$B$6*(F1837&gt;0))=0,"",(01_Parametres!$B$4*IF(D1837&gt;0,D1837,0)+01_Parametres!$B$5*IF(E1837&gt;0,E1837,0)+01_Parametres!$B$6*IF(F1837&gt;0,F1837,0))/(01_Parametres!$B$4*(D1837&gt;0)+01_Parametres!$B$5*(E1837&gt;0)+01_Parametres!$B$6*(F1837&gt;0))),IF(01_Parametres!$B$8=0,"",(01_Parametres!$B$4*D1837+01_Parametres!$B$5*E1837+01_Parametres!$B$6*F1837)/01_Parametres!$B$8)))</x:f>
      </x:c>
      <x:c r="H1837">
        <x:f>IFERROR(VLOOKUP(C1837,02_Referentiels!$A$20:$D$99,3,FALSE),"")</x:f>
      </x:c>
      <x:c r="I1837">
        <x:f>IFERROR(VLOOKUP(B1837,02_Referentiels!$A$5:$C$16,2,FALSE),"")</x:f>
      </x:c>
      <x:c r="J1837">
        <x:f>IF(A1837="","",IF(OR(D1837="",E1837="",F1837=""),1,IF(OR(D1837&lt;0,D1837&gt;3,E1837&lt;0,E1837&gt;3,F1837&lt;0,F1837&gt;3),1,0)))</x:f>
      </x:c>
      <x:c r="K1837">
        <x:f>IF(A1837="","",IF(G1837="",1,0))</x:f>
      </x:c>
      <x:c r="L1837">
        <x:f>IF(A1837="","",IF(COUNTIFS($A$5:$A$2004,A1837,$C$5:$C$2004,C1837)&gt;1,1,0))</x:f>
      </x:c>
    </x:row>
    <x:row r="1838">
      <x:c r="A1838" s="8" t="n"/>
      <x:c r="B1838" s="8" t="n"/>
      <x:c r="C1838" s="8" t="n"/>
      <x:c r="D1838" s="8" t="n"/>
      <x:c r="E1838" s="8" t="n"/>
      <x:c r="F1838" s="8" t="n"/>
      <x:c r="G1838" s="7">
        <x:f>IF(A1838="","",IF(01_Parametres!$B$11="Oui",IF((01_Parametres!$B$4*(D1838&gt;0)+01_Parametres!$B$5*(E1838&gt;0)+01_Parametres!$B$6*(F1838&gt;0))=0,"",(01_Parametres!$B$4*IF(D1838&gt;0,D1838,0)+01_Parametres!$B$5*IF(E1838&gt;0,E1838,0)+01_Parametres!$B$6*IF(F1838&gt;0,F1838,0))/(01_Parametres!$B$4*(D1838&gt;0)+01_Parametres!$B$5*(E1838&gt;0)+01_Parametres!$B$6*(F1838&gt;0))),IF(01_Parametres!$B$8=0,"",(01_Parametres!$B$4*D1838+01_Parametres!$B$5*E1838+01_Parametres!$B$6*F1838)/01_Parametres!$B$8)))</x:f>
      </x:c>
      <x:c r="H1838">
        <x:f>IFERROR(VLOOKUP(C1838,02_Referentiels!$A$20:$D$99,3,FALSE),"")</x:f>
      </x:c>
      <x:c r="I1838">
        <x:f>IFERROR(VLOOKUP(B1838,02_Referentiels!$A$5:$C$16,2,FALSE),"")</x:f>
      </x:c>
      <x:c r="J1838">
        <x:f>IF(A1838="","",IF(OR(D1838="",E1838="",F1838=""),1,IF(OR(D1838&lt;0,D1838&gt;3,E1838&lt;0,E1838&gt;3,F1838&lt;0,F1838&gt;3),1,0)))</x:f>
      </x:c>
      <x:c r="K1838">
        <x:f>IF(A1838="","",IF(G1838="",1,0))</x:f>
      </x:c>
      <x:c r="L1838">
        <x:f>IF(A1838="","",IF(COUNTIFS($A$5:$A$2004,A1838,$C$5:$C$2004,C1838)&gt;1,1,0))</x:f>
      </x:c>
    </x:row>
    <x:row r="1839">
      <x:c r="A1839" s="8" t="n"/>
      <x:c r="B1839" s="8" t="n"/>
      <x:c r="C1839" s="8" t="n"/>
      <x:c r="D1839" s="8" t="n"/>
      <x:c r="E1839" s="8" t="n"/>
      <x:c r="F1839" s="8" t="n"/>
      <x:c r="G1839" s="7">
        <x:f>IF(A1839="","",IF(01_Parametres!$B$11="Oui",IF((01_Parametres!$B$4*(D1839&gt;0)+01_Parametres!$B$5*(E1839&gt;0)+01_Parametres!$B$6*(F1839&gt;0))=0,"",(01_Parametres!$B$4*IF(D1839&gt;0,D1839,0)+01_Parametres!$B$5*IF(E1839&gt;0,E1839,0)+01_Parametres!$B$6*IF(F1839&gt;0,F1839,0))/(01_Parametres!$B$4*(D1839&gt;0)+01_Parametres!$B$5*(E1839&gt;0)+01_Parametres!$B$6*(F1839&gt;0))),IF(01_Parametres!$B$8=0,"",(01_Parametres!$B$4*D1839+01_Parametres!$B$5*E1839+01_Parametres!$B$6*F1839)/01_Parametres!$B$8)))</x:f>
      </x:c>
      <x:c r="H1839">
        <x:f>IFERROR(VLOOKUP(C1839,02_Referentiels!$A$20:$D$99,3,FALSE),"")</x:f>
      </x:c>
      <x:c r="I1839">
        <x:f>IFERROR(VLOOKUP(B1839,02_Referentiels!$A$5:$C$16,2,FALSE),"")</x:f>
      </x:c>
      <x:c r="J1839">
        <x:f>IF(A1839="","",IF(OR(D1839="",E1839="",F1839=""),1,IF(OR(D1839&lt;0,D1839&gt;3,E1839&lt;0,E1839&gt;3,F1839&lt;0,F1839&gt;3),1,0)))</x:f>
      </x:c>
      <x:c r="K1839">
        <x:f>IF(A1839="","",IF(G1839="",1,0))</x:f>
      </x:c>
      <x:c r="L1839">
        <x:f>IF(A1839="","",IF(COUNTIFS($A$5:$A$2004,A1839,$C$5:$C$2004,C1839)&gt;1,1,0))</x:f>
      </x:c>
    </x:row>
    <x:row r="1840">
      <x:c r="A1840" s="8" t="n"/>
      <x:c r="B1840" s="8" t="n"/>
      <x:c r="C1840" s="8" t="n"/>
      <x:c r="D1840" s="8" t="n"/>
      <x:c r="E1840" s="8" t="n"/>
      <x:c r="F1840" s="8" t="n"/>
      <x:c r="G1840" s="7">
        <x:f>IF(A1840="","",IF(01_Parametres!$B$11="Oui",IF((01_Parametres!$B$4*(D1840&gt;0)+01_Parametres!$B$5*(E1840&gt;0)+01_Parametres!$B$6*(F1840&gt;0))=0,"",(01_Parametres!$B$4*IF(D1840&gt;0,D1840,0)+01_Parametres!$B$5*IF(E1840&gt;0,E1840,0)+01_Parametres!$B$6*IF(F1840&gt;0,F1840,0))/(01_Parametres!$B$4*(D1840&gt;0)+01_Parametres!$B$5*(E1840&gt;0)+01_Parametres!$B$6*(F1840&gt;0))),IF(01_Parametres!$B$8=0,"",(01_Parametres!$B$4*D1840+01_Parametres!$B$5*E1840+01_Parametres!$B$6*F1840)/01_Parametres!$B$8)))</x:f>
      </x:c>
      <x:c r="H1840">
        <x:f>IFERROR(VLOOKUP(C1840,02_Referentiels!$A$20:$D$99,3,FALSE),"")</x:f>
      </x:c>
      <x:c r="I1840">
        <x:f>IFERROR(VLOOKUP(B1840,02_Referentiels!$A$5:$C$16,2,FALSE),"")</x:f>
      </x:c>
      <x:c r="J1840">
        <x:f>IF(A1840="","",IF(OR(D1840="",E1840="",F1840=""),1,IF(OR(D1840&lt;0,D1840&gt;3,E1840&lt;0,E1840&gt;3,F1840&lt;0,F1840&gt;3),1,0)))</x:f>
      </x:c>
      <x:c r="K1840">
        <x:f>IF(A1840="","",IF(G1840="",1,0))</x:f>
      </x:c>
      <x:c r="L1840">
        <x:f>IF(A1840="","",IF(COUNTIFS($A$5:$A$2004,A1840,$C$5:$C$2004,C1840)&gt;1,1,0))</x:f>
      </x:c>
    </x:row>
    <x:row r="1841">
      <x:c r="A1841" s="8" t="n"/>
      <x:c r="B1841" s="8" t="n"/>
      <x:c r="C1841" s="8" t="n"/>
      <x:c r="D1841" s="8" t="n"/>
      <x:c r="E1841" s="8" t="n"/>
      <x:c r="F1841" s="8" t="n"/>
      <x:c r="G1841" s="7">
        <x:f>IF(A1841="","",IF(01_Parametres!$B$11="Oui",IF((01_Parametres!$B$4*(D1841&gt;0)+01_Parametres!$B$5*(E1841&gt;0)+01_Parametres!$B$6*(F1841&gt;0))=0,"",(01_Parametres!$B$4*IF(D1841&gt;0,D1841,0)+01_Parametres!$B$5*IF(E1841&gt;0,E1841,0)+01_Parametres!$B$6*IF(F1841&gt;0,F1841,0))/(01_Parametres!$B$4*(D1841&gt;0)+01_Parametres!$B$5*(E1841&gt;0)+01_Parametres!$B$6*(F1841&gt;0))),IF(01_Parametres!$B$8=0,"",(01_Parametres!$B$4*D1841+01_Parametres!$B$5*E1841+01_Parametres!$B$6*F1841)/01_Parametres!$B$8)))</x:f>
      </x:c>
      <x:c r="H1841">
        <x:f>IFERROR(VLOOKUP(C1841,02_Referentiels!$A$20:$D$99,3,FALSE),"")</x:f>
      </x:c>
      <x:c r="I1841">
        <x:f>IFERROR(VLOOKUP(B1841,02_Referentiels!$A$5:$C$16,2,FALSE),"")</x:f>
      </x:c>
      <x:c r="J1841">
        <x:f>IF(A1841="","",IF(OR(D1841="",E1841="",F1841=""),1,IF(OR(D1841&lt;0,D1841&gt;3,E1841&lt;0,E1841&gt;3,F1841&lt;0,F1841&gt;3),1,0)))</x:f>
      </x:c>
      <x:c r="K1841">
        <x:f>IF(A1841="","",IF(G1841="",1,0))</x:f>
      </x:c>
      <x:c r="L1841">
        <x:f>IF(A1841="","",IF(COUNTIFS($A$5:$A$2004,A1841,$C$5:$C$2004,C1841)&gt;1,1,0))</x:f>
      </x:c>
    </x:row>
    <x:row r="1842">
      <x:c r="A1842" s="8" t="n"/>
      <x:c r="B1842" s="8" t="n"/>
      <x:c r="C1842" s="8" t="n"/>
      <x:c r="D1842" s="8" t="n"/>
      <x:c r="E1842" s="8" t="n"/>
      <x:c r="F1842" s="8" t="n"/>
      <x:c r="G1842" s="7">
        <x:f>IF(A1842="","",IF(01_Parametres!$B$11="Oui",IF((01_Parametres!$B$4*(D1842&gt;0)+01_Parametres!$B$5*(E1842&gt;0)+01_Parametres!$B$6*(F1842&gt;0))=0,"",(01_Parametres!$B$4*IF(D1842&gt;0,D1842,0)+01_Parametres!$B$5*IF(E1842&gt;0,E1842,0)+01_Parametres!$B$6*IF(F1842&gt;0,F1842,0))/(01_Parametres!$B$4*(D1842&gt;0)+01_Parametres!$B$5*(E1842&gt;0)+01_Parametres!$B$6*(F1842&gt;0))),IF(01_Parametres!$B$8=0,"",(01_Parametres!$B$4*D1842+01_Parametres!$B$5*E1842+01_Parametres!$B$6*F1842)/01_Parametres!$B$8)))</x:f>
      </x:c>
      <x:c r="H1842">
        <x:f>IFERROR(VLOOKUP(C1842,02_Referentiels!$A$20:$D$99,3,FALSE),"")</x:f>
      </x:c>
      <x:c r="I1842">
        <x:f>IFERROR(VLOOKUP(B1842,02_Referentiels!$A$5:$C$16,2,FALSE),"")</x:f>
      </x:c>
      <x:c r="J1842">
        <x:f>IF(A1842="","",IF(OR(D1842="",E1842="",F1842=""),1,IF(OR(D1842&lt;0,D1842&gt;3,E1842&lt;0,E1842&gt;3,F1842&lt;0,F1842&gt;3),1,0)))</x:f>
      </x:c>
      <x:c r="K1842">
        <x:f>IF(A1842="","",IF(G1842="",1,0))</x:f>
      </x:c>
      <x:c r="L1842">
        <x:f>IF(A1842="","",IF(COUNTIFS($A$5:$A$2004,A1842,$C$5:$C$2004,C1842)&gt;1,1,0))</x:f>
      </x:c>
    </x:row>
    <x:row r="1843">
      <x:c r="A1843" s="8" t="n"/>
      <x:c r="B1843" s="8" t="n"/>
      <x:c r="C1843" s="8" t="n"/>
      <x:c r="D1843" s="8" t="n"/>
      <x:c r="E1843" s="8" t="n"/>
      <x:c r="F1843" s="8" t="n"/>
      <x:c r="G1843" s="7">
        <x:f>IF(A1843="","",IF(01_Parametres!$B$11="Oui",IF((01_Parametres!$B$4*(D1843&gt;0)+01_Parametres!$B$5*(E1843&gt;0)+01_Parametres!$B$6*(F1843&gt;0))=0,"",(01_Parametres!$B$4*IF(D1843&gt;0,D1843,0)+01_Parametres!$B$5*IF(E1843&gt;0,E1843,0)+01_Parametres!$B$6*IF(F1843&gt;0,F1843,0))/(01_Parametres!$B$4*(D1843&gt;0)+01_Parametres!$B$5*(E1843&gt;0)+01_Parametres!$B$6*(F1843&gt;0))),IF(01_Parametres!$B$8=0,"",(01_Parametres!$B$4*D1843+01_Parametres!$B$5*E1843+01_Parametres!$B$6*F1843)/01_Parametres!$B$8)))</x:f>
      </x:c>
      <x:c r="H1843">
        <x:f>IFERROR(VLOOKUP(C1843,02_Referentiels!$A$20:$D$99,3,FALSE),"")</x:f>
      </x:c>
      <x:c r="I1843">
        <x:f>IFERROR(VLOOKUP(B1843,02_Referentiels!$A$5:$C$16,2,FALSE),"")</x:f>
      </x:c>
      <x:c r="J1843">
        <x:f>IF(A1843="","",IF(OR(D1843="",E1843="",F1843=""),1,IF(OR(D1843&lt;0,D1843&gt;3,E1843&lt;0,E1843&gt;3,F1843&lt;0,F1843&gt;3),1,0)))</x:f>
      </x:c>
      <x:c r="K1843">
        <x:f>IF(A1843="","",IF(G1843="",1,0))</x:f>
      </x:c>
      <x:c r="L1843">
        <x:f>IF(A1843="","",IF(COUNTIFS($A$5:$A$2004,A1843,$C$5:$C$2004,C1843)&gt;1,1,0))</x:f>
      </x:c>
    </x:row>
    <x:row r="1844">
      <x:c r="A1844" s="8" t="n"/>
      <x:c r="B1844" s="8" t="n"/>
      <x:c r="C1844" s="8" t="n"/>
      <x:c r="D1844" s="8" t="n"/>
      <x:c r="E1844" s="8" t="n"/>
      <x:c r="F1844" s="8" t="n"/>
      <x:c r="G1844" s="7">
        <x:f>IF(A1844="","",IF(01_Parametres!$B$11="Oui",IF((01_Parametres!$B$4*(D1844&gt;0)+01_Parametres!$B$5*(E1844&gt;0)+01_Parametres!$B$6*(F1844&gt;0))=0,"",(01_Parametres!$B$4*IF(D1844&gt;0,D1844,0)+01_Parametres!$B$5*IF(E1844&gt;0,E1844,0)+01_Parametres!$B$6*IF(F1844&gt;0,F1844,0))/(01_Parametres!$B$4*(D1844&gt;0)+01_Parametres!$B$5*(E1844&gt;0)+01_Parametres!$B$6*(F1844&gt;0))),IF(01_Parametres!$B$8=0,"",(01_Parametres!$B$4*D1844+01_Parametres!$B$5*E1844+01_Parametres!$B$6*F1844)/01_Parametres!$B$8)))</x:f>
      </x:c>
      <x:c r="H1844">
        <x:f>IFERROR(VLOOKUP(C1844,02_Referentiels!$A$20:$D$99,3,FALSE),"")</x:f>
      </x:c>
      <x:c r="I1844">
        <x:f>IFERROR(VLOOKUP(B1844,02_Referentiels!$A$5:$C$16,2,FALSE),"")</x:f>
      </x:c>
      <x:c r="J1844">
        <x:f>IF(A1844="","",IF(OR(D1844="",E1844="",F1844=""),1,IF(OR(D1844&lt;0,D1844&gt;3,E1844&lt;0,E1844&gt;3,F1844&lt;0,F1844&gt;3),1,0)))</x:f>
      </x:c>
      <x:c r="K1844">
        <x:f>IF(A1844="","",IF(G1844="",1,0))</x:f>
      </x:c>
      <x:c r="L1844">
        <x:f>IF(A1844="","",IF(COUNTIFS($A$5:$A$2004,A1844,$C$5:$C$2004,C1844)&gt;1,1,0))</x:f>
      </x:c>
    </x:row>
    <x:row r="1845">
      <x:c r="A1845" s="8" t="n"/>
      <x:c r="B1845" s="8" t="n"/>
      <x:c r="C1845" s="8" t="n"/>
      <x:c r="D1845" s="8" t="n"/>
      <x:c r="E1845" s="8" t="n"/>
      <x:c r="F1845" s="8" t="n"/>
      <x:c r="G1845" s="7">
        <x:f>IF(A1845="","",IF(01_Parametres!$B$11="Oui",IF((01_Parametres!$B$4*(D1845&gt;0)+01_Parametres!$B$5*(E1845&gt;0)+01_Parametres!$B$6*(F1845&gt;0))=0,"",(01_Parametres!$B$4*IF(D1845&gt;0,D1845,0)+01_Parametres!$B$5*IF(E1845&gt;0,E1845,0)+01_Parametres!$B$6*IF(F1845&gt;0,F1845,0))/(01_Parametres!$B$4*(D1845&gt;0)+01_Parametres!$B$5*(E1845&gt;0)+01_Parametres!$B$6*(F1845&gt;0))),IF(01_Parametres!$B$8=0,"",(01_Parametres!$B$4*D1845+01_Parametres!$B$5*E1845+01_Parametres!$B$6*F1845)/01_Parametres!$B$8)))</x:f>
      </x:c>
      <x:c r="H1845">
        <x:f>IFERROR(VLOOKUP(C1845,02_Referentiels!$A$20:$D$99,3,FALSE),"")</x:f>
      </x:c>
      <x:c r="I1845">
        <x:f>IFERROR(VLOOKUP(B1845,02_Referentiels!$A$5:$C$16,2,FALSE),"")</x:f>
      </x:c>
      <x:c r="J1845">
        <x:f>IF(A1845="","",IF(OR(D1845="",E1845="",F1845=""),1,IF(OR(D1845&lt;0,D1845&gt;3,E1845&lt;0,E1845&gt;3,F1845&lt;0,F1845&gt;3),1,0)))</x:f>
      </x:c>
      <x:c r="K1845">
        <x:f>IF(A1845="","",IF(G1845="",1,0))</x:f>
      </x:c>
      <x:c r="L1845">
        <x:f>IF(A1845="","",IF(COUNTIFS($A$5:$A$2004,A1845,$C$5:$C$2004,C1845)&gt;1,1,0))</x:f>
      </x:c>
    </x:row>
    <x:row r="1846">
      <x:c r="A1846" s="8" t="n"/>
      <x:c r="B1846" s="8" t="n"/>
      <x:c r="C1846" s="8" t="n"/>
      <x:c r="D1846" s="8" t="n"/>
      <x:c r="E1846" s="8" t="n"/>
      <x:c r="F1846" s="8" t="n"/>
      <x:c r="G1846" s="7">
        <x:f>IF(A1846="","",IF(01_Parametres!$B$11="Oui",IF((01_Parametres!$B$4*(D1846&gt;0)+01_Parametres!$B$5*(E1846&gt;0)+01_Parametres!$B$6*(F1846&gt;0))=0,"",(01_Parametres!$B$4*IF(D1846&gt;0,D1846,0)+01_Parametres!$B$5*IF(E1846&gt;0,E1846,0)+01_Parametres!$B$6*IF(F1846&gt;0,F1846,0))/(01_Parametres!$B$4*(D1846&gt;0)+01_Parametres!$B$5*(E1846&gt;0)+01_Parametres!$B$6*(F1846&gt;0))),IF(01_Parametres!$B$8=0,"",(01_Parametres!$B$4*D1846+01_Parametres!$B$5*E1846+01_Parametres!$B$6*F1846)/01_Parametres!$B$8)))</x:f>
      </x:c>
      <x:c r="H1846">
        <x:f>IFERROR(VLOOKUP(C1846,02_Referentiels!$A$20:$D$99,3,FALSE),"")</x:f>
      </x:c>
      <x:c r="I1846">
        <x:f>IFERROR(VLOOKUP(B1846,02_Referentiels!$A$5:$C$16,2,FALSE),"")</x:f>
      </x:c>
      <x:c r="J1846">
        <x:f>IF(A1846="","",IF(OR(D1846="",E1846="",F1846=""),1,IF(OR(D1846&lt;0,D1846&gt;3,E1846&lt;0,E1846&gt;3,F1846&lt;0,F1846&gt;3),1,0)))</x:f>
      </x:c>
      <x:c r="K1846">
        <x:f>IF(A1846="","",IF(G1846="",1,0))</x:f>
      </x:c>
      <x:c r="L1846">
        <x:f>IF(A1846="","",IF(COUNTIFS($A$5:$A$2004,A1846,$C$5:$C$2004,C1846)&gt;1,1,0))</x:f>
      </x:c>
    </x:row>
    <x:row r="1847">
      <x:c r="A1847" s="8" t="n"/>
      <x:c r="B1847" s="8" t="n"/>
      <x:c r="C1847" s="8" t="n"/>
      <x:c r="D1847" s="8" t="n"/>
      <x:c r="E1847" s="8" t="n"/>
      <x:c r="F1847" s="8" t="n"/>
      <x:c r="G1847" s="7">
        <x:f>IF(A1847="","",IF(01_Parametres!$B$11="Oui",IF((01_Parametres!$B$4*(D1847&gt;0)+01_Parametres!$B$5*(E1847&gt;0)+01_Parametres!$B$6*(F1847&gt;0))=0,"",(01_Parametres!$B$4*IF(D1847&gt;0,D1847,0)+01_Parametres!$B$5*IF(E1847&gt;0,E1847,0)+01_Parametres!$B$6*IF(F1847&gt;0,F1847,0))/(01_Parametres!$B$4*(D1847&gt;0)+01_Parametres!$B$5*(E1847&gt;0)+01_Parametres!$B$6*(F1847&gt;0))),IF(01_Parametres!$B$8=0,"",(01_Parametres!$B$4*D1847+01_Parametres!$B$5*E1847+01_Parametres!$B$6*F1847)/01_Parametres!$B$8)))</x:f>
      </x:c>
      <x:c r="H1847">
        <x:f>IFERROR(VLOOKUP(C1847,02_Referentiels!$A$20:$D$99,3,FALSE),"")</x:f>
      </x:c>
      <x:c r="I1847">
        <x:f>IFERROR(VLOOKUP(B1847,02_Referentiels!$A$5:$C$16,2,FALSE),"")</x:f>
      </x:c>
      <x:c r="J1847">
        <x:f>IF(A1847="","",IF(OR(D1847="",E1847="",F1847=""),1,IF(OR(D1847&lt;0,D1847&gt;3,E1847&lt;0,E1847&gt;3,F1847&lt;0,F1847&gt;3),1,0)))</x:f>
      </x:c>
      <x:c r="K1847">
        <x:f>IF(A1847="","",IF(G1847="",1,0))</x:f>
      </x:c>
      <x:c r="L1847">
        <x:f>IF(A1847="","",IF(COUNTIFS($A$5:$A$2004,A1847,$C$5:$C$2004,C1847)&gt;1,1,0))</x:f>
      </x:c>
    </x:row>
    <x:row r="1848">
      <x:c r="A1848" s="8" t="n"/>
      <x:c r="B1848" s="8" t="n"/>
      <x:c r="C1848" s="8" t="n"/>
      <x:c r="D1848" s="8" t="n"/>
      <x:c r="E1848" s="8" t="n"/>
      <x:c r="F1848" s="8" t="n"/>
      <x:c r="G1848" s="7">
        <x:f>IF(A1848="","",IF(01_Parametres!$B$11="Oui",IF((01_Parametres!$B$4*(D1848&gt;0)+01_Parametres!$B$5*(E1848&gt;0)+01_Parametres!$B$6*(F1848&gt;0))=0,"",(01_Parametres!$B$4*IF(D1848&gt;0,D1848,0)+01_Parametres!$B$5*IF(E1848&gt;0,E1848,0)+01_Parametres!$B$6*IF(F1848&gt;0,F1848,0))/(01_Parametres!$B$4*(D1848&gt;0)+01_Parametres!$B$5*(E1848&gt;0)+01_Parametres!$B$6*(F1848&gt;0))),IF(01_Parametres!$B$8=0,"",(01_Parametres!$B$4*D1848+01_Parametres!$B$5*E1848+01_Parametres!$B$6*F1848)/01_Parametres!$B$8)))</x:f>
      </x:c>
      <x:c r="H1848">
        <x:f>IFERROR(VLOOKUP(C1848,02_Referentiels!$A$20:$D$99,3,FALSE),"")</x:f>
      </x:c>
      <x:c r="I1848">
        <x:f>IFERROR(VLOOKUP(B1848,02_Referentiels!$A$5:$C$16,2,FALSE),"")</x:f>
      </x:c>
      <x:c r="J1848">
        <x:f>IF(A1848="","",IF(OR(D1848="",E1848="",F1848=""),1,IF(OR(D1848&lt;0,D1848&gt;3,E1848&lt;0,E1848&gt;3,F1848&lt;0,F1848&gt;3),1,0)))</x:f>
      </x:c>
      <x:c r="K1848">
        <x:f>IF(A1848="","",IF(G1848="",1,0))</x:f>
      </x:c>
      <x:c r="L1848">
        <x:f>IF(A1848="","",IF(COUNTIFS($A$5:$A$2004,A1848,$C$5:$C$2004,C1848)&gt;1,1,0))</x:f>
      </x:c>
    </x:row>
    <x:row r="1849">
      <x:c r="A1849" s="8" t="n"/>
      <x:c r="B1849" s="8" t="n"/>
      <x:c r="C1849" s="8" t="n"/>
      <x:c r="D1849" s="8" t="n"/>
      <x:c r="E1849" s="8" t="n"/>
      <x:c r="F1849" s="8" t="n"/>
      <x:c r="G1849" s="7">
        <x:f>IF(A1849="","",IF(01_Parametres!$B$11="Oui",IF((01_Parametres!$B$4*(D1849&gt;0)+01_Parametres!$B$5*(E1849&gt;0)+01_Parametres!$B$6*(F1849&gt;0))=0,"",(01_Parametres!$B$4*IF(D1849&gt;0,D1849,0)+01_Parametres!$B$5*IF(E1849&gt;0,E1849,0)+01_Parametres!$B$6*IF(F1849&gt;0,F1849,0))/(01_Parametres!$B$4*(D1849&gt;0)+01_Parametres!$B$5*(E1849&gt;0)+01_Parametres!$B$6*(F1849&gt;0))),IF(01_Parametres!$B$8=0,"",(01_Parametres!$B$4*D1849+01_Parametres!$B$5*E1849+01_Parametres!$B$6*F1849)/01_Parametres!$B$8)))</x:f>
      </x:c>
      <x:c r="H1849">
        <x:f>IFERROR(VLOOKUP(C1849,02_Referentiels!$A$20:$D$99,3,FALSE),"")</x:f>
      </x:c>
      <x:c r="I1849">
        <x:f>IFERROR(VLOOKUP(B1849,02_Referentiels!$A$5:$C$16,2,FALSE),"")</x:f>
      </x:c>
      <x:c r="J1849">
        <x:f>IF(A1849="","",IF(OR(D1849="",E1849="",F1849=""),1,IF(OR(D1849&lt;0,D1849&gt;3,E1849&lt;0,E1849&gt;3,F1849&lt;0,F1849&gt;3),1,0)))</x:f>
      </x:c>
      <x:c r="K1849">
        <x:f>IF(A1849="","",IF(G1849="",1,0))</x:f>
      </x:c>
      <x:c r="L1849">
        <x:f>IF(A1849="","",IF(COUNTIFS($A$5:$A$2004,A1849,$C$5:$C$2004,C1849)&gt;1,1,0))</x:f>
      </x:c>
    </x:row>
    <x:row r="1850">
      <x:c r="A1850" s="8" t="n"/>
      <x:c r="B1850" s="8" t="n"/>
      <x:c r="C1850" s="8" t="n"/>
      <x:c r="D1850" s="8" t="n"/>
      <x:c r="E1850" s="8" t="n"/>
      <x:c r="F1850" s="8" t="n"/>
      <x:c r="G1850" s="7">
        <x:f>IF(A1850="","",IF(01_Parametres!$B$11="Oui",IF((01_Parametres!$B$4*(D1850&gt;0)+01_Parametres!$B$5*(E1850&gt;0)+01_Parametres!$B$6*(F1850&gt;0))=0,"",(01_Parametres!$B$4*IF(D1850&gt;0,D1850,0)+01_Parametres!$B$5*IF(E1850&gt;0,E1850,0)+01_Parametres!$B$6*IF(F1850&gt;0,F1850,0))/(01_Parametres!$B$4*(D1850&gt;0)+01_Parametres!$B$5*(E1850&gt;0)+01_Parametres!$B$6*(F1850&gt;0))),IF(01_Parametres!$B$8=0,"",(01_Parametres!$B$4*D1850+01_Parametres!$B$5*E1850+01_Parametres!$B$6*F1850)/01_Parametres!$B$8)))</x:f>
      </x:c>
      <x:c r="H1850">
        <x:f>IFERROR(VLOOKUP(C1850,02_Referentiels!$A$20:$D$99,3,FALSE),"")</x:f>
      </x:c>
      <x:c r="I1850">
        <x:f>IFERROR(VLOOKUP(B1850,02_Referentiels!$A$5:$C$16,2,FALSE),"")</x:f>
      </x:c>
      <x:c r="J1850">
        <x:f>IF(A1850="","",IF(OR(D1850="",E1850="",F1850=""),1,IF(OR(D1850&lt;0,D1850&gt;3,E1850&lt;0,E1850&gt;3,F1850&lt;0,F1850&gt;3),1,0)))</x:f>
      </x:c>
      <x:c r="K1850">
        <x:f>IF(A1850="","",IF(G1850="",1,0))</x:f>
      </x:c>
      <x:c r="L1850">
        <x:f>IF(A1850="","",IF(COUNTIFS($A$5:$A$2004,A1850,$C$5:$C$2004,C1850)&gt;1,1,0))</x:f>
      </x:c>
    </x:row>
    <x:row r="1851">
      <x:c r="A1851" s="8" t="n"/>
      <x:c r="B1851" s="8" t="n"/>
      <x:c r="C1851" s="8" t="n"/>
      <x:c r="D1851" s="8" t="n"/>
      <x:c r="E1851" s="8" t="n"/>
      <x:c r="F1851" s="8" t="n"/>
      <x:c r="G1851" s="7">
        <x:f>IF(A1851="","",IF(01_Parametres!$B$11="Oui",IF((01_Parametres!$B$4*(D1851&gt;0)+01_Parametres!$B$5*(E1851&gt;0)+01_Parametres!$B$6*(F1851&gt;0))=0,"",(01_Parametres!$B$4*IF(D1851&gt;0,D1851,0)+01_Parametres!$B$5*IF(E1851&gt;0,E1851,0)+01_Parametres!$B$6*IF(F1851&gt;0,F1851,0))/(01_Parametres!$B$4*(D1851&gt;0)+01_Parametres!$B$5*(E1851&gt;0)+01_Parametres!$B$6*(F1851&gt;0))),IF(01_Parametres!$B$8=0,"",(01_Parametres!$B$4*D1851+01_Parametres!$B$5*E1851+01_Parametres!$B$6*F1851)/01_Parametres!$B$8)))</x:f>
      </x:c>
      <x:c r="H1851">
        <x:f>IFERROR(VLOOKUP(C1851,02_Referentiels!$A$20:$D$99,3,FALSE),"")</x:f>
      </x:c>
      <x:c r="I1851">
        <x:f>IFERROR(VLOOKUP(B1851,02_Referentiels!$A$5:$C$16,2,FALSE),"")</x:f>
      </x:c>
      <x:c r="J1851">
        <x:f>IF(A1851="","",IF(OR(D1851="",E1851="",F1851=""),1,IF(OR(D1851&lt;0,D1851&gt;3,E1851&lt;0,E1851&gt;3,F1851&lt;0,F1851&gt;3),1,0)))</x:f>
      </x:c>
      <x:c r="K1851">
        <x:f>IF(A1851="","",IF(G1851="",1,0))</x:f>
      </x:c>
      <x:c r="L1851">
        <x:f>IF(A1851="","",IF(COUNTIFS($A$5:$A$2004,A1851,$C$5:$C$2004,C1851)&gt;1,1,0))</x:f>
      </x:c>
    </x:row>
    <x:row r="1852">
      <x:c r="A1852" s="8" t="n"/>
      <x:c r="B1852" s="8" t="n"/>
      <x:c r="C1852" s="8" t="n"/>
      <x:c r="D1852" s="8" t="n"/>
      <x:c r="E1852" s="8" t="n"/>
      <x:c r="F1852" s="8" t="n"/>
      <x:c r="G1852" s="7">
        <x:f>IF(A1852="","",IF(01_Parametres!$B$11="Oui",IF((01_Parametres!$B$4*(D1852&gt;0)+01_Parametres!$B$5*(E1852&gt;0)+01_Parametres!$B$6*(F1852&gt;0))=0,"",(01_Parametres!$B$4*IF(D1852&gt;0,D1852,0)+01_Parametres!$B$5*IF(E1852&gt;0,E1852,0)+01_Parametres!$B$6*IF(F1852&gt;0,F1852,0))/(01_Parametres!$B$4*(D1852&gt;0)+01_Parametres!$B$5*(E1852&gt;0)+01_Parametres!$B$6*(F1852&gt;0))),IF(01_Parametres!$B$8=0,"",(01_Parametres!$B$4*D1852+01_Parametres!$B$5*E1852+01_Parametres!$B$6*F1852)/01_Parametres!$B$8)))</x:f>
      </x:c>
      <x:c r="H1852">
        <x:f>IFERROR(VLOOKUP(C1852,02_Referentiels!$A$20:$D$99,3,FALSE),"")</x:f>
      </x:c>
      <x:c r="I1852">
        <x:f>IFERROR(VLOOKUP(B1852,02_Referentiels!$A$5:$C$16,2,FALSE),"")</x:f>
      </x:c>
      <x:c r="J1852">
        <x:f>IF(A1852="","",IF(OR(D1852="",E1852="",F1852=""),1,IF(OR(D1852&lt;0,D1852&gt;3,E1852&lt;0,E1852&gt;3,F1852&lt;0,F1852&gt;3),1,0)))</x:f>
      </x:c>
      <x:c r="K1852">
        <x:f>IF(A1852="","",IF(G1852="",1,0))</x:f>
      </x:c>
      <x:c r="L1852">
        <x:f>IF(A1852="","",IF(COUNTIFS($A$5:$A$2004,A1852,$C$5:$C$2004,C1852)&gt;1,1,0))</x:f>
      </x:c>
    </x:row>
    <x:row r="1853">
      <x:c r="A1853" s="8" t="n"/>
      <x:c r="B1853" s="8" t="n"/>
      <x:c r="C1853" s="8" t="n"/>
      <x:c r="D1853" s="8" t="n"/>
      <x:c r="E1853" s="8" t="n"/>
      <x:c r="F1853" s="8" t="n"/>
      <x:c r="G1853" s="7">
        <x:f>IF(A1853="","",IF(01_Parametres!$B$11="Oui",IF((01_Parametres!$B$4*(D1853&gt;0)+01_Parametres!$B$5*(E1853&gt;0)+01_Parametres!$B$6*(F1853&gt;0))=0,"",(01_Parametres!$B$4*IF(D1853&gt;0,D1853,0)+01_Parametres!$B$5*IF(E1853&gt;0,E1853,0)+01_Parametres!$B$6*IF(F1853&gt;0,F1853,0))/(01_Parametres!$B$4*(D1853&gt;0)+01_Parametres!$B$5*(E1853&gt;0)+01_Parametres!$B$6*(F1853&gt;0))),IF(01_Parametres!$B$8=0,"",(01_Parametres!$B$4*D1853+01_Parametres!$B$5*E1853+01_Parametres!$B$6*F1853)/01_Parametres!$B$8)))</x:f>
      </x:c>
      <x:c r="H1853">
        <x:f>IFERROR(VLOOKUP(C1853,02_Referentiels!$A$20:$D$99,3,FALSE),"")</x:f>
      </x:c>
      <x:c r="I1853">
        <x:f>IFERROR(VLOOKUP(B1853,02_Referentiels!$A$5:$C$16,2,FALSE),"")</x:f>
      </x:c>
      <x:c r="J1853">
        <x:f>IF(A1853="","",IF(OR(D1853="",E1853="",F1853=""),1,IF(OR(D1853&lt;0,D1853&gt;3,E1853&lt;0,E1853&gt;3,F1853&lt;0,F1853&gt;3),1,0)))</x:f>
      </x:c>
      <x:c r="K1853">
        <x:f>IF(A1853="","",IF(G1853="",1,0))</x:f>
      </x:c>
      <x:c r="L1853">
        <x:f>IF(A1853="","",IF(COUNTIFS($A$5:$A$2004,A1853,$C$5:$C$2004,C1853)&gt;1,1,0))</x:f>
      </x:c>
    </x:row>
    <x:row r="1854">
      <x:c r="A1854" s="8" t="n"/>
      <x:c r="B1854" s="8" t="n"/>
      <x:c r="C1854" s="8" t="n"/>
      <x:c r="D1854" s="8" t="n"/>
      <x:c r="E1854" s="8" t="n"/>
      <x:c r="F1854" s="8" t="n"/>
      <x:c r="G1854" s="7">
        <x:f>IF(A1854="","",IF(01_Parametres!$B$11="Oui",IF((01_Parametres!$B$4*(D1854&gt;0)+01_Parametres!$B$5*(E1854&gt;0)+01_Parametres!$B$6*(F1854&gt;0))=0,"",(01_Parametres!$B$4*IF(D1854&gt;0,D1854,0)+01_Parametres!$B$5*IF(E1854&gt;0,E1854,0)+01_Parametres!$B$6*IF(F1854&gt;0,F1854,0))/(01_Parametres!$B$4*(D1854&gt;0)+01_Parametres!$B$5*(E1854&gt;0)+01_Parametres!$B$6*(F1854&gt;0))),IF(01_Parametres!$B$8=0,"",(01_Parametres!$B$4*D1854+01_Parametres!$B$5*E1854+01_Parametres!$B$6*F1854)/01_Parametres!$B$8)))</x:f>
      </x:c>
      <x:c r="H1854">
        <x:f>IFERROR(VLOOKUP(C1854,02_Referentiels!$A$20:$D$99,3,FALSE),"")</x:f>
      </x:c>
      <x:c r="I1854">
        <x:f>IFERROR(VLOOKUP(B1854,02_Referentiels!$A$5:$C$16,2,FALSE),"")</x:f>
      </x:c>
      <x:c r="J1854">
        <x:f>IF(A1854="","",IF(OR(D1854="",E1854="",F1854=""),1,IF(OR(D1854&lt;0,D1854&gt;3,E1854&lt;0,E1854&gt;3,F1854&lt;0,F1854&gt;3),1,0)))</x:f>
      </x:c>
      <x:c r="K1854">
        <x:f>IF(A1854="","",IF(G1854="",1,0))</x:f>
      </x:c>
      <x:c r="L1854">
        <x:f>IF(A1854="","",IF(COUNTIFS($A$5:$A$2004,A1854,$C$5:$C$2004,C1854)&gt;1,1,0))</x:f>
      </x:c>
    </x:row>
    <x:row r="1855">
      <x:c r="A1855" s="8" t="n"/>
      <x:c r="B1855" s="8" t="n"/>
      <x:c r="C1855" s="8" t="n"/>
      <x:c r="D1855" s="8" t="n"/>
      <x:c r="E1855" s="8" t="n"/>
      <x:c r="F1855" s="8" t="n"/>
      <x:c r="G1855" s="7">
        <x:f>IF(A1855="","",IF(01_Parametres!$B$11="Oui",IF((01_Parametres!$B$4*(D1855&gt;0)+01_Parametres!$B$5*(E1855&gt;0)+01_Parametres!$B$6*(F1855&gt;0))=0,"",(01_Parametres!$B$4*IF(D1855&gt;0,D1855,0)+01_Parametres!$B$5*IF(E1855&gt;0,E1855,0)+01_Parametres!$B$6*IF(F1855&gt;0,F1855,0))/(01_Parametres!$B$4*(D1855&gt;0)+01_Parametres!$B$5*(E1855&gt;0)+01_Parametres!$B$6*(F1855&gt;0))),IF(01_Parametres!$B$8=0,"",(01_Parametres!$B$4*D1855+01_Parametres!$B$5*E1855+01_Parametres!$B$6*F1855)/01_Parametres!$B$8)))</x:f>
      </x:c>
      <x:c r="H1855">
        <x:f>IFERROR(VLOOKUP(C1855,02_Referentiels!$A$20:$D$99,3,FALSE),"")</x:f>
      </x:c>
      <x:c r="I1855">
        <x:f>IFERROR(VLOOKUP(B1855,02_Referentiels!$A$5:$C$16,2,FALSE),"")</x:f>
      </x:c>
      <x:c r="J1855">
        <x:f>IF(A1855="","",IF(OR(D1855="",E1855="",F1855=""),1,IF(OR(D1855&lt;0,D1855&gt;3,E1855&lt;0,E1855&gt;3,F1855&lt;0,F1855&gt;3),1,0)))</x:f>
      </x:c>
      <x:c r="K1855">
        <x:f>IF(A1855="","",IF(G1855="",1,0))</x:f>
      </x:c>
      <x:c r="L1855">
        <x:f>IF(A1855="","",IF(COUNTIFS($A$5:$A$2004,A1855,$C$5:$C$2004,C1855)&gt;1,1,0))</x:f>
      </x:c>
    </x:row>
    <x:row r="1856">
      <x:c r="A1856" s="8" t="n"/>
      <x:c r="B1856" s="8" t="n"/>
      <x:c r="C1856" s="8" t="n"/>
      <x:c r="D1856" s="8" t="n"/>
      <x:c r="E1856" s="8" t="n"/>
      <x:c r="F1856" s="8" t="n"/>
      <x:c r="G1856" s="7">
        <x:f>IF(A1856="","",IF(01_Parametres!$B$11="Oui",IF((01_Parametres!$B$4*(D1856&gt;0)+01_Parametres!$B$5*(E1856&gt;0)+01_Parametres!$B$6*(F1856&gt;0))=0,"",(01_Parametres!$B$4*IF(D1856&gt;0,D1856,0)+01_Parametres!$B$5*IF(E1856&gt;0,E1856,0)+01_Parametres!$B$6*IF(F1856&gt;0,F1856,0))/(01_Parametres!$B$4*(D1856&gt;0)+01_Parametres!$B$5*(E1856&gt;0)+01_Parametres!$B$6*(F1856&gt;0))),IF(01_Parametres!$B$8=0,"",(01_Parametres!$B$4*D1856+01_Parametres!$B$5*E1856+01_Parametres!$B$6*F1856)/01_Parametres!$B$8)))</x:f>
      </x:c>
      <x:c r="H1856">
        <x:f>IFERROR(VLOOKUP(C1856,02_Referentiels!$A$20:$D$99,3,FALSE),"")</x:f>
      </x:c>
      <x:c r="I1856">
        <x:f>IFERROR(VLOOKUP(B1856,02_Referentiels!$A$5:$C$16,2,FALSE),"")</x:f>
      </x:c>
      <x:c r="J1856">
        <x:f>IF(A1856="","",IF(OR(D1856="",E1856="",F1856=""),1,IF(OR(D1856&lt;0,D1856&gt;3,E1856&lt;0,E1856&gt;3,F1856&lt;0,F1856&gt;3),1,0)))</x:f>
      </x:c>
      <x:c r="K1856">
        <x:f>IF(A1856="","",IF(G1856="",1,0))</x:f>
      </x:c>
      <x:c r="L1856">
        <x:f>IF(A1856="","",IF(COUNTIFS($A$5:$A$2004,A1856,$C$5:$C$2004,C1856)&gt;1,1,0))</x:f>
      </x:c>
    </x:row>
    <x:row r="1857">
      <x:c r="A1857" s="8" t="n"/>
      <x:c r="B1857" s="8" t="n"/>
      <x:c r="C1857" s="8" t="n"/>
      <x:c r="D1857" s="8" t="n"/>
      <x:c r="E1857" s="8" t="n"/>
      <x:c r="F1857" s="8" t="n"/>
      <x:c r="G1857" s="7">
        <x:f>IF(A1857="","",IF(01_Parametres!$B$11="Oui",IF((01_Parametres!$B$4*(D1857&gt;0)+01_Parametres!$B$5*(E1857&gt;0)+01_Parametres!$B$6*(F1857&gt;0))=0,"",(01_Parametres!$B$4*IF(D1857&gt;0,D1857,0)+01_Parametres!$B$5*IF(E1857&gt;0,E1857,0)+01_Parametres!$B$6*IF(F1857&gt;0,F1857,0))/(01_Parametres!$B$4*(D1857&gt;0)+01_Parametres!$B$5*(E1857&gt;0)+01_Parametres!$B$6*(F1857&gt;0))),IF(01_Parametres!$B$8=0,"",(01_Parametres!$B$4*D1857+01_Parametres!$B$5*E1857+01_Parametres!$B$6*F1857)/01_Parametres!$B$8)))</x:f>
      </x:c>
      <x:c r="H1857">
        <x:f>IFERROR(VLOOKUP(C1857,02_Referentiels!$A$20:$D$99,3,FALSE),"")</x:f>
      </x:c>
      <x:c r="I1857">
        <x:f>IFERROR(VLOOKUP(B1857,02_Referentiels!$A$5:$C$16,2,FALSE),"")</x:f>
      </x:c>
      <x:c r="J1857">
        <x:f>IF(A1857="","",IF(OR(D1857="",E1857="",F1857=""),1,IF(OR(D1857&lt;0,D1857&gt;3,E1857&lt;0,E1857&gt;3,F1857&lt;0,F1857&gt;3),1,0)))</x:f>
      </x:c>
      <x:c r="K1857">
        <x:f>IF(A1857="","",IF(G1857="",1,0))</x:f>
      </x:c>
      <x:c r="L1857">
        <x:f>IF(A1857="","",IF(COUNTIFS($A$5:$A$2004,A1857,$C$5:$C$2004,C1857)&gt;1,1,0))</x:f>
      </x:c>
    </x:row>
    <x:row r="1858">
      <x:c r="A1858" s="8" t="n"/>
      <x:c r="B1858" s="8" t="n"/>
      <x:c r="C1858" s="8" t="n"/>
      <x:c r="D1858" s="8" t="n"/>
      <x:c r="E1858" s="8" t="n"/>
      <x:c r="F1858" s="8" t="n"/>
      <x:c r="G1858" s="7">
        <x:f>IF(A1858="","",IF(01_Parametres!$B$11="Oui",IF((01_Parametres!$B$4*(D1858&gt;0)+01_Parametres!$B$5*(E1858&gt;0)+01_Parametres!$B$6*(F1858&gt;0))=0,"",(01_Parametres!$B$4*IF(D1858&gt;0,D1858,0)+01_Parametres!$B$5*IF(E1858&gt;0,E1858,0)+01_Parametres!$B$6*IF(F1858&gt;0,F1858,0))/(01_Parametres!$B$4*(D1858&gt;0)+01_Parametres!$B$5*(E1858&gt;0)+01_Parametres!$B$6*(F1858&gt;0))),IF(01_Parametres!$B$8=0,"",(01_Parametres!$B$4*D1858+01_Parametres!$B$5*E1858+01_Parametres!$B$6*F1858)/01_Parametres!$B$8)))</x:f>
      </x:c>
      <x:c r="H1858">
        <x:f>IFERROR(VLOOKUP(C1858,02_Referentiels!$A$20:$D$99,3,FALSE),"")</x:f>
      </x:c>
      <x:c r="I1858">
        <x:f>IFERROR(VLOOKUP(B1858,02_Referentiels!$A$5:$C$16,2,FALSE),"")</x:f>
      </x:c>
      <x:c r="J1858">
        <x:f>IF(A1858="","",IF(OR(D1858="",E1858="",F1858=""),1,IF(OR(D1858&lt;0,D1858&gt;3,E1858&lt;0,E1858&gt;3,F1858&lt;0,F1858&gt;3),1,0)))</x:f>
      </x:c>
      <x:c r="K1858">
        <x:f>IF(A1858="","",IF(G1858="",1,0))</x:f>
      </x:c>
      <x:c r="L1858">
        <x:f>IF(A1858="","",IF(COUNTIFS($A$5:$A$2004,A1858,$C$5:$C$2004,C1858)&gt;1,1,0))</x:f>
      </x:c>
    </x:row>
    <x:row r="1859">
      <x:c r="A1859" s="8" t="n"/>
      <x:c r="B1859" s="8" t="n"/>
      <x:c r="C1859" s="8" t="n"/>
      <x:c r="D1859" s="8" t="n"/>
      <x:c r="E1859" s="8" t="n"/>
      <x:c r="F1859" s="8" t="n"/>
      <x:c r="G1859" s="7">
        <x:f>IF(A1859="","",IF(01_Parametres!$B$11="Oui",IF((01_Parametres!$B$4*(D1859&gt;0)+01_Parametres!$B$5*(E1859&gt;0)+01_Parametres!$B$6*(F1859&gt;0))=0,"",(01_Parametres!$B$4*IF(D1859&gt;0,D1859,0)+01_Parametres!$B$5*IF(E1859&gt;0,E1859,0)+01_Parametres!$B$6*IF(F1859&gt;0,F1859,0))/(01_Parametres!$B$4*(D1859&gt;0)+01_Parametres!$B$5*(E1859&gt;0)+01_Parametres!$B$6*(F1859&gt;0))),IF(01_Parametres!$B$8=0,"",(01_Parametres!$B$4*D1859+01_Parametres!$B$5*E1859+01_Parametres!$B$6*F1859)/01_Parametres!$B$8)))</x:f>
      </x:c>
      <x:c r="H1859">
        <x:f>IFERROR(VLOOKUP(C1859,02_Referentiels!$A$20:$D$99,3,FALSE),"")</x:f>
      </x:c>
      <x:c r="I1859">
        <x:f>IFERROR(VLOOKUP(B1859,02_Referentiels!$A$5:$C$16,2,FALSE),"")</x:f>
      </x:c>
      <x:c r="J1859">
        <x:f>IF(A1859="","",IF(OR(D1859="",E1859="",F1859=""),1,IF(OR(D1859&lt;0,D1859&gt;3,E1859&lt;0,E1859&gt;3,F1859&lt;0,F1859&gt;3),1,0)))</x:f>
      </x:c>
      <x:c r="K1859">
        <x:f>IF(A1859="","",IF(G1859="",1,0))</x:f>
      </x:c>
      <x:c r="L1859">
        <x:f>IF(A1859="","",IF(COUNTIFS($A$5:$A$2004,A1859,$C$5:$C$2004,C1859)&gt;1,1,0))</x:f>
      </x:c>
    </x:row>
    <x:row r="1860">
      <x:c r="A1860" s="8" t="n"/>
      <x:c r="B1860" s="8" t="n"/>
      <x:c r="C1860" s="8" t="n"/>
      <x:c r="D1860" s="8" t="n"/>
      <x:c r="E1860" s="8" t="n"/>
      <x:c r="F1860" s="8" t="n"/>
      <x:c r="G1860" s="7">
        <x:f>IF(A1860="","",IF(01_Parametres!$B$11="Oui",IF((01_Parametres!$B$4*(D1860&gt;0)+01_Parametres!$B$5*(E1860&gt;0)+01_Parametres!$B$6*(F1860&gt;0))=0,"",(01_Parametres!$B$4*IF(D1860&gt;0,D1860,0)+01_Parametres!$B$5*IF(E1860&gt;0,E1860,0)+01_Parametres!$B$6*IF(F1860&gt;0,F1860,0))/(01_Parametres!$B$4*(D1860&gt;0)+01_Parametres!$B$5*(E1860&gt;0)+01_Parametres!$B$6*(F1860&gt;0))),IF(01_Parametres!$B$8=0,"",(01_Parametres!$B$4*D1860+01_Parametres!$B$5*E1860+01_Parametres!$B$6*F1860)/01_Parametres!$B$8)))</x:f>
      </x:c>
      <x:c r="H1860">
        <x:f>IFERROR(VLOOKUP(C1860,02_Referentiels!$A$20:$D$99,3,FALSE),"")</x:f>
      </x:c>
      <x:c r="I1860">
        <x:f>IFERROR(VLOOKUP(B1860,02_Referentiels!$A$5:$C$16,2,FALSE),"")</x:f>
      </x:c>
      <x:c r="J1860">
        <x:f>IF(A1860="","",IF(OR(D1860="",E1860="",F1860=""),1,IF(OR(D1860&lt;0,D1860&gt;3,E1860&lt;0,E1860&gt;3,F1860&lt;0,F1860&gt;3),1,0)))</x:f>
      </x:c>
      <x:c r="K1860">
        <x:f>IF(A1860="","",IF(G1860="",1,0))</x:f>
      </x:c>
      <x:c r="L1860">
        <x:f>IF(A1860="","",IF(COUNTIFS($A$5:$A$2004,A1860,$C$5:$C$2004,C1860)&gt;1,1,0))</x:f>
      </x:c>
    </x:row>
    <x:row r="1861">
      <x:c r="A1861" s="8" t="n"/>
      <x:c r="B1861" s="8" t="n"/>
      <x:c r="C1861" s="8" t="n"/>
      <x:c r="D1861" s="8" t="n"/>
      <x:c r="E1861" s="8" t="n"/>
      <x:c r="F1861" s="8" t="n"/>
      <x:c r="G1861" s="7">
        <x:f>IF(A1861="","",IF(01_Parametres!$B$11="Oui",IF((01_Parametres!$B$4*(D1861&gt;0)+01_Parametres!$B$5*(E1861&gt;0)+01_Parametres!$B$6*(F1861&gt;0))=0,"",(01_Parametres!$B$4*IF(D1861&gt;0,D1861,0)+01_Parametres!$B$5*IF(E1861&gt;0,E1861,0)+01_Parametres!$B$6*IF(F1861&gt;0,F1861,0))/(01_Parametres!$B$4*(D1861&gt;0)+01_Parametres!$B$5*(E1861&gt;0)+01_Parametres!$B$6*(F1861&gt;0))),IF(01_Parametres!$B$8=0,"",(01_Parametres!$B$4*D1861+01_Parametres!$B$5*E1861+01_Parametres!$B$6*F1861)/01_Parametres!$B$8)))</x:f>
      </x:c>
      <x:c r="H1861">
        <x:f>IFERROR(VLOOKUP(C1861,02_Referentiels!$A$20:$D$99,3,FALSE),"")</x:f>
      </x:c>
      <x:c r="I1861">
        <x:f>IFERROR(VLOOKUP(B1861,02_Referentiels!$A$5:$C$16,2,FALSE),"")</x:f>
      </x:c>
      <x:c r="J1861">
        <x:f>IF(A1861="","",IF(OR(D1861="",E1861="",F1861=""),1,IF(OR(D1861&lt;0,D1861&gt;3,E1861&lt;0,E1861&gt;3,F1861&lt;0,F1861&gt;3),1,0)))</x:f>
      </x:c>
      <x:c r="K1861">
        <x:f>IF(A1861="","",IF(G1861="",1,0))</x:f>
      </x:c>
      <x:c r="L1861">
        <x:f>IF(A1861="","",IF(COUNTIFS($A$5:$A$2004,A1861,$C$5:$C$2004,C1861)&gt;1,1,0))</x:f>
      </x:c>
    </x:row>
    <x:row r="1862">
      <x:c r="A1862" s="8" t="n"/>
      <x:c r="B1862" s="8" t="n"/>
      <x:c r="C1862" s="8" t="n"/>
      <x:c r="D1862" s="8" t="n"/>
      <x:c r="E1862" s="8" t="n"/>
      <x:c r="F1862" s="8" t="n"/>
      <x:c r="G1862" s="7">
        <x:f>IF(A1862="","",IF(01_Parametres!$B$11="Oui",IF((01_Parametres!$B$4*(D1862&gt;0)+01_Parametres!$B$5*(E1862&gt;0)+01_Parametres!$B$6*(F1862&gt;0))=0,"",(01_Parametres!$B$4*IF(D1862&gt;0,D1862,0)+01_Parametres!$B$5*IF(E1862&gt;0,E1862,0)+01_Parametres!$B$6*IF(F1862&gt;0,F1862,0))/(01_Parametres!$B$4*(D1862&gt;0)+01_Parametres!$B$5*(E1862&gt;0)+01_Parametres!$B$6*(F1862&gt;0))),IF(01_Parametres!$B$8=0,"",(01_Parametres!$B$4*D1862+01_Parametres!$B$5*E1862+01_Parametres!$B$6*F1862)/01_Parametres!$B$8)))</x:f>
      </x:c>
      <x:c r="H1862">
        <x:f>IFERROR(VLOOKUP(C1862,02_Referentiels!$A$20:$D$99,3,FALSE),"")</x:f>
      </x:c>
      <x:c r="I1862">
        <x:f>IFERROR(VLOOKUP(B1862,02_Referentiels!$A$5:$C$16,2,FALSE),"")</x:f>
      </x:c>
      <x:c r="J1862">
        <x:f>IF(A1862="","",IF(OR(D1862="",E1862="",F1862=""),1,IF(OR(D1862&lt;0,D1862&gt;3,E1862&lt;0,E1862&gt;3,F1862&lt;0,F1862&gt;3),1,0)))</x:f>
      </x:c>
      <x:c r="K1862">
        <x:f>IF(A1862="","",IF(G1862="",1,0))</x:f>
      </x:c>
      <x:c r="L1862">
        <x:f>IF(A1862="","",IF(COUNTIFS($A$5:$A$2004,A1862,$C$5:$C$2004,C1862)&gt;1,1,0))</x:f>
      </x:c>
    </x:row>
    <x:row r="1863">
      <x:c r="A1863" s="8" t="n"/>
      <x:c r="B1863" s="8" t="n"/>
      <x:c r="C1863" s="8" t="n"/>
      <x:c r="D1863" s="8" t="n"/>
      <x:c r="E1863" s="8" t="n"/>
      <x:c r="F1863" s="8" t="n"/>
      <x:c r="G1863" s="7">
        <x:f>IF(A1863="","",IF(01_Parametres!$B$11="Oui",IF((01_Parametres!$B$4*(D1863&gt;0)+01_Parametres!$B$5*(E1863&gt;0)+01_Parametres!$B$6*(F1863&gt;0))=0,"",(01_Parametres!$B$4*IF(D1863&gt;0,D1863,0)+01_Parametres!$B$5*IF(E1863&gt;0,E1863,0)+01_Parametres!$B$6*IF(F1863&gt;0,F1863,0))/(01_Parametres!$B$4*(D1863&gt;0)+01_Parametres!$B$5*(E1863&gt;0)+01_Parametres!$B$6*(F1863&gt;0))),IF(01_Parametres!$B$8=0,"",(01_Parametres!$B$4*D1863+01_Parametres!$B$5*E1863+01_Parametres!$B$6*F1863)/01_Parametres!$B$8)))</x:f>
      </x:c>
      <x:c r="H1863">
        <x:f>IFERROR(VLOOKUP(C1863,02_Referentiels!$A$20:$D$99,3,FALSE),"")</x:f>
      </x:c>
      <x:c r="I1863">
        <x:f>IFERROR(VLOOKUP(B1863,02_Referentiels!$A$5:$C$16,2,FALSE),"")</x:f>
      </x:c>
      <x:c r="J1863">
        <x:f>IF(A1863="","",IF(OR(D1863="",E1863="",F1863=""),1,IF(OR(D1863&lt;0,D1863&gt;3,E1863&lt;0,E1863&gt;3,F1863&lt;0,F1863&gt;3),1,0)))</x:f>
      </x:c>
      <x:c r="K1863">
        <x:f>IF(A1863="","",IF(G1863="",1,0))</x:f>
      </x:c>
      <x:c r="L1863">
        <x:f>IF(A1863="","",IF(COUNTIFS($A$5:$A$2004,A1863,$C$5:$C$2004,C1863)&gt;1,1,0))</x:f>
      </x:c>
    </x:row>
    <x:row r="1864">
      <x:c r="A1864" s="8" t="n"/>
      <x:c r="B1864" s="8" t="n"/>
      <x:c r="C1864" s="8" t="n"/>
      <x:c r="D1864" s="8" t="n"/>
      <x:c r="E1864" s="8" t="n"/>
      <x:c r="F1864" s="8" t="n"/>
      <x:c r="G1864" s="7">
        <x:f>IF(A1864="","",IF(01_Parametres!$B$11="Oui",IF((01_Parametres!$B$4*(D1864&gt;0)+01_Parametres!$B$5*(E1864&gt;0)+01_Parametres!$B$6*(F1864&gt;0))=0,"",(01_Parametres!$B$4*IF(D1864&gt;0,D1864,0)+01_Parametres!$B$5*IF(E1864&gt;0,E1864,0)+01_Parametres!$B$6*IF(F1864&gt;0,F1864,0))/(01_Parametres!$B$4*(D1864&gt;0)+01_Parametres!$B$5*(E1864&gt;0)+01_Parametres!$B$6*(F1864&gt;0))),IF(01_Parametres!$B$8=0,"",(01_Parametres!$B$4*D1864+01_Parametres!$B$5*E1864+01_Parametres!$B$6*F1864)/01_Parametres!$B$8)))</x:f>
      </x:c>
      <x:c r="H1864">
        <x:f>IFERROR(VLOOKUP(C1864,02_Referentiels!$A$20:$D$99,3,FALSE),"")</x:f>
      </x:c>
      <x:c r="I1864">
        <x:f>IFERROR(VLOOKUP(B1864,02_Referentiels!$A$5:$C$16,2,FALSE),"")</x:f>
      </x:c>
      <x:c r="J1864">
        <x:f>IF(A1864="","",IF(OR(D1864="",E1864="",F1864=""),1,IF(OR(D1864&lt;0,D1864&gt;3,E1864&lt;0,E1864&gt;3,F1864&lt;0,F1864&gt;3),1,0)))</x:f>
      </x:c>
      <x:c r="K1864">
        <x:f>IF(A1864="","",IF(G1864="",1,0))</x:f>
      </x:c>
      <x:c r="L1864">
        <x:f>IF(A1864="","",IF(COUNTIFS($A$5:$A$2004,A1864,$C$5:$C$2004,C1864)&gt;1,1,0))</x:f>
      </x:c>
    </x:row>
    <x:row r="1865">
      <x:c r="A1865" s="8" t="n"/>
      <x:c r="B1865" s="8" t="n"/>
      <x:c r="C1865" s="8" t="n"/>
      <x:c r="D1865" s="8" t="n"/>
      <x:c r="E1865" s="8" t="n"/>
      <x:c r="F1865" s="8" t="n"/>
      <x:c r="G1865" s="7">
        <x:f>IF(A1865="","",IF(01_Parametres!$B$11="Oui",IF((01_Parametres!$B$4*(D1865&gt;0)+01_Parametres!$B$5*(E1865&gt;0)+01_Parametres!$B$6*(F1865&gt;0))=0,"",(01_Parametres!$B$4*IF(D1865&gt;0,D1865,0)+01_Parametres!$B$5*IF(E1865&gt;0,E1865,0)+01_Parametres!$B$6*IF(F1865&gt;0,F1865,0))/(01_Parametres!$B$4*(D1865&gt;0)+01_Parametres!$B$5*(E1865&gt;0)+01_Parametres!$B$6*(F1865&gt;0))),IF(01_Parametres!$B$8=0,"",(01_Parametres!$B$4*D1865+01_Parametres!$B$5*E1865+01_Parametres!$B$6*F1865)/01_Parametres!$B$8)))</x:f>
      </x:c>
      <x:c r="H1865">
        <x:f>IFERROR(VLOOKUP(C1865,02_Referentiels!$A$20:$D$99,3,FALSE),"")</x:f>
      </x:c>
      <x:c r="I1865">
        <x:f>IFERROR(VLOOKUP(B1865,02_Referentiels!$A$5:$C$16,2,FALSE),"")</x:f>
      </x:c>
      <x:c r="J1865">
        <x:f>IF(A1865="","",IF(OR(D1865="",E1865="",F1865=""),1,IF(OR(D1865&lt;0,D1865&gt;3,E1865&lt;0,E1865&gt;3,F1865&lt;0,F1865&gt;3),1,0)))</x:f>
      </x:c>
      <x:c r="K1865">
        <x:f>IF(A1865="","",IF(G1865="",1,0))</x:f>
      </x:c>
      <x:c r="L1865">
        <x:f>IF(A1865="","",IF(COUNTIFS($A$5:$A$2004,A1865,$C$5:$C$2004,C1865)&gt;1,1,0))</x:f>
      </x:c>
    </x:row>
    <x:row r="1866">
      <x:c r="A1866" s="8" t="n"/>
      <x:c r="B1866" s="8" t="n"/>
      <x:c r="C1866" s="8" t="n"/>
      <x:c r="D1866" s="8" t="n"/>
      <x:c r="E1866" s="8" t="n"/>
      <x:c r="F1866" s="8" t="n"/>
      <x:c r="G1866" s="7">
        <x:f>IF(A1866="","",IF(01_Parametres!$B$11="Oui",IF((01_Parametres!$B$4*(D1866&gt;0)+01_Parametres!$B$5*(E1866&gt;0)+01_Parametres!$B$6*(F1866&gt;0))=0,"",(01_Parametres!$B$4*IF(D1866&gt;0,D1866,0)+01_Parametres!$B$5*IF(E1866&gt;0,E1866,0)+01_Parametres!$B$6*IF(F1866&gt;0,F1866,0))/(01_Parametres!$B$4*(D1866&gt;0)+01_Parametres!$B$5*(E1866&gt;0)+01_Parametres!$B$6*(F1866&gt;0))),IF(01_Parametres!$B$8=0,"",(01_Parametres!$B$4*D1866+01_Parametres!$B$5*E1866+01_Parametres!$B$6*F1866)/01_Parametres!$B$8)))</x:f>
      </x:c>
      <x:c r="H1866">
        <x:f>IFERROR(VLOOKUP(C1866,02_Referentiels!$A$20:$D$99,3,FALSE),"")</x:f>
      </x:c>
      <x:c r="I1866">
        <x:f>IFERROR(VLOOKUP(B1866,02_Referentiels!$A$5:$C$16,2,FALSE),"")</x:f>
      </x:c>
      <x:c r="J1866">
        <x:f>IF(A1866="","",IF(OR(D1866="",E1866="",F1866=""),1,IF(OR(D1866&lt;0,D1866&gt;3,E1866&lt;0,E1866&gt;3,F1866&lt;0,F1866&gt;3),1,0)))</x:f>
      </x:c>
      <x:c r="K1866">
        <x:f>IF(A1866="","",IF(G1866="",1,0))</x:f>
      </x:c>
      <x:c r="L1866">
        <x:f>IF(A1866="","",IF(COUNTIFS($A$5:$A$2004,A1866,$C$5:$C$2004,C1866)&gt;1,1,0))</x:f>
      </x:c>
    </x:row>
    <x:row r="1867">
      <x:c r="A1867" s="8" t="n"/>
      <x:c r="B1867" s="8" t="n"/>
      <x:c r="C1867" s="8" t="n"/>
      <x:c r="D1867" s="8" t="n"/>
      <x:c r="E1867" s="8" t="n"/>
      <x:c r="F1867" s="8" t="n"/>
      <x:c r="G1867" s="7">
        <x:f>IF(A1867="","",IF(01_Parametres!$B$11="Oui",IF((01_Parametres!$B$4*(D1867&gt;0)+01_Parametres!$B$5*(E1867&gt;0)+01_Parametres!$B$6*(F1867&gt;0))=0,"",(01_Parametres!$B$4*IF(D1867&gt;0,D1867,0)+01_Parametres!$B$5*IF(E1867&gt;0,E1867,0)+01_Parametres!$B$6*IF(F1867&gt;0,F1867,0))/(01_Parametres!$B$4*(D1867&gt;0)+01_Parametres!$B$5*(E1867&gt;0)+01_Parametres!$B$6*(F1867&gt;0))),IF(01_Parametres!$B$8=0,"",(01_Parametres!$B$4*D1867+01_Parametres!$B$5*E1867+01_Parametres!$B$6*F1867)/01_Parametres!$B$8)))</x:f>
      </x:c>
      <x:c r="H1867">
        <x:f>IFERROR(VLOOKUP(C1867,02_Referentiels!$A$20:$D$99,3,FALSE),"")</x:f>
      </x:c>
      <x:c r="I1867">
        <x:f>IFERROR(VLOOKUP(B1867,02_Referentiels!$A$5:$C$16,2,FALSE),"")</x:f>
      </x:c>
      <x:c r="J1867">
        <x:f>IF(A1867="","",IF(OR(D1867="",E1867="",F1867=""),1,IF(OR(D1867&lt;0,D1867&gt;3,E1867&lt;0,E1867&gt;3,F1867&lt;0,F1867&gt;3),1,0)))</x:f>
      </x:c>
      <x:c r="K1867">
        <x:f>IF(A1867="","",IF(G1867="",1,0))</x:f>
      </x:c>
      <x:c r="L1867">
        <x:f>IF(A1867="","",IF(COUNTIFS($A$5:$A$2004,A1867,$C$5:$C$2004,C1867)&gt;1,1,0))</x:f>
      </x:c>
    </x:row>
    <x:row r="1868">
      <x:c r="A1868" s="8" t="n"/>
      <x:c r="B1868" s="8" t="n"/>
      <x:c r="C1868" s="8" t="n"/>
      <x:c r="D1868" s="8" t="n"/>
      <x:c r="E1868" s="8" t="n"/>
      <x:c r="F1868" s="8" t="n"/>
      <x:c r="G1868" s="7">
        <x:f>IF(A1868="","",IF(01_Parametres!$B$11="Oui",IF((01_Parametres!$B$4*(D1868&gt;0)+01_Parametres!$B$5*(E1868&gt;0)+01_Parametres!$B$6*(F1868&gt;0))=0,"",(01_Parametres!$B$4*IF(D1868&gt;0,D1868,0)+01_Parametres!$B$5*IF(E1868&gt;0,E1868,0)+01_Parametres!$B$6*IF(F1868&gt;0,F1868,0))/(01_Parametres!$B$4*(D1868&gt;0)+01_Parametres!$B$5*(E1868&gt;0)+01_Parametres!$B$6*(F1868&gt;0))),IF(01_Parametres!$B$8=0,"",(01_Parametres!$B$4*D1868+01_Parametres!$B$5*E1868+01_Parametres!$B$6*F1868)/01_Parametres!$B$8)))</x:f>
      </x:c>
      <x:c r="H1868">
        <x:f>IFERROR(VLOOKUP(C1868,02_Referentiels!$A$20:$D$99,3,FALSE),"")</x:f>
      </x:c>
      <x:c r="I1868">
        <x:f>IFERROR(VLOOKUP(B1868,02_Referentiels!$A$5:$C$16,2,FALSE),"")</x:f>
      </x:c>
      <x:c r="J1868">
        <x:f>IF(A1868="","",IF(OR(D1868="",E1868="",F1868=""),1,IF(OR(D1868&lt;0,D1868&gt;3,E1868&lt;0,E1868&gt;3,F1868&lt;0,F1868&gt;3),1,0)))</x:f>
      </x:c>
      <x:c r="K1868">
        <x:f>IF(A1868="","",IF(G1868="",1,0))</x:f>
      </x:c>
      <x:c r="L1868">
        <x:f>IF(A1868="","",IF(COUNTIFS($A$5:$A$2004,A1868,$C$5:$C$2004,C1868)&gt;1,1,0))</x:f>
      </x:c>
    </x:row>
    <x:row r="1869">
      <x:c r="A1869" s="8" t="n"/>
      <x:c r="B1869" s="8" t="n"/>
      <x:c r="C1869" s="8" t="n"/>
      <x:c r="D1869" s="8" t="n"/>
      <x:c r="E1869" s="8" t="n"/>
      <x:c r="F1869" s="8" t="n"/>
      <x:c r="G1869" s="7">
        <x:f>IF(A1869="","",IF(01_Parametres!$B$11="Oui",IF((01_Parametres!$B$4*(D1869&gt;0)+01_Parametres!$B$5*(E1869&gt;0)+01_Parametres!$B$6*(F1869&gt;0))=0,"",(01_Parametres!$B$4*IF(D1869&gt;0,D1869,0)+01_Parametres!$B$5*IF(E1869&gt;0,E1869,0)+01_Parametres!$B$6*IF(F1869&gt;0,F1869,0))/(01_Parametres!$B$4*(D1869&gt;0)+01_Parametres!$B$5*(E1869&gt;0)+01_Parametres!$B$6*(F1869&gt;0))),IF(01_Parametres!$B$8=0,"",(01_Parametres!$B$4*D1869+01_Parametres!$B$5*E1869+01_Parametres!$B$6*F1869)/01_Parametres!$B$8)))</x:f>
      </x:c>
      <x:c r="H1869">
        <x:f>IFERROR(VLOOKUP(C1869,02_Referentiels!$A$20:$D$99,3,FALSE),"")</x:f>
      </x:c>
      <x:c r="I1869">
        <x:f>IFERROR(VLOOKUP(B1869,02_Referentiels!$A$5:$C$16,2,FALSE),"")</x:f>
      </x:c>
      <x:c r="J1869">
        <x:f>IF(A1869="","",IF(OR(D1869="",E1869="",F1869=""),1,IF(OR(D1869&lt;0,D1869&gt;3,E1869&lt;0,E1869&gt;3,F1869&lt;0,F1869&gt;3),1,0)))</x:f>
      </x:c>
      <x:c r="K1869">
        <x:f>IF(A1869="","",IF(G1869="",1,0))</x:f>
      </x:c>
      <x:c r="L1869">
        <x:f>IF(A1869="","",IF(COUNTIFS($A$5:$A$2004,A1869,$C$5:$C$2004,C1869)&gt;1,1,0))</x:f>
      </x:c>
    </x:row>
    <x:row r="1870">
      <x:c r="A1870" s="8" t="n"/>
      <x:c r="B1870" s="8" t="n"/>
      <x:c r="C1870" s="8" t="n"/>
      <x:c r="D1870" s="8" t="n"/>
      <x:c r="E1870" s="8" t="n"/>
      <x:c r="F1870" s="8" t="n"/>
      <x:c r="G1870" s="7">
        <x:f>IF(A1870="","",IF(01_Parametres!$B$11="Oui",IF((01_Parametres!$B$4*(D1870&gt;0)+01_Parametres!$B$5*(E1870&gt;0)+01_Parametres!$B$6*(F1870&gt;0))=0,"",(01_Parametres!$B$4*IF(D1870&gt;0,D1870,0)+01_Parametres!$B$5*IF(E1870&gt;0,E1870,0)+01_Parametres!$B$6*IF(F1870&gt;0,F1870,0))/(01_Parametres!$B$4*(D1870&gt;0)+01_Parametres!$B$5*(E1870&gt;0)+01_Parametres!$B$6*(F1870&gt;0))),IF(01_Parametres!$B$8=0,"",(01_Parametres!$B$4*D1870+01_Parametres!$B$5*E1870+01_Parametres!$B$6*F1870)/01_Parametres!$B$8)))</x:f>
      </x:c>
      <x:c r="H1870">
        <x:f>IFERROR(VLOOKUP(C1870,02_Referentiels!$A$20:$D$99,3,FALSE),"")</x:f>
      </x:c>
      <x:c r="I1870">
        <x:f>IFERROR(VLOOKUP(B1870,02_Referentiels!$A$5:$C$16,2,FALSE),"")</x:f>
      </x:c>
      <x:c r="J1870">
        <x:f>IF(A1870="","",IF(OR(D1870="",E1870="",F1870=""),1,IF(OR(D1870&lt;0,D1870&gt;3,E1870&lt;0,E1870&gt;3,F1870&lt;0,F1870&gt;3),1,0)))</x:f>
      </x:c>
      <x:c r="K1870">
        <x:f>IF(A1870="","",IF(G1870="",1,0))</x:f>
      </x:c>
      <x:c r="L1870">
        <x:f>IF(A1870="","",IF(COUNTIFS($A$5:$A$2004,A1870,$C$5:$C$2004,C1870)&gt;1,1,0))</x:f>
      </x:c>
    </x:row>
    <x:row r="1871">
      <x:c r="A1871" s="8" t="n"/>
      <x:c r="B1871" s="8" t="n"/>
      <x:c r="C1871" s="8" t="n"/>
      <x:c r="D1871" s="8" t="n"/>
      <x:c r="E1871" s="8" t="n"/>
      <x:c r="F1871" s="8" t="n"/>
      <x:c r="G1871" s="7">
        <x:f>IF(A1871="","",IF(01_Parametres!$B$11="Oui",IF((01_Parametres!$B$4*(D1871&gt;0)+01_Parametres!$B$5*(E1871&gt;0)+01_Parametres!$B$6*(F1871&gt;0))=0,"",(01_Parametres!$B$4*IF(D1871&gt;0,D1871,0)+01_Parametres!$B$5*IF(E1871&gt;0,E1871,0)+01_Parametres!$B$6*IF(F1871&gt;0,F1871,0))/(01_Parametres!$B$4*(D1871&gt;0)+01_Parametres!$B$5*(E1871&gt;0)+01_Parametres!$B$6*(F1871&gt;0))),IF(01_Parametres!$B$8=0,"",(01_Parametres!$B$4*D1871+01_Parametres!$B$5*E1871+01_Parametres!$B$6*F1871)/01_Parametres!$B$8)))</x:f>
      </x:c>
      <x:c r="H1871">
        <x:f>IFERROR(VLOOKUP(C1871,02_Referentiels!$A$20:$D$99,3,FALSE),"")</x:f>
      </x:c>
      <x:c r="I1871">
        <x:f>IFERROR(VLOOKUP(B1871,02_Referentiels!$A$5:$C$16,2,FALSE),"")</x:f>
      </x:c>
      <x:c r="J1871">
        <x:f>IF(A1871="","",IF(OR(D1871="",E1871="",F1871=""),1,IF(OR(D1871&lt;0,D1871&gt;3,E1871&lt;0,E1871&gt;3,F1871&lt;0,F1871&gt;3),1,0)))</x:f>
      </x:c>
      <x:c r="K1871">
        <x:f>IF(A1871="","",IF(G1871="",1,0))</x:f>
      </x:c>
      <x:c r="L1871">
        <x:f>IF(A1871="","",IF(COUNTIFS($A$5:$A$2004,A1871,$C$5:$C$2004,C1871)&gt;1,1,0))</x:f>
      </x:c>
    </x:row>
    <x:row r="1872">
      <x:c r="A1872" s="8" t="n"/>
      <x:c r="B1872" s="8" t="n"/>
      <x:c r="C1872" s="8" t="n"/>
      <x:c r="D1872" s="8" t="n"/>
      <x:c r="E1872" s="8" t="n"/>
      <x:c r="F1872" s="8" t="n"/>
      <x:c r="G1872" s="7">
        <x:f>IF(A1872="","",IF(01_Parametres!$B$11="Oui",IF((01_Parametres!$B$4*(D1872&gt;0)+01_Parametres!$B$5*(E1872&gt;0)+01_Parametres!$B$6*(F1872&gt;0))=0,"",(01_Parametres!$B$4*IF(D1872&gt;0,D1872,0)+01_Parametres!$B$5*IF(E1872&gt;0,E1872,0)+01_Parametres!$B$6*IF(F1872&gt;0,F1872,0))/(01_Parametres!$B$4*(D1872&gt;0)+01_Parametres!$B$5*(E1872&gt;0)+01_Parametres!$B$6*(F1872&gt;0))),IF(01_Parametres!$B$8=0,"",(01_Parametres!$B$4*D1872+01_Parametres!$B$5*E1872+01_Parametres!$B$6*F1872)/01_Parametres!$B$8)))</x:f>
      </x:c>
      <x:c r="H1872">
        <x:f>IFERROR(VLOOKUP(C1872,02_Referentiels!$A$20:$D$99,3,FALSE),"")</x:f>
      </x:c>
      <x:c r="I1872">
        <x:f>IFERROR(VLOOKUP(B1872,02_Referentiels!$A$5:$C$16,2,FALSE),"")</x:f>
      </x:c>
      <x:c r="J1872">
        <x:f>IF(A1872="","",IF(OR(D1872="",E1872="",F1872=""),1,IF(OR(D1872&lt;0,D1872&gt;3,E1872&lt;0,E1872&gt;3,F1872&lt;0,F1872&gt;3),1,0)))</x:f>
      </x:c>
      <x:c r="K1872">
        <x:f>IF(A1872="","",IF(G1872="",1,0))</x:f>
      </x:c>
      <x:c r="L1872">
        <x:f>IF(A1872="","",IF(COUNTIFS($A$5:$A$2004,A1872,$C$5:$C$2004,C1872)&gt;1,1,0))</x:f>
      </x:c>
    </x:row>
    <x:row r="1873">
      <x:c r="A1873" s="8" t="n"/>
      <x:c r="B1873" s="8" t="n"/>
      <x:c r="C1873" s="8" t="n"/>
      <x:c r="D1873" s="8" t="n"/>
      <x:c r="E1873" s="8" t="n"/>
      <x:c r="F1873" s="8" t="n"/>
      <x:c r="G1873" s="7">
        <x:f>IF(A1873="","",IF(01_Parametres!$B$11="Oui",IF((01_Parametres!$B$4*(D1873&gt;0)+01_Parametres!$B$5*(E1873&gt;0)+01_Parametres!$B$6*(F1873&gt;0))=0,"",(01_Parametres!$B$4*IF(D1873&gt;0,D1873,0)+01_Parametres!$B$5*IF(E1873&gt;0,E1873,0)+01_Parametres!$B$6*IF(F1873&gt;0,F1873,0))/(01_Parametres!$B$4*(D1873&gt;0)+01_Parametres!$B$5*(E1873&gt;0)+01_Parametres!$B$6*(F1873&gt;0))),IF(01_Parametres!$B$8=0,"",(01_Parametres!$B$4*D1873+01_Parametres!$B$5*E1873+01_Parametres!$B$6*F1873)/01_Parametres!$B$8)))</x:f>
      </x:c>
      <x:c r="H1873">
        <x:f>IFERROR(VLOOKUP(C1873,02_Referentiels!$A$20:$D$99,3,FALSE),"")</x:f>
      </x:c>
      <x:c r="I1873">
        <x:f>IFERROR(VLOOKUP(B1873,02_Referentiels!$A$5:$C$16,2,FALSE),"")</x:f>
      </x:c>
      <x:c r="J1873">
        <x:f>IF(A1873="","",IF(OR(D1873="",E1873="",F1873=""),1,IF(OR(D1873&lt;0,D1873&gt;3,E1873&lt;0,E1873&gt;3,F1873&lt;0,F1873&gt;3),1,0)))</x:f>
      </x:c>
      <x:c r="K1873">
        <x:f>IF(A1873="","",IF(G1873="",1,0))</x:f>
      </x:c>
      <x:c r="L1873">
        <x:f>IF(A1873="","",IF(COUNTIFS($A$5:$A$2004,A1873,$C$5:$C$2004,C1873)&gt;1,1,0))</x:f>
      </x:c>
    </x:row>
    <x:row r="1874">
      <x:c r="A1874" s="8" t="n"/>
      <x:c r="B1874" s="8" t="n"/>
      <x:c r="C1874" s="8" t="n"/>
      <x:c r="D1874" s="8" t="n"/>
      <x:c r="E1874" s="8" t="n"/>
      <x:c r="F1874" s="8" t="n"/>
      <x:c r="G1874" s="7">
        <x:f>IF(A1874="","",IF(01_Parametres!$B$11="Oui",IF((01_Parametres!$B$4*(D1874&gt;0)+01_Parametres!$B$5*(E1874&gt;0)+01_Parametres!$B$6*(F1874&gt;0))=0,"",(01_Parametres!$B$4*IF(D1874&gt;0,D1874,0)+01_Parametres!$B$5*IF(E1874&gt;0,E1874,0)+01_Parametres!$B$6*IF(F1874&gt;0,F1874,0))/(01_Parametres!$B$4*(D1874&gt;0)+01_Parametres!$B$5*(E1874&gt;0)+01_Parametres!$B$6*(F1874&gt;0))),IF(01_Parametres!$B$8=0,"",(01_Parametres!$B$4*D1874+01_Parametres!$B$5*E1874+01_Parametres!$B$6*F1874)/01_Parametres!$B$8)))</x:f>
      </x:c>
      <x:c r="H1874">
        <x:f>IFERROR(VLOOKUP(C1874,02_Referentiels!$A$20:$D$99,3,FALSE),"")</x:f>
      </x:c>
      <x:c r="I1874">
        <x:f>IFERROR(VLOOKUP(B1874,02_Referentiels!$A$5:$C$16,2,FALSE),"")</x:f>
      </x:c>
      <x:c r="J1874">
        <x:f>IF(A1874="","",IF(OR(D1874="",E1874="",F1874=""),1,IF(OR(D1874&lt;0,D1874&gt;3,E1874&lt;0,E1874&gt;3,F1874&lt;0,F1874&gt;3),1,0)))</x:f>
      </x:c>
      <x:c r="K1874">
        <x:f>IF(A1874="","",IF(G1874="",1,0))</x:f>
      </x:c>
      <x:c r="L1874">
        <x:f>IF(A1874="","",IF(COUNTIFS($A$5:$A$2004,A1874,$C$5:$C$2004,C1874)&gt;1,1,0))</x:f>
      </x:c>
    </x:row>
    <x:row r="1875">
      <x:c r="A1875" s="8" t="n"/>
      <x:c r="B1875" s="8" t="n"/>
      <x:c r="C1875" s="8" t="n"/>
      <x:c r="D1875" s="8" t="n"/>
      <x:c r="E1875" s="8" t="n"/>
      <x:c r="F1875" s="8" t="n"/>
      <x:c r="G1875" s="7">
        <x:f>IF(A1875="","",IF(01_Parametres!$B$11="Oui",IF((01_Parametres!$B$4*(D1875&gt;0)+01_Parametres!$B$5*(E1875&gt;0)+01_Parametres!$B$6*(F1875&gt;0))=0,"",(01_Parametres!$B$4*IF(D1875&gt;0,D1875,0)+01_Parametres!$B$5*IF(E1875&gt;0,E1875,0)+01_Parametres!$B$6*IF(F1875&gt;0,F1875,0))/(01_Parametres!$B$4*(D1875&gt;0)+01_Parametres!$B$5*(E1875&gt;0)+01_Parametres!$B$6*(F1875&gt;0))),IF(01_Parametres!$B$8=0,"",(01_Parametres!$B$4*D1875+01_Parametres!$B$5*E1875+01_Parametres!$B$6*F1875)/01_Parametres!$B$8)))</x:f>
      </x:c>
      <x:c r="H1875">
        <x:f>IFERROR(VLOOKUP(C1875,02_Referentiels!$A$20:$D$99,3,FALSE),"")</x:f>
      </x:c>
      <x:c r="I1875">
        <x:f>IFERROR(VLOOKUP(B1875,02_Referentiels!$A$5:$C$16,2,FALSE),"")</x:f>
      </x:c>
      <x:c r="J1875">
        <x:f>IF(A1875="","",IF(OR(D1875="",E1875="",F1875=""),1,IF(OR(D1875&lt;0,D1875&gt;3,E1875&lt;0,E1875&gt;3,F1875&lt;0,F1875&gt;3),1,0)))</x:f>
      </x:c>
      <x:c r="K1875">
        <x:f>IF(A1875="","",IF(G1875="",1,0))</x:f>
      </x:c>
      <x:c r="L1875">
        <x:f>IF(A1875="","",IF(COUNTIFS($A$5:$A$2004,A1875,$C$5:$C$2004,C1875)&gt;1,1,0))</x:f>
      </x:c>
    </x:row>
    <x:row r="1876">
      <x:c r="A1876" s="8" t="n"/>
      <x:c r="B1876" s="8" t="n"/>
      <x:c r="C1876" s="8" t="n"/>
      <x:c r="D1876" s="8" t="n"/>
      <x:c r="E1876" s="8" t="n"/>
      <x:c r="F1876" s="8" t="n"/>
      <x:c r="G1876" s="7">
        <x:f>IF(A1876="","",IF(01_Parametres!$B$11="Oui",IF((01_Parametres!$B$4*(D1876&gt;0)+01_Parametres!$B$5*(E1876&gt;0)+01_Parametres!$B$6*(F1876&gt;0))=0,"",(01_Parametres!$B$4*IF(D1876&gt;0,D1876,0)+01_Parametres!$B$5*IF(E1876&gt;0,E1876,0)+01_Parametres!$B$6*IF(F1876&gt;0,F1876,0))/(01_Parametres!$B$4*(D1876&gt;0)+01_Parametres!$B$5*(E1876&gt;0)+01_Parametres!$B$6*(F1876&gt;0))),IF(01_Parametres!$B$8=0,"",(01_Parametres!$B$4*D1876+01_Parametres!$B$5*E1876+01_Parametres!$B$6*F1876)/01_Parametres!$B$8)))</x:f>
      </x:c>
      <x:c r="H1876">
        <x:f>IFERROR(VLOOKUP(C1876,02_Referentiels!$A$20:$D$99,3,FALSE),"")</x:f>
      </x:c>
      <x:c r="I1876">
        <x:f>IFERROR(VLOOKUP(B1876,02_Referentiels!$A$5:$C$16,2,FALSE),"")</x:f>
      </x:c>
      <x:c r="J1876">
        <x:f>IF(A1876="","",IF(OR(D1876="",E1876="",F1876=""),1,IF(OR(D1876&lt;0,D1876&gt;3,E1876&lt;0,E1876&gt;3,F1876&lt;0,F1876&gt;3),1,0)))</x:f>
      </x:c>
      <x:c r="K1876">
        <x:f>IF(A1876="","",IF(G1876="",1,0))</x:f>
      </x:c>
      <x:c r="L1876">
        <x:f>IF(A1876="","",IF(COUNTIFS($A$5:$A$2004,A1876,$C$5:$C$2004,C1876)&gt;1,1,0))</x:f>
      </x:c>
    </x:row>
    <x:row r="1877">
      <x:c r="A1877" s="8" t="n"/>
      <x:c r="B1877" s="8" t="n"/>
      <x:c r="C1877" s="8" t="n"/>
      <x:c r="D1877" s="8" t="n"/>
      <x:c r="E1877" s="8" t="n"/>
      <x:c r="F1877" s="8" t="n"/>
      <x:c r="G1877" s="7">
        <x:f>IF(A1877="","",IF(01_Parametres!$B$11="Oui",IF((01_Parametres!$B$4*(D1877&gt;0)+01_Parametres!$B$5*(E1877&gt;0)+01_Parametres!$B$6*(F1877&gt;0))=0,"",(01_Parametres!$B$4*IF(D1877&gt;0,D1877,0)+01_Parametres!$B$5*IF(E1877&gt;0,E1877,0)+01_Parametres!$B$6*IF(F1877&gt;0,F1877,0))/(01_Parametres!$B$4*(D1877&gt;0)+01_Parametres!$B$5*(E1877&gt;0)+01_Parametres!$B$6*(F1877&gt;0))),IF(01_Parametres!$B$8=0,"",(01_Parametres!$B$4*D1877+01_Parametres!$B$5*E1877+01_Parametres!$B$6*F1877)/01_Parametres!$B$8)))</x:f>
      </x:c>
      <x:c r="H1877">
        <x:f>IFERROR(VLOOKUP(C1877,02_Referentiels!$A$20:$D$99,3,FALSE),"")</x:f>
      </x:c>
      <x:c r="I1877">
        <x:f>IFERROR(VLOOKUP(B1877,02_Referentiels!$A$5:$C$16,2,FALSE),"")</x:f>
      </x:c>
      <x:c r="J1877">
        <x:f>IF(A1877="","",IF(OR(D1877="",E1877="",F1877=""),1,IF(OR(D1877&lt;0,D1877&gt;3,E1877&lt;0,E1877&gt;3,F1877&lt;0,F1877&gt;3),1,0)))</x:f>
      </x:c>
      <x:c r="K1877">
        <x:f>IF(A1877="","",IF(G1877="",1,0))</x:f>
      </x:c>
      <x:c r="L1877">
        <x:f>IF(A1877="","",IF(COUNTIFS($A$5:$A$2004,A1877,$C$5:$C$2004,C1877)&gt;1,1,0))</x:f>
      </x:c>
    </x:row>
    <x:row r="1878">
      <x:c r="A1878" s="8" t="n"/>
      <x:c r="B1878" s="8" t="n"/>
      <x:c r="C1878" s="8" t="n"/>
      <x:c r="D1878" s="8" t="n"/>
      <x:c r="E1878" s="8" t="n"/>
      <x:c r="F1878" s="8" t="n"/>
      <x:c r="G1878" s="7">
        <x:f>IF(A1878="","",IF(01_Parametres!$B$11="Oui",IF((01_Parametres!$B$4*(D1878&gt;0)+01_Parametres!$B$5*(E1878&gt;0)+01_Parametres!$B$6*(F1878&gt;0))=0,"",(01_Parametres!$B$4*IF(D1878&gt;0,D1878,0)+01_Parametres!$B$5*IF(E1878&gt;0,E1878,0)+01_Parametres!$B$6*IF(F1878&gt;0,F1878,0))/(01_Parametres!$B$4*(D1878&gt;0)+01_Parametres!$B$5*(E1878&gt;0)+01_Parametres!$B$6*(F1878&gt;0))),IF(01_Parametres!$B$8=0,"",(01_Parametres!$B$4*D1878+01_Parametres!$B$5*E1878+01_Parametres!$B$6*F1878)/01_Parametres!$B$8)))</x:f>
      </x:c>
      <x:c r="H1878">
        <x:f>IFERROR(VLOOKUP(C1878,02_Referentiels!$A$20:$D$99,3,FALSE),"")</x:f>
      </x:c>
      <x:c r="I1878">
        <x:f>IFERROR(VLOOKUP(B1878,02_Referentiels!$A$5:$C$16,2,FALSE),"")</x:f>
      </x:c>
      <x:c r="J1878">
        <x:f>IF(A1878="","",IF(OR(D1878="",E1878="",F1878=""),1,IF(OR(D1878&lt;0,D1878&gt;3,E1878&lt;0,E1878&gt;3,F1878&lt;0,F1878&gt;3),1,0)))</x:f>
      </x:c>
      <x:c r="K1878">
        <x:f>IF(A1878="","",IF(G1878="",1,0))</x:f>
      </x:c>
      <x:c r="L1878">
        <x:f>IF(A1878="","",IF(COUNTIFS($A$5:$A$2004,A1878,$C$5:$C$2004,C1878)&gt;1,1,0))</x:f>
      </x:c>
    </x:row>
    <x:row r="1879">
      <x:c r="A1879" s="8" t="n"/>
      <x:c r="B1879" s="8" t="n"/>
      <x:c r="C1879" s="8" t="n"/>
      <x:c r="D1879" s="8" t="n"/>
      <x:c r="E1879" s="8" t="n"/>
      <x:c r="F1879" s="8" t="n"/>
      <x:c r="G1879" s="7">
        <x:f>IF(A1879="","",IF(01_Parametres!$B$11="Oui",IF((01_Parametres!$B$4*(D1879&gt;0)+01_Parametres!$B$5*(E1879&gt;0)+01_Parametres!$B$6*(F1879&gt;0))=0,"",(01_Parametres!$B$4*IF(D1879&gt;0,D1879,0)+01_Parametres!$B$5*IF(E1879&gt;0,E1879,0)+01_Parametres!$B$6*IF(F1879&gt;0,F1879,0))/(01_Parametres!$B$4*(D1879&gt;0)+01_Parametres!$B$5*(E1879&gt;0)+01_Parametres!$B$6*(F1879&gt;0))),IF(01_Parametres!$B$8=0,"",(01_Parametres!$B$4*D1879+01_Parametres!$B$5*E1879+01_Parametres!$B$6*F1879)/01_Parametres!$B$8)))</x:f>
      </x:c>
      <x:c r="H1879">
        <x:f>IFERROR(VLOOKUP(C1879,02_Referentiels!$A$20:$D$99,3,FALSE),"")</x:f>
      </x:c>
      <x:c r="I1879">
        <x:f>IFERROR(VLOOKUP(B1879,02_Referentiels!$A$5:$C$16,2,FALSE),"")</x:f>
      </x:c>
      <x:c r="J1879">
        <x:f>IF(A1879="","",IF(OR(D1879="",E1879="",F1879=""),1,IF(OR(D1879&lt;0,D1879&gt;3,E1879&lt;0,E1879&gt;3,F1879&lt;0,F1879&gt;3),1,0)))</x:f>
      </x:c>
      <x:c r="K1879">
        <x:f>IF(A1879="","",IF(G1879="",1,0))</x:f>
      </x:c>
      <x:c r="L1879">
        <x:f>IF(A1879="","",IF(COUNTIFS($A$5:$A$2004,A1879,$C$5:$C$2004,C1879)&gt;1,1,0))</x:f>
      </x:c>
    </x:row>
    <x:row r="1880">
      <x:c r="A1880" s="8" t="n"/>
      <x:c r="B1880" s="8" t="n"/>
      <x:c r="C1880" s="8" t="n"/>
      <x:c r="D1880" s="8" t="n"/>
      <x:c r="E1880" s="8" t="n"/>
      <x:c r="F1880" s="8" t="n"/>
      <x:c r="G1880" s="7">
        <x:f>IF(A1880="","",IF(01_Parametres!$B$11="Oui",IF((01_Parametres!$B$4*(D1880&gt;0)+01_Parametres!$B$5*(E1880&gt;0)+01_Parametres!$B$6*(F1880&gt;0))=0,"",(01_Parametres!$B$4*IF(D1880&gt;0,D1880,0)+01_Parametres!$B$5*IF(E1880&gt;0,E1880,0)+01_Parametres!$B$6*IF(F1880&gt;0,F1880,0))/(01_Parametres!$B$4*(D1880&gt;0)+01_Parametres!$B$5*(E1880&gt;0)+01_Parametres!$B$6*(F1880&gt;0))),IF(01_Parametres!$B$8=0,"",(01_Parametres!$B$4*D1880+01_Parametres!$B$5*E1880+01_Parametres!$B$6*F1880)/01_Parametres!$B$8)))</x:f>
      </x:c>
      <x:c r="H1880">
        <x:f>IFERROR(VLOOKUP(C1880,02_Referentiels!$A$20:$D$99,3,FALSE),"")</x:f>
      </x:c>
      <x:c r="I1880">
        <x:f>IFERROR(VLOOKUP(B1880,02_Referentiels!$A$5:$C$16,2,FALSE),"")</x:f>
      </x:c>
      <x:c r="J1880">
        <x:f>IF(A1880="","",IF(OR(D1880="",E1880="",F1880=""),1,IF(OR(D1880&lt;0,D1880&gt;3,E1880&lt;0,E1880&gt;3,F1880&lt;0,F1880&gt;3),1,0)))</x:f>
      </x:c>
      <x:c r="K1880">
        <x:f>IF(A1880="","",IF(G1880="",1,0))</x:f>
      </x:c>
      <x:c r="L1880">
        <x:f>IF(A1880="","",IF(COUNTIFS($A$5:$A$2004,A1880,$C$5:$C$2004,C1880)&gt;1,1,0))</x:f>
      </x:c>
    </x:row>
    <x:row r="1881">
      <x:c r="A1881" s="8" t="n"/>
      <x:c r="B1881" s="8" t="n"/>
      <x:c r="C1881" s="8" t="n"/>
      <x:c r="D1881" s="8" t="n"/>
      <x:c r="E1881" s="8" t="n"/>
      <x:c r="F1881" s="8" t="n"/>
      <x:c r="G1881" s="7">
        <x:f>IF(A1881="","",IF(01_Parametres!$B$11="Oui",IF((01_Parametres!$B$4*(D1881&gt;0)+01_Parametres!$B$5*(E1881&gt;0)+01_Parametres!$B$6*(F1881&gt;0))=0,"",(01_Parametres!$B$4*IF(D1881&gt;0,D1881,0)+01_Parametres!$B$5*IF(E1881&gt;0,E1881,0)+01_Parametres!$B$6*IF(F1881&gt;0,F1881,0))/(01_Parametres!$B$4*(D1881&gt;0)+01_Parametres!$B$5*(E1881&gt;0)+01_Parametres!$B$6*(F1881&gt;0))),IF(01_Parametres!$B$8=0,"",(01_Parametres!$B$4*D1881+01_Parametres!$B$5*E1881+01_Parametres!$B$6*F1881)/01_Parametres!$B$8)))</x:f>
      </x:c>
      <x:c r="H1881">
        <x:f>IFERROR(VLOOKUP(C1881,02_Referentiels!$A$20:$D$99,3,FALSE),"")</x:f>
      </x:c>
      <x:c r="I1881">
        <x:f>IFERROR(VLOOKUP(B1881,02_Referentiels!$A$5:$C$16,2,FALSE),"")</x:f>
      </x:c>
      <x:c r="J1881">
        <x:f>IF(A1881="","",IF(OR(D1881="",E1881="",F1881=""),1,IF(OR(D1881&lt;0,D1881&gt;3,E1881&lt;0,E1881&gt;3,F1881&lt;0,F1881&gt;3),1,0)))</x:f>
      </x:c>
      <x:c r="K1881">
        <x:f>IF(A1881="","",IF(G1881="",1,0))</x:f>
      </x:c>
      <x:c r="L1881">
        <x:f>IF(A1881="","",IF(COUNTIFS($A$5:$A$2004,A1881,$C$5:$C$2004,C1881)&gt;1,1,0))</x:f>
      </x:c>
    </x:row>
    <x:row r="1882">
      <x:c r="A1882" s="8" t="n"/>
      <x:c r="B1882" s="8" t="n"/>
      <x:c r="C1882" s="8" t="n"/>
      <x:c r="D1882" s="8" t="n"/>
      <x:c r="E1882" s="8" t="n"/>
      <x:c r="F1882" s="8" t="n"/>
      <x:c r="G1882" s="7">
        <x:f>IF(A1882="","",IF(01_Parametres!$B$11="Oui",IF((01_Parametres!$B$4*(D1882&gt;0)+01_Parametres!$B$5*(E1882&gt;0)+01_Parametres!$B$6*(F1882&gt;0))=0,"",(01_Parametres!$B$4*IF(D1882&gt;0,D1882,0)+01_Parametres!$B$5*IF(E1882&gt;0,E1882,0)+01_Parametres!$B$6*IF(F1882&gt;0,F1882,0))/(01_Parametres!$B$4*(D1882&gt;0)+01_Parametres!$B$5*(E1882&gt;0)+01_Parametres!$B$6*(F1882&gt;0))),IF(01_Parametres!$B$8=0,"",(01_Parametres!$B$4*D1882+01_Parametres!$B$5*E1882+01_Parametres!$B$6*F1882)/01_Parametres!$B$8)))</x:f>
      </x:c>
      <x:c r="H1882">
        <x:f>IFERROR(VLOOKUP(C1882,02_Referentiels!$A$20:$D$99,3,FALSE),"")</x:f>
      </x:c>
      <x:c r="I1882">
        <x:f>IFERROR(VLOOKUP(B1882,02_Referentiels!$A$5:$C$16,2,FALSE),"")</x:f>
      </x:c>
      <x:c r="J1882">
        <x:f>IF(A1882="","",IF(OR(D1882="",E1882="",F1882=""),1,IF(OR(D1882&lt;0,D1882&gt;3,E1882&lt;0,E1882&gt;3,F1882&lt;0,F1882&gt;3),1,0)))</x:f>
      </x:c>
      <x:c r="K1882">
        <x:f>IF(A1882="","",IF(G1882="",1,0))</x:f>
      </x:c>
      <x:c r="L1882">
        <x:f>IF(A1882="","",IF(COUNTIFS($A$5:$A$2004,A1882,$C$5:$C$2004,C1882)&gt;1,1,0))</x:f>
      </x:c>
    </x:row>
    <x:row r="1883">
      <x:c r="A1883" s="8" t="n"/>
      <x:c r="B1883" s="8" t="n"/>
      <x:c r="C1883" s="8" t="n"/>
      <x:c r="D1883" s="8" t="n"/>
      <x:c r="E1883" s="8" t="n"/>
      <x:c r="F1883" s="8" t="n"/>
      <x:c r="G1883" s="7">
        <x:f>IF(A1883="","",IF(01_Parametres!$B$11="Oui",IF((01_Parametres!$B$4*(D1883&gt;0)+01_Parametres!$B$5*(E1883&gt;0)+01_Parametres!$B$6*(F1883&gt;0))=0,"",(01_Parametres!$B$4*IF(D1883&gt;0,D1883,0)+01_Parametres!$B$5*IF(E1883&gt;0,E1883,0)+01_Parametres!$B$6*IF(F1883&gt;0,F1883,0))/(01_Parametres!$B$4*(D1883&gt;0)+01_Parametres!$B$5*(E1883&gt;0)+01_Parametres!$B$6*(F1883&gt;0))),IF(01_Parametres!$B$8=0,"",(01_Parametres!$B$4*D1883+01_Parametres!$B$5*E1883+01_Parametres!$B$6*F1883)/01_Parametres!$B$8)))</x:f>
      </x:c>
      <x:c r="H1883">
        <x:f>IFERROR(VLOOKUP(C1883,02_Referentiels!$A$20:$D$99,3,FALSE),"")</x:f>
      </x:c>
      <x:c r="I1883">
        <x:f>IFERROR(VLOOKUP(B1883,02_Referentiels!$A$5:$C$16,2,FALSE),"")</x:f>
      </x:c>
      <x:c r="J1883">
        <x:f>IF(A1883="","",IF(OR(D1883="",E1883="",F1883=""),1,IF(OR(D1883&lt;0,D1883&gt;3,E1883&lt;0,E1883&gt;3,F1883&lt;0,F1883&gt;3),1,0)))</x:f>
      </x:c>
      <x:c r="K1883">
        <x:f>IF(A1883="","",IF(G1883="",1,0))</x:f>
      </x:c>
      <x:c r="L1883">
        <x:f>IF(A1883="","",IF(COUNTIFS($A$5:$A$2004,A1883,$C$5:$C$2004,C1883)&gt;1,1,0))</x:f>
      </x:c>
    </x:row>
    <x:row r="1884">
      <x:c r="A1884" s="8" t="n"/>
      <x:c r="B1884" s="8" t="n"/>
      <x:c r="C1884" s="8" t="n"/>
      <x:c r="D1884" s="8" t="n"/>
      <x:c r="E1884" s="8" t="n"/>
      <x:c r="F1884" s="8" t="n"/>
      <x:c r="G1884" s="7">
        <x:f>IF(A1884="","",IF(01_Parametres!$B$11="Oui",IF((01_Parametres!$B$4*(D1884&gt;0)+01_Parametres!$B$5*(E1884&gt;0)+01_Parametres!$B$6*(F1884&gt;0))=0,"",(01_Parametres!$B$4*IF(D1884&gt;0,D1884,0)+01_Parametres!$B$5*IF(E1884&gt;0,E1884,0)+01_Parametres!$B$6*IF(F1884&gt;0,F1884,0))/(01_Parametres!$B$4*(D1884&gt;0)+01_Parametres!$B$5*(E1884&gt;0)+01_Parametres!$B$6*(F1884&gt;0))),IF(01_Parametres!$B$8=0,"",(01_Parametres!$B$4*D1884+01_Parametres!$B$5*E1884+01_Parametres!$B$6*F1884)/01_Parametres!$B$8)))</x:f>
      </x:c>
      <x:c r="H1884">
        <x:f>IFERROR(VLOOKUP(C1884,02_Referentiels!$A$20:$D$99,3,FALSE),"")</x:f>
      </x:c>
      <x:c r="I1884">
        <x:f>IFERROR(VLOOKUP(B1884,02_Referentiels!$A$5:$C$16,2,FALSE),"")</x:f>
      </x:c>
      <x:c r="J1884">
        <x:f>IF(A1884="","",IF(OR(D1884="",E1884="",F1884=""),1,IF(OR(D1884&lt;0,D1884&gt;3,E1884&lt;0,E1884&gt;3,F1884&lt;0,F1884&gt;3),1,0)))</x:f>
      </x:c>
      <x:c r="K1884">
        <x:f>IF(A1884="","",IF(G1884="",1,0))</x:f>
      </x:c>
      <x:c r="L1884">
        <x:f>IF(A1884="","",IF(COUNTIFS($A$5:$A$2004,A1884,$C$5:$C$2004,C1884)&gt;1,1,0))</x:f>
      </x:c>
    </x:row>
    <x:row r="1885">
      <x:c r="A1885" s="8" t="n"/>
      <x:c r="B1885" s="8" t="n"/>
      <x:c r="C1885" s="8" t="n"/>
      <x:c r="D1885" s="8" t="n"/>
      <x:c r="E1885" s="8" t="n"/>
      <x:c r="F1885" s="8" t="n"/>
      <x:c r="G1885" s="7">
        <x:f>IF(A1885="","",IF(01_Parametres!$B$11="Oui",IF((01_Parametres!$B$4*(D1885&gt;0)+01_Parametres!$B$5*(E1885&gt;0)+01_Parametres!$B$6*(F1885&gt;0))=0,"",(01_Parametres!$B$4*IF(D1885&gt;0,D1885,0)+01_Parametres!$B$5*IF(E1885&gt;0,E1885,0)+01_Parametres!$B$6*IF(F1885&gt;0,F1885,0))/(01_Parametres!$B$4*(D1885&gt;0)+01_Parametres!$B$5*(E1885&gt;0)+01_Parametres!$B$6*(F1885&gt;0))),IF(01_Parametres!$B$8=0,"",(01_Parametres!$B$4*D1885+01_Parametres!$B$5*E1885+01_Parametres!$B$6*F1885)/01_Parametres!$B$8)))</x:f>
      </x:c>
      <x:c r="H1885">
        <x:f>IFERROR(VLOOKUP(C1885,02_Referentiels!$A$20:$D$99,3,FALSE),"")</x:f>
      </x:c>
      <x:c r="I1885">
        <x:f>IFERROR(VLOOKUP(B1885,02_Referentiels!$A$5:$C$16,2,FALSE),"")</x:f>
      </x:c>
      <x:c r="J1885">
        <x:f>IF(A1885="","",IF(OR(D1885="",E1885="",F1885=""),1,IF(OR(D1885&lt;0,D1885&gt;3,E1885&lt;0,E1885&gt;3,F1885&lt;0,F1885&gt;3),1,0)))</x:f>
      </x:c>
      <x:c r="K1885">
        <x:f>IF(A1885="","",IF(G1885="",1,0))</x:f>
      </x:c>
      <x:c r="L1885">
        <x:f>IF(A1885="","",IF(COUNTIFS($A$5:$A$2004,A1885,$C$5:$C$2004,C1885)&gt;1,1,0))</x:f>
      </x:c>
    </x:row>
    <x:row r="1886">
      <x:c r="A1886" s="8" t="n"/>
      <x:c r="B1886" s="8" t="n"/>
      <x:c r="C1886" s="8" t="n"/>
      <x:c r="D1886" s="8" t="n"/>
      <x:c r="E1886" s="8" t="n"/>
      <x:c r="F1886" s="8" t="n"/>
      <x:c r="G1886" s="7">
        <x:f>IF(A1886="","",IF(01_Parametres!$B$11="Oui",IF((01_Parametres!$B$4*(D1886&gt;0)+01_Parametres!$B$5*(E1886&gt;0)+01_Parametres!$B$6*(F1886&gt;0))=0,"",(01_Parametres!$B$4*IF(D1886&gt;0,D1886,0)+01_Parametres!$B$5*IF(E1886&gt;0,E1886,0)+01_Parametres!$B$6*IF(F1886&gt;0,F1886,0))/(01_Parametres!$B$4*(D1886&gt;0)+01_Parametres!$B$5*(E1886&gt;0)+01_Parametres!$B$6*(F1886&gt;0))),IF(01_Parametres!$B$8=0,"",(01_Parametres!$B$4*D1886+01_Parametres!$B$5*E1886+01_Parametres!$B$6*F1886)/01_Parametres!$B$8)))</x:f>
      </x:c>
      <x:c r="H1886">
        <x:f>IFERROR(VLOOKUP(C1886,02_Referentiels!$A$20:$D$99,3,FALSE),"")</x:f>
      </x:c>
      <x:c r="I1886">
        <x:f>IFERROR(VLOOKUP(B1886,02_Referentiels!$A$5:$C$16,2,FALSE),"")</x:f>
      </x:c>
      <x:c r="J1886">
        <x:f>IF(A1886="","",IF(OR(D1886="",E1886="",F1886=""),1,IF(OR(D1886&lt;0,D1886&gt;3,E1886&lt;0,E1886&gt;3,F1886&lt;0,F1886&gt;3),1,0)))</x:f>
      </x:c>
      <x:c r="K1886">
        <x:f>IF(A1886="","",IF(G1886="",1,0))</x:f>
      </x:c>
      <x:c r="L1886">
        <x:f>IF(A1886="","",IF(COUNTIFS($A$5:$A$2004,A1886,$C$5:$C$2004,C1886)&gt;1,1,0))</x:f>
      </x:c>
    </x:row>
    <x:row r="1887">
      <x:c r="A1887" s="8" t="n"/>
      <x:c r="B1887" s="8" t="n"/>
      <x:c r="C1887" s="8" t="n"/>
      <x:c r="D1887" s="8" t="n"/>
      <x:c r="E1887" s="8" t="n"/>
      <x:c r="F1887" s="8" t="n"/>
      <x:c r="G1887" s="7">
        <x:f>IF(A1887="","",IF(01_Parametres!$B$11="Oui",IF((01_Parametres!$B$4*(D1887&gt;0)+01_Parametres!$B$5*(E1887&gt;0)+01_Parametres!$B$6*(F1887&gt;0))=0,"",(01_Parametres!$B$4*IF(D1887&gt;0,D1887,0)+01_Parametres!$B$5*IF(E1887&gt;0,E1887,0)+01_Parametres!$B$6*IF(F1887&gt;0,F1887,0))/(01_Parametres!$B$4*(D1887&gt;0)+01_Parametres!$B$5*(E1887&gt;0)+01_Parametres!$B$6*(F1887&gt;0))),IF(01_Parametres!$B$8=0,"",(01_Parametres!$B$4*D1887+01_Parametres!$B$5*E1887+01_Parametres!$B$6*F1887)/01_Parametres!$B$8)))</x:f>
      </x:c>
      <x:c r="H1887">
        <x:f>IFERROR(VLOOKUP(C1887,02_Referentiels!$A$20:$D$99,3,FALSE),"")</x:f>
      </x:c>
      <x:c r="I1887">
        <x:f>IFERROR(VLOOKUP(B1887,02_Referentiels!$A$5:$C$16,2,FALSE),"")</x:f>
      </x:c>
      <x:c r="J1887">
        <x:f>IF(A1887="","",IF(OR(D1887="",E1887="",F1887=""),1,IF(OR(D1887&lt;0,D1887&gt;3,E1887&lt;0,E1887&gt;3,F1887&lt;0,F1887&gt;3),1,0)))</x:f>
      </x:c>
      <x:c r="K1887">
        <x:f>IF(A1887="","",IF(G1887="",1,0))</x:f>
      </x:c>
      <x:c r="L1887">
        <x:f>IF(A1887="","",IF(COUNTIFS($A$5:$A$2004,A1887,$C$5:$C$2004,C1887)&gt;1,1,0))</x:f>
      </x:c>
    </x:row>
    <x:row r="1888">
      <x:c r="A1888" s="8" t="n"/>
      <x:c r="B1888" s="8" t="n"/>
      <x:c r="C1888" s="8" t="n"/>
      <x:c r="D1888" s="8" t="n"/>
      <x:c r="E1888" s="8" t="n"/>
      <x:c r="F1888" s="8" t="n"/>
      <x:c r="G1888" s="7">
        <x:f>IF(A1888="","",IF(01_Parametres!$B$11="Oui",IF((01_Parametres!$B$4*(D1888&gt;0)+01_Parametres!$B$5*(E1888&gt;0)+01_Parametres!$B$6*(F1888&gt;0))=0,"",(01_Parametres!$B$4*IF(D1888&gt;0,D1888,0)+01_Parametres!$B$5*IF(E1888&gt;0,E1888,0)+01_Parametres!$B$6*IF(F1888&gt;0,F1888,0))/(01_Parametres!$B$4*(D1888&gt;0)+01_Parametres!$B$5*(E1888&gt;0)+01_Parametres!$B$6*(F1888&gt;0))),IF(01_Parametres!$B$8=0,"",(01_Parametres!$B$4*D1888+01_Parametres!$B$5*E1888+01_Parametres!$B$6*F1888)/01_Parametres!$B$8)))</x:f>
      </x:c>
      <x:c r="H1888">
        <x:f>IFERROR(VLOOKUP(C1888,02_Referentiels!$A$20:$D$99,3,FALSE),"")</x:f>
      </x:c>
      <x:c r="I1888">
        <x:f>IFERROR(VLOOKUP(B1888,02_Referentiels!$A$5:$C$16,2,FALSE),"")</x:f>
      </x:c>
      <x:c r="J1888">
        <x:f>IF(A1888="","",IF(OR(D1888="",E1888="",F1888=""),1,IF(OR(D1888&lt;0,D1888&gt;3,E1888&lt;0,E1888&gt;3,F1888&lt;0,F1888&gt;3),1,0)))</x:f>
      </x:c>
      <x:c r="K1888">
        <x:f>IF(A1888="","",IF(G1888="",1,0))</x:f>
      </x:c>
      <x:c r="L1888">
        <x:f>IF(A1888="","",IF(COUNTIFS($A$5:$A$2004,A1888,$C$5:$C$2004,C1888)&gt;1,1,0))</x:f>
      </x:c>
    </x:row>
    <x:row r="1889">
      <x:c r="A1889" s="8" t="n"/>
      <x:c r="B1889" s="8" t="n"/>
      <x:c r="C1889" s="8" t="n"/>
      <x:c r="D1889" s="8" t="n"/>
      <x:c r="E1889" s="8" t="n"/>
      <x:c r="F1889" s="8" t="n"/>
      <x:c r="G1889" s="7">
        <x:f>IF(A1889="","",IF(01_Parametres!$B$11="Oui",IF((01_Parametres!$B$4*(D1889&gt;0)+01_Parametres!$B$5*(E1889&gt;0)+01_Parametres!$B$6*(F1889&gt;0))=0,"",(01_Parametres!$B$4*IF(D1889&gt;0,D1889,0)+01_Parametres!$B$5*IF(E1889&gt;0,E1889,0)+01_Parametres!$B$6*IF(F1889&gt;0,F1889,0))/(01_Parametres!$B$4*(D1889&gt;0)+01_Parametres!$B$5*(E1889&gt;0)+01_Parametres!$B$6*(F1889&gt;0))),IF(01_Parametres!$B$8=0,"",(01_Parametres!$B$4*D1889+01_Parametres!$B$5*E1889+01_Parametres!$B$6*F1889)/01_Parametres!$B$8)))</x:f>
      </x:c>
      <x:c r="H1889">
        <x:f>IFERROR(VLOOKUP(C1889,02_Referentiels!$A$20:$D$99,3,FALSE),"")</x:f>
      </x:c>
      <x:c r="I1889">
        <x:f>IFERROR(VLOOKUP(B1889,02_Referentiels!$A$5:$C$16,2,FALSE),"")</x:f>
      </x:c>
      <x:c r="J1889">
        <x:f>IF(A1889="","",IF(OR(D1889="",E1889="",F1889=""),1,IF(OR(D1889&lt;0,D1889&gt;3,E1889&lt;0,E1889&gt;3,F1889&lt;0,F1889&gt;3),1,0)))</x:f>
      </x:c>
      <x:c r="K1889">
        <x:f>IF(A1889="","",IF(G1889="",1,0))</x:f>
      </x:c>
      <x:c r="L1889">
        <x:f>IF(A1889="","",IF(COUNTIFS($A$5:$A$2004,A1889,$C$5:$C$2004,C1889)&gt;1,1,0))</x:f>
      </x:c>
    </x:row>
    <x:row r="1890">
      <x:c r="A1890" s="8" t="n"/>
      <x:c r="B1890" s="8" t="n"/>
      <x:c r="C1890" s="8" t="n"/>
      <x:c r="D1890" s="8" t="n"/>
      <x:c r="E1890" s="8" t="n"/>
      <x:c r="F1890" s="8" t="n"/>
      <x:c r="G1890" s="7">
        <x:f>IF(A1890="","",IF(01_Parametres!$B$11="Oui",IF((01_Parametres!$B$4*(D1890&gt;0)+01_Parametres!$B$5*(E1890&gt;0)+01_Parametres!$B$6*(F1890&gt;0))=0,"",(01_Parametres!$B$4*IF(D1890&gt;0,D1890,0)+01_Parametres!$B$5*IF(E1890&gt;0,E1890,0)+01_Parametres!$B$6*IF(F1890&gt;0,F1890,0))/(01_Parametres!$B$4*(D1890&gt;0)+01_Parametres!$B$5*(E1890&gt;0)+01_Parametres!$B$6*(F1890&gt;0))),IF(01_Parametres!$B$8=0,"",(01_Parametres!$B$4*D1890+01_Parametres!$B$5*E1890+01_Parametres!$B$6*F1890)/01_Parametres!$B$8)))</x:f>
      </x:c>
      <x:c r="H1890">
        <x:f>IFERROR(VLOOKUP(C1890,02_Referentiels!$A$20:$D$99,3,FALSE),"")</x:f>
      </x:c>
      <x:c r="I1890">
        <x:f>IFERROR(VLOOKUP(B1890,02_Referentiels!$A$5:$C$16,2,FALSE),"")</x:f>
      </x:c>
      <x:c r="J1890">
        <x:f>IF(A1890="","",IF(OR(D1890="",E1890="",F1890=""),1,IF(OR(D1890&lt;0,D1890&gt;3,E1890&lt;0,E1890&gt;3,F1890&lt;0,F1890&gt;3),1,0)))</x:f>
      </x:c>
      <x:c r="K1890">
        <x:f>IF(A1890="","",IF(G1890="",1,0))</x:f>
      </x:c>
      <x:c r="L1890">
        <x:f>IF(A1890="","",IF(COUNTIFS($A$5:$A$2004,A1890,$C$5:$C$2004,C1890)&gt;1,1,0))</x:f>
      </x:c>
    </x:row>
    <x:row r="1891">
      <x:c r="A1891" s="8" t="n"/>
      <x:c r="B1891" s="8" t="n"/>
      <x:c r="C1891" s="8" t="n"/>
      <x:c r="D1891" s="8" t="n"/>
      <x:c r="E1891" s="8" t="n"/>
      <x:c r="F1891" s="8" t="n"/>
      <x:c r="G1891" s="7">
        <x:f>IF(A1891="","",IF(01_Parametres!$B$11="Oui",IF((01_Parametres!$B$4*(D1891&gt;0)+01_Parametres!$B$5*(E1891&gt;0)+01_Parametres!$B$6*(F1891&gt;0))=0,"",(01_Parametres!$B$4*IF(D1891&gt;0,D1891,0)+01_Parametres!$B$5*IF(E1891&gt;0,E1891,0)+01_Parametres!$B$6*IF(F1891&gt;0,F1891,0))/(01_Parametres!$B$4*(D1891&gt;0)+01_Parametres!$B$5*(E1891&gt;0)+01_Parametres!$B$6*(F1891&gt;0))),IF(01_Parametres!$B$8=0,"",(01_Parametres!$B$4*D1891+01_Parametres!$B$5*E1891+01_Parametres!$B$6*F1891)/01_Parametres!$B$8)))</x:f>
      </x:c>
      <x:c r="H1891">
        <x:f>IFERROR(VLOOKUP(C1891,02_Referentiels!$A$20:$D$99,3,FALSE),"")</x:f>
      </x:c>
      <x:c r="I1891">
        <x:f>IFERROR(VLOOKUP(B1891,02_Referentiels!$A$5:$C$16,2,FALSE),"")</x:f>
      </x:c>
      <x:c r="J1891">
        <x:f>IF(A1891="","",IF(OR(D1891="",E1891="",F1891=""),1,IF(OR(D1891&lt;0,D1891&gt;3,E1891&lt;0,E1891&gt;3,F1891&lt;0,F1891&gt;3),1,0)))</x:f>
      </x:c>
      <x:c r="K1891">
        <x:f>IF(A1891="","",IF(G1891="",1,0))</x:f>
      </x:c>
      <x:c r="L1891">
        <x:f>IF(A1891="","",IF(COUNTIFS($A$5:$A$2004,A1891,$C$5:$C$2004,C1891)&gt;1,1,0))</x:f>
      </x:c>
    </x:row>
    <x:row r="1892">
      <x:c r="A1892" s="8" t="n"/>
      <x:c r="B1892" s="8" t="n"/>
      <x:c r="C1892" s="8" t="n"/>
      <x:c r="D1892" s="8" t="n"/>
      <x:c r="E1892" s="8" t="n"/>
      <x:c r="F1892" s="8" t="n"/>
      <x:c r="G1892" s="7">
        <x:f>IF(A1892="","",IF(01_Parametres!$B$11="Oui",IF((01_Parametres!$B$4*(D1892&gt;0)+01_Parametres!$B$5*(E1892&gt;0)+01_Parametres!$B$6*(F1892&gt;0))=0,"",(01_Parametres!$B$4*IF(D1892&gt;0,D1892,0)+01_Parametres!$B$5*IF(E1892&gt;0,E1892,0)+01_Parametres!$B$6*IF(F1892&gt;0,F1892,0))/(01_Parametres!$B$4*(D1892&gt;0)+01_Parametres!$B$5*(E1892&gt;0)+01_Parametres!$B$6*(F1892&gt;0))),IF(01_Parametres!$B$8=0,"",(01_Parametres!$B$4*D1892+01_Parametres!$B$5*E1892+01_Parametres!$B$6*F1892)/01_Parametres!$B$8)))</x:f>
      </x:c>
      <x:c r="H1892">
        <x:f>IFERROR(VLOOKUP(C1892,02_Referentiels!$A$20:$D$99,3,FALSE),"")</x:f>
      </x:c>
      <x:c r="I1892">
        <x:f>IFERROR(VLOOKUP(B1892,02_Referentiels!$A$5:$C$16,2,FALSE),"")</x:f>
      </x:c>
      <x:c r="J1892">
        <x:f>IF(A1892="","",IF(OR(D1892="",E1892="",F1892=""),1,IF(OR(D1892&lt;0,D1892&gt;3,E1892&lt;0,E1892&gt;3,F1892&lt;0,F1892&gt;3),1,0)))</x:f>
      </x:c>
      <x:c r="K1892">
        <x:f>IF(A1892="","",IF(G1892="",1,0))</x:f>
      </x:c>
      <x:c r="L1892">
        <x:f>IF(A1892="","",IF(COUNTIFS($A$5:$A$2004,A1892,$C$5:$C$2004,C1892)&gt;1,1,0))</x:f>
      </x:c>
    </x:row>
    <x:row r="1893">
      <x:c r="A1893" s="8" t="n"/>
      <x:c r="B1893" s="8" t="n"/>
      <x:c r="C1893" s="8" t="n"/>
      <x:c r="D1893" s="8" t="n"/>
      <x:c r="E1893" s="8" t="n"/>
      <x:c r="F1893" s="8" t="n"/>
      <x:c r="G1893" s="7">
        <x:f>IF(A1893="","",IF(01_Parametres!$B$11="Oui",IF((01_Parametres!$B$4*(D1893&gt;0)+01_Parametres!$B$5*(E1893&gt;0)+01_Parametres!$B$6*(F1893&gt;0))=0,"",(01_Parametres!$B$4*IF(D1893&gt;0,D1893,0)+01_Parametres!$B$5*IF(E1893&gt;0,E1893,0)+01_Parametres!$B$6*IF(F1893&gt;0,F1893,0))/(01_Parametres!$B$4*(D1893&gt;0)+01_Parametres!$B$5*(E1893&gt;0)+01_Parametres!$B$6*(F1893&gt;0))),IF(01_Parametres!$B$8=0,"",(01_Parametres!$B$4*D1893+01_Parametres!$B$5*E1893+01_Parametres!$B$6*F1893)/01_Parametres!$B$8)))</x:f>
      </x:c>
      <x:c r="H1893">
        <x:f>IFERROR(VLOOKUP(C1893,02_Referentiels!$A$20:$D$99,3,FALSE),"")</x:f>
      </x:c>
      <x:c r="I1893">
        <x:f>IFERROR(VLOOKUP(B1893,02_Referentiels!$A$5:$C$16,2,FALSE),"")</x:f>
      </x:c>
      <x:c r="J1893">
        <x:f>IF(A1893="","",IF(OR(D1893="",E1893="",F1893=""),1,IF(OR(D1893&lt;0,D1893&gt;3,E1893&lt;0,E1893&gt;3,F1893&lt;0,F1893&gt;3),1,0)))</x:f>
      </x:c>
      <x:c r="K1893">
        <x:f>IF(A1893="","",IF(G1893="",1,0))</x:f>
      </x:c>
      <x:c r="L1893">
        <x:f>IF(A1893="","",IF(COUNTIFS($A$5:$A$2004,A1893,$C$5:$C$2004,C1893)&gt;1,1,0))</x:f>
      </x:c>
    </x:row>
    <x:row r="1894">
      <x:c r="A1894" s="8" t="n"/>
      <x:c r="B1894" s="8" t="n"/>
      <x:c r="C1894" s="8" t="n"/>
      <x:c r="D1894" s="8" t="n"/>
      <x:c r="E1894" s="8" t="n"/>
      <x:c r="F1894" s="8" t="n"/>
      <x:c r="G1894" s="7">
        <x:f>IF(A1894="","",IF(01_Parametres!$B$11="Oui",IF((01_Parametres!$B$4*(D1894&gt;0)+01_Parametres!$B$5*(E1894&gt;0)+01_Parametres!$B$6*(F1894&gt;0))=0,"",(01_Parametres!$B$4*IF(D1894&gt;0,D1894,0)+01_Parametres!$B$5*IF(E1894&gt;0,E1894,0)+01_Parametres!$B$6*IF(F1894&gt;0,F1894,0))/(01_Parametres!$B$4*(D1894&gt;0)+01_Parametres!$B$5*(E1894&gt;0)+01_Parametres!$B$6*(F1894&gt;0))),IF(01_Parametres!$B$8=0,"",(01_Parametres!$B$4*D1894+01_Parametres!$B$5*E1894+01_Parametres!$B$6*F1894)/01_Parametres!$B$8)))</x:f>
      </x:c>
      <x:c r="H1894">
        <x:f>IFERROR(VLOOKUP(C1894,02_Referentiels!$A$20:$D$99,3,FALSE),"")</x:f>
      </x:c>
      <x:c r="I1894">
        <x:f>IFERROR(VLOOKUP(B1894,02_Referentiels!$A$5:$C$16,2,FALSE),"")</x:f>
      </x:c>
      <x:c r="J1894">
        <x:f>IF(A1894="","",IF(OR(D1894="",E1894="",F1894=""),1,IF(OR(D1894&lt;0,D1894&gt;3,E1894&lt;0,E1894&gt;3,F1894&lt;0,F1894&gt;3),1,0)))</x:f>
      </x:c>
      <x:c r="K1894">
        <x:f>IF(A1894="","",IF(G1894="",1,0))</x:f>
      </x:c>
      <x:c r="L1894">
        <x:f>IF(A1894="","",IF(COUNTIFS($A$5:$A$2004,A1894,$C$5:$C$2004,C1894)&gt;1,1,0))</x:f>
      </x:c>
    </x:row>
    <x:row r="1895">
      <x:c r="A1895" s="8" t="n"/>
      <x:c r="B1895" s="8" t="n"/>
      <x:c r="C1895" s="8" t="n"/>
      <x:c r="D1895" s="8" t="n"/>
      <x:c r="E1895" s="8" t="n"/>
      <x:c r="F1895" s="8" t="n"/>
      <x:c r="G1895" s="7">
        <x:f>IF(A1895="","",IF(01_Parametres!$B$11="Oui",IF((01_Parametres!$B$4*(D1895&gt;0)+01_Parametres!$B$5*(E1895&gt;0)+01_Parametres!$B$6*(F1895&gt;0))=0,"",(01_Parametres!$B$4*IF(D1895&gt;0,D1895,0)+01_Parametres!$B$5*IF(E1895&gt;0,E1895,0)+01_Parametres!$B$6*IF(F1895&gt;0,F1895,0))/(01_Parametres!$B$4*(D1895&gt;0)+01_Parametres!$B$5*(E1895&gt;0)+01_Parametres!$B$6*(F1895&gt;0))),IF(01_Parametres!$B$8=0,"",(01_Parametres!$B$4*D1895+01_Parametres!$B$5*E1895+01_Parametres!$B$6*F1895)/01_Parametres!$B$8)))</x:f>
      </x:c>
      <x:c r="H1895">
        <x:f>IFERROR(VLOOKUP(C1895,02_Referentiels!$A$20:$D$99,3,FALSE),"")</x:f>
      </x:c>
      <x:c r="I1895">
        <x:f>IFERROR(VLOOKUP(B1895,02_Referentiels!$A$5:$C$16,2,FALSE),"")</x:f>
      </x:c>
      <x:c r="J1895">
        <x:f>IF(A1895="","",IF(OR(D1895="",E1895="",F1895=""),1,IF(OR(D1895&lt;0,D1895&gt;3,E1895&lt;0,E1895&gt;3,F1895&lt;0,F1895&gt;3),1,0)))</x:f>
      </x:c>
      <x:c r="K1895">
        <x:f>IF(A1895="","",IF(G1895="",1,0))</x:f>
      </x:c>
      <x:c r="L1895">
        <x:f>IF(A1895="","",IF(COUNTIFS($A$5:$A$2004,A1895,$C$5:$C$2004,C1895)&gt;1,1,0))</x:f>
      </x:c>
    </x:row>
    <x:row r="1896">
      <x:c r="A1896" s="8" t="n"/>
      <x:c r="B1896" s="8" t="n"/>
      <x:c r="C1896" s="8" t="n"/>
      <x:c r="D1896" s="8" t="n"/>
      <x:c r="E1896" s="8" t="n"/>
      <x:c r="F1896" s="8" t="n"/>
      <x:c r="G1896" s="7">
        <x:f>IF(A1896="","",IF(01_Parametres!$B$11="Oui",IF((01_Parametres!$B$4*(D1896&gt;0)+01_Parametres!$B$5*(E1896&gt;0)+01_Parametres!$B$6*(F1896&gt;0))=0,"",(01_Parametres!$B$4*IF(D1896&gt;0,D1896,0)+01_Parametres!$B$5*IF(E1896&gt;0,E1896,0)+01_Parametres!$B$6*IF(F1896&gt;0,F1896,0))/(01_Parametres!$B$4*(D1896&gt;0)+01_Parametres!$B$5*(E1896&gt;0)+01_Parametres!$B$6*(F1896&gt;0))),IF(01_Parametres!$B$8=0,"",(01_Parametres!$B$4*D1896+01_Parametres!$B$5*E1896+01_Parametres!$B$6*F1896)/01_Parametres!$B$8)))</x:f>
      </x:c>
      <x:c r="H1896">
        <x:f>IFERROR(VLOOKUP(C1896,02_Referentiels!$A$20:$D$99,3,FALSE),"")</x:f>
      </x:c>
      <x:c r="I1896">
        <x:f>IFERROR(VLOOKUP(B1896,02_Referentiels!$A$5:$C$16,2,FALSE),"")</x:f>
      </x:c>
      <x:c r="J1896">
        <x:f>IF(A1896="","",IF(OR(D1896="",E1896="",F1896=""),1,IF(OR(D1896&lt;0,D1896&gt;3,E1896&lt;0,E1896&gt;3,F1896&lt;0,F1896&gt;3),1,0)))</x:f>
      </x:c>
      <x:c r="K1896">
        <x:f>IF(A1896="","",IF(G1896="",1,0))</x:f>
      </x:c>
      <x:c r="L1896">
        <x:f>IF(A1896="","",IF(COUNTIFS($A$5:$A$2004,A1896,$C$5:$C$2004,C1896)&gt;1,1,0))</x:f>
      </x:c>
    </x:row>
    <x:row r="1897">
      <x:c r="A1897" s="8" t="n"/>
      <x:c r="B1897" s="8" t="n"/>
      <x:c r="C1897" s="8" t="n"/>
      <x:c r="D1897" s="8" t="n"/>
      <x:c r="E1897" s="8" t="n"/>
      <x:c r="F1897" s="8" t="n"/>
      <x:c r="G1897" s="7">
        <x:f>IF(A1897="","",IF(01_Parametres!$B$11="Oui",IF((01_Parametres!$B$4*(D1897&gt;0)+01_Parametres!$B$5*(E1897&gt;0)+01_Parametres!$B$6*(F1897&gt;0))=0,"",(01_Parametres!$B$4*IF(D1897&gt;0,D1897,0)+01_Parametres!$B$5*IF(E1897&gt;0,E1897,0)+01_Parametres!$B$6*IF(F1897&gt;0,F1897,0))/(01_Parametres!$B$4*(D1897&gt;0)+01_Parametres!$B$5*(E1897&gt;0)+01_Parametres!$B$6*(F1897&gt;0))),IF(01_Parametres!$B$8=0,"",(01_Parametres!$B$4*D1897+01_Parametres!$B$5*E1897+01_Parametres!$B$6*F1897)/01_Parametres!$B$8)))</x:f>
      </x:c>
      <x:c r="H1897">
        <x:f>IFERROR(VLOOKUP(C1897,02_Referentiels!$A$20:$D$99,3,FALSE),"")</x:f>
      </x:c>
      <x:c r="I1897">
        <x:f>IFERROR(VLOOKUP(B1897,02_Referentiels!$A$5:$C$16,2,FALSE),"")</x:f>
      </x:c>
      <x:c r="J1897">
        <x:f>IF(A1897="","",IF(OR(D1897="",E1897="",F1897=""),1,IF(OR(D1897&lt;0,D1897&gt;3,E1897&lt;0,E1897&gt;3,F1897&lt;0,F1897&gt;3),1,0)))</x:f>
      </x:c>
      <x:c r="K1897">
        <x:f>IF(A1897="","",IF(G1897="",1,0))</x:f>
      </x:c>
      <x:c r="L1897">
        <x:f>IF(A1897="","",IF(COUNTIFS($A$5:$A$2004,A1897,$C$5:$C$2004,C1897)&gt;1,1,0))</x:f>
      </x:c>
    </x:row>
    <x:row r="1898">
      <x:c r="A1898" s="8" t="n"/>
      <x:c r="B1898" s="8" t="n"/>
      <x:c r="C1898" s="8" t="n"/>
      <x:c r="D1898" s="8" t="n"/>
      <x:c r="E1898" s="8" t="n"/>
      <x:c r="F1898" s="8" t="n"/>
      <x:c r="G1898" s="7">
        <x:f>IF(A1898="","",IF(01_Parametres!$B$11="Oui",IF((01_Parametres!$B$4*(D1898&gt;0)+01_Parametres!$B$5*(E1898&gt;0)+01_Parametres!$B$6*(F1898&gt;0))=0,"",(01_Parametres!$B$4*IF(D1898&gt;0,D1898,0)+01_Parametres!$B$5*IF(E1898&gt;0,E1898,0)+01_Parametres!$B$6*IF(F1898&gt;0,F1898,0))/(01_Parametres!$B$4*(D1898&gt;0)+01_Parametres!$B$5*(E1898&gt;0)+01_Parametres!$B$6*(F1898&gt;0))),IF(01_Parametres!$B$8=0,"",(01_Parametres!$B$4*D1898+01_Parametres!$B$5*E1898+01_Parametres!$B$6*F1898)/01_Parametres!$B$8)))</x:f>
      </x:c>
      <x:c r="H1898">
        <x:f>IFERROR(VLOOKUP(C1898,02_Referentiels!$A$20:$D$99,3,FALSE),"")</x:f>
      </x:c>
      <x:c r="I1898">
        <x:f>IFERROR(VLOOKUP(B1898,02_Referentiels!$A$5:$C$16,2,FALSE),"")</x:f>
      </x:c>
      <x:c r="J1898">
        <x:f>IF(A1898="","",IF(OR(D1898="",E1898="",F1898=""),1,IF(OR(D1898&lt;0,D1898&gt;3,E1898&lt;0,E1898&gt;3,F1898&lt;0,F1898&gt;3),1,0)))</x:f>
      </x:c>
      <x:c r="K1898">
        <x:f>IF(A1898="","",IF(G1898="",1,0))</x:f>
      </x:c>
      <x:c r="L1898">
        <x:f>IF(A1898="","",IF(COUNTIFS($A$5:$A$2004,A1898,$C$5:$C$2004,C1898)&gt;1,1,0))</x:f>
      </x:c>
    </x:row>
    <x:row r="1899">
      <x:c r="A1899" s="8" t="n"/>
      <x:c r="B1899" s="8" t="n"/>
      <x:c r="C1899" s="8" t="n"/>
      <x:c r="D1899" s="8" t="n"/>
      <x:c r="E1899" s="8" t="n"/>
      <x:c r="F1899" s="8" t="n"/>
      <x:c r="G1899" s="7">
        <x:f>IF(A1899="","",IF(01_Parametres!$B$11="Oui",IF((01_Parametres!$B$4*(D1899&gt;0)+01_Parametres!$B$5*(E1899&gt;0)+01_Parametres!$B$6*(F1899&gt;0))=0,"",(01_Parametres!$B$4*IF(D1899&gt;0,D1899,0)+01_Parametres!$B$5*IF(E1899&gt;0,E1899,0)+01_Parametres!$B$6*IF(F1899&gt;0,F1899,0))/(01_Parametres!$B$4*(D1899&gt;0)+01_Parametres!$B$5*(E1899&gt;0)+01_Parametres!$B$6*(F1899&gt;0))),IF(01_Parametres!$B$8=0,"",(01_Parametres!$B$4*D1899+01_Parametres!$B$5*E1899+01_Parametres!$B$6*F1899)/01_Parametres!$B$8)))</x:f>
      </x:c>
      <x:c r="H1899">
        <x:f>IFERROR(VLOOKUP(C1899,02_Referentiels!$A$20:$D$99,3,FALSE),"")</x:f>
      </x:c>
      <x:c r="I1899">
        <x:f>IFERROR(VLOOKUP(B1899,02_Referentiels!$A$5:$C$16,2,FALSE),"")</x:f>
      </x:c>
      <x:c r="J1899">
        <x:f>IF(A1899="","",IF(OR(D1899="",E1899="",F1899=""),1,IF(OR(D1899&lt;0,D1899&gt;3,E1899&lt;0,E1899&gt;3,F1899&lt;0,F1899&gt;3),1,0)))</x:f>
      </x:c>
      <x:c r="K1899">
        <x:f>IF(A1899="","",IF(G1899="",1,0))</x:f>
      </x:c>
      <x:c r="L1899">
        <x:f>IF(A1899="","",IF(COUNTIFS($A$5:$A$2004,A1899,$C$5:$C$2004,C1899)&gt;1,1,0))</x:f>
      </x:c>
    </x:row>
    <x:row r="1900">
      <x:c r="A1900" s="8" t="n"/>
      <x:c r="B1900" s="8" t="n"/>
      <x:c r="C1900" s="8" t="n"/>
      <x:c r="D1900" s="8" t="n"/>
      <x:c r="E1900" s="8" t="n"/>
      <x:c r="F1900" s="8" t="n"/>
      <x:c r="G1900" s="7">
        <x:f>IF(A1900="","",IF(01_Parametres!$B$11="Oui",IF((01_Parametres!$B$4*(D1900&gt;0)+01_Parametres!$B$5*(E1900&gt;0)+01_Parametres!$B$6*(F1900&gt;0))=0,"",(01_Parametres!$B$4*IF(D1900&gt;0,D1900,0)+01_Parametres!$B$5*IF(E1900&gt;0,E1900,0)+01_Parametres!$B$6*IF(F1900&gt;0,F1900,0))/(01_Parametres!$B$4*(D1900&gt;0)+01_Parametres!$B$5*(E1900&gt;0)+01_Parametres!$B$6*(F1900&gt;0))),IF(01_Parametres!$B$8=0,"",(01_Parametres!$B$4*D1900+01_Parametres!$B$5*E1900+01_Parametres!$B$6*F1900)/01_Parametres!$B$8)))</x:f>
      </x:c>
      <x:c r="H1900">
        <x:f>IFERROR(VLOOKUP(C1900,02_Referentiels!$A$20:$D$99,3,FALSE),"")</x:f>
      </x:c>
      <x:c r="I1900">
        <x:f>IFERROR(VLOOKUP(B1900,02_Referentiels!$A$5:$C$16,2,FALSE),"")</x:f>
      </x:c>
      <x:c r="J1900">
        <x:f>IF(A1900="","",IF(OR(D1900="",E1900="",F1900=""),1,IF(OR(D1900&lt;0,D1900&gt;3,E1900&lt;0,E1900&gt;3,F1900&lt;0,F1900&gt;3),1,0)))</x:f>
      </x:c>
      <x:c r="K1900">
        <x:f>IF(A1900="","",IF(G1900="",1,0))</x:f>
      </x:c>
      <x:c r="L1900">
        <x:f>IF(A1900="","",IF(COUNTIFS($A$5:$A$2004,A1900,$C$5:$C$2004,C1900)&gt;1,1,0))</x:f>
      </x:c>
    </x:row>
    <x:row r="1901">
      <x:c r="A1901" s="8" t="n"/>
      <x:c r="B1901" s="8" t="n"/>
      <x:c r="C1901" s="8" t="n"/>
      <x:c r="D1901" s="8" t="n"/>
      <x:c r="E1901" s="8" t="n"/>
      <x:c r="F1901" s="8" t="n"/>
      <x:c r="G1901" s="7">
        <x:f>IF(A1901="","",IF(01_Parametres!$B$11="Oui",IF((01_Parametres!$B$4*(D1901&gt;0)+01_Parametres!$B$5*(E1901&gt;0)+01_Parametres!$B$6*(F1901&gt;0))=0,"",(01_Parametres!$B$4*IF(D1901&gt;0,D1901,0)+01_Parametres!$B$5*IF(E1901&gt;0,E1901,0)+01_Parametres!$B$6*IF(F1901&gt;0,F1901,0))/(01_Parametres!$B$4*(D1901&gt;0)+01_Parametres!$B$5*(E1901&gt;0)+01_Parametres!$B$6*(F1901&gt;0))),IF(01_Parametres!$B$8=0,"",(01_Parametres!$B$4*D1901+01_Parametres!$B$5*E1901+01_Parametres!$B$6*F1901)/01_Parametres!$B$8)))</x:f>
      </x:c>
      <x:c r="H1901">
        <x:f>IFERROR(VLOOKUP(C1901,02_Referentiels!$A$20:$D$99,3,FALSE),"")</x:f>
      </x:c>
      <x:c r="I1901">
        <x:f>IFERROR(VLOOKUP(B1901,02_Referentiels!$A$5:$C$16,2,FALSE),"")</x:f>
      </x:c>
      <x:c r="J1901">
        <x:f>IF(A1901="","",IF(OR(D1901="",E1901="",F1901=""),1,IF(OR(D1901&lt;0,D1901&gt;3,E1901&lt;0,E1901&gt;3,F1901&lt;0,F1901&gt;3),1,0)))</x:f>
      </x:c>
      <x:c r="K1901">
        <x:f>IF(A1901="","",IF(G1901="",1,0))</x:f>
      </x:c>
      <x:c r="L1901">
        <x:f>IF(A1901="","",IF(COUNTIFS($A$5:$A$2004,A1901,$C$5:$C$2004,C1901)&gt;1,1,0))</x:f>
      </x:c>
    </x:row>
    <x:row r="1902">
      <x:c r="A1902" s="8" t="n"/>
      <x:c r="B1902" s="8" t="n"/>
      <x:c r="C1902" s="8" t="n"/>
      <x:c r="D1902" s="8" t="n"/>
      <x:c r="E1902" s="8" t="n"/>
      <x:c r="F1902" s="8" t="n"/>
      <x:c r="G1902" s="7">
        <x:f>IF(A1902="","",IF(01_Parametres!$B$11="Oui",IF((01_Parametres!$B$4*(D1902&gt;0)+01_Parametres!$B$5*(E1902&gt;0)+01_Parametres!$B$6*(F1902&gt;0))=0,"",(01_Parametres!$B$4*IF(D1902&gt;0,D1902,0)+01_Parametres!$B$5*IF(E1902&gt;0,E1902,0)+01_Parametres!$B$6*IF(F1902&gt;0,F1902,0))/(01_Parametres!$B$4*(D1902&gt;0)+01_Parametres!$B$5*(E1902&gt;0)+01_Parametres!$B$6*(F1902&gt;0))),IF(01_Parametres!$B$8=0,"",(01_Parametres!$B$4*D1902+01_Parametres!$B$5*E1902+01_Parametres!$B$6*F1902)/01_Parametres!$B$8)))</x:f>
      </x:c>
      <x:c r="H1902">
        <x:f>IFERROR(VLOOKUP(C1902,02_Referentiels!$A$20:$D$99,3,FALSE),"")</x:f>
      </x:c>
      <x:c r="I1902">
        <x:f>IFERROR(VLOOKUP(B1902,02_Referentiels!$A$5:$C$16,2,FALSE),"")</x:f>
      </x:c>
      <x:c r="J1902">
        <x:f>IF(A1902="","",IF(OR(D1902="",E1902="",F1902=""),1,IF(OR(D1902&lt;0,D1902&gt;3,E1902&lt;0,E1902&gt;3,F1902&lt;0,F1902&gt;3),1,0)))</x:f>
      </x:c>
      <x:c r="K1902">
        <x:f>IF(A1902="","",IF(G1902="",1,0))</x:f>
      </x:c>
      <x:c r="L1902">
        <x:f>IF(A1902="","",IF(COUNTIFS($A$5:$A$2004,A1902,$C$5:$C$2004,C1902)&gt;1,1,0))</x:f>
      </x:c>
    </x:row>
    <x:row r="1903">
      <x:c r="A1903" s="8" t="n"/>
      <x:c r="B1903" s="8" t="n"/>
      <x:c r="C1903" s="8" t="n"/>
      <x:c r="D1903" s="8" t="n"/>
      <x:c r="E1903" s="8" t="n"/>
      <x:c r="F1903" s="8" t="n"/>
      <x:c r="G1903" s="7">
        <x:f>IF(A1903="","",IF(01_Parametres!$B$11="Oui",IF((01_Parametres!$B$4*(D1903&gt;0)+01_Parametres!$B$5*(E1903&gt;0)+01_Parametres!$B$6*(F1903&gt;0))=0,"",(01_Parametres!$B$4*IF(D1903&gt;0,D1903,0)+01_Parametres!$B$5*IF(E1903&gt;0,E1903,0)+01_Parametres!$B$6*IF(F1903&gt;0,F1903,0))/(01_Parametres!$B$4*(D1903&gt;0)+01_Parametres!$B$5*(E1903&gt;0)+01_Parametres!$B$6*(F1903&gt;0))),IF(01_Parametres!$B$8=0,"",(01_Parametres!$B$4*D1903+01_Parametres!$B$5*E1903+01_Parametres!$B$6*F1903)/01_Parametres!$B$8)))</x:f>
      </x:c>
      <x:c r="H1903">
        <x:f>IFERROR(VLOOKUP(C1903,02_Referentiels!$A$20:$D$99,3,FALSE),"")</x:f>
      </x:c>
      <x:c r="I1903">
        <x:f>IFERROR(VLOOKUP(B1903,02_Referentiels!$A$5:$C$16,2,FALSE),"")</x:f>
      </x:c>
      <x:c r="J1903">
        <x:f>IF(A1903="","",IF(OR(D1903="",E1903="",F1903=""),1,IF(OR(D1903&lt;0,D1903&gt;3,E1903&lt;0,E1903&gt;3,F1903&lt;0,F1903&gt;3),1,0)))</x:f>
      </x:c>
      <x:c r="K1903">
        <x:f>IF(A1903="","",IF(G1903="",1,0))</x:f>
      </x:c>
      <x:c r="L1903">
        <x:f>IF(A1903="","",IF(COUNTIFS($A$5:$A$2004,A1903,$C$5:$C$2004,C1903)&gt;1,1,0))</x:f>
      </x:c>
    </x:row>
    <x:row r="1904">
      <x:c r="A1904" s="8" t="n"/>
      <x:c r="B1904" s="8" t="n"/>
      <x:c r="C1904" s="8" t="n"/>
      <x:c r="D1904" s="8" t="n"/>
      <x:c r="E1904" s="8" t="n"/>
      <x:c r="F1904" s="8" t="n"/>
      <x:c r="G1904" s="7">
        <x:f>IF(A1904="","",IF(01_Parametres!$B$11="Oui",IF((01_Parametres!$B$4*(D1904&gt;0)+01_Parametres!$B$5*(E1904&gt;0)+01_Parametres!$B$6*(F1904&gt;0))=0,"",(01_Parametres!$B$4*IF(D1904&gt;0,D1904,0)+01_Parametres!$B$5*IF(E1904&gt;0,E1904,0)+01_Parametres!$B$6*IF(F1904&gt;0,F1904,0))/(01_Parametres!$B$4*(D1904&gt;0)+01_Parametres!$B$5*(E1904&gt;0)+01_Parametres!$B$6*(F1904&gt;0))),IF(01_Parametres!$B$8=0,"",(01_Parametres!$B$4*D1904+01_Parametres!$B$5*E1904+01_Parametres!$B$6*F1904)/01_Parametres!$B$8)))</x:f>
      </x:c>
      <x:c r="H1904">
        <x:f>IFERROR(VLOOKUP(C1904,02_Referentiels!$A$20:$D$99,3,FALSE),"")</x:f>
      </x:c>
      <x:c r="I1904">
        <x:f>IFERROR(VLOOKUP(B1904,02_Referentiels!$A$5:$C$16,2,FALSE),"")</x:f>
      </x:c>
      <x:c r="J1904">
        <x:f>IF(A1904="","",IF(OR(D1904="",E1904="",F1904=""),1,IF(OR(D1904&lt;0,D1904&gt;3,E1904&lt;0,E1904&gt;3,F1904&lt;0,F1904&gt;3),1,0)))</x:f>
      </x:c>
      <x:c r="K1904">
        <x:f>IF(A1904="","",IF(G1904="",1,0))</x:f>
      </x:c>
      <x:c r="L1904">
        <x:f>IF(A1904="","",IF(COUNTIFS($A$5:$A$2004,A1904,$C$5:$C$2004,C1904)&gt;1,1,0))</x:f>
      </x:c>
    </x:row>
    <x:row r="1905">
      <x:c r="A1905" s="8" t="n"/>
      <x:c r="B1905" s="8" t="n"/>
      <x:c r="C1905" s="8" t="n"/>
      <x:c r="D1905" s="8" t="n"/>
      <x:c r="E1905" s="8" t="n"/>
      <x:c r="F1905" s="8" t="n"/>
      <x:c r="G1905" s="7">
        <x:f>IF(A1905="","",IF(01_Parametres!$B$11="Oui",IF((01_Parametres!$B$4*(D1905&gt;0)+01_Parametres!$B$5*(E1905&gt;0)+01_Parametres!$B$6*(F1905&gt;0))=0,"",(01_Parametres!$B$4*IF(D1905&gt;0,D1905,0)+01_Parametres!$B$5*IF(E1905&gt;0,E1905,0)+01_Parametres!$B$6*IF(F1905&gt;0,F1905,0))/(01_Parametres!$B$4*(D1905&gt;0)+01_Parametres!$B$5*(E1905&gt;0)+01_Parametres!$B$6*(F1905&gt;0))),IF(01_Parametres!$B$8=0,"",(01_Parametres!$B$4*D1905+01_Parametres!$B$5*E1905+01_Parametres!$B$6*F1905)/01_Parametres!$B$8)))</x:f>
      </x:c>
      <x:c r="H1905">
        <x:f>IFERROR(VLOOKUP(C1905,02_Referentiels!$A$20:$D$99,3,FALSE),"")</x:f>
      </x:c>
      <x:c r="I1905">
        <x:f>IFERROR(VLOOKUP(B1905,02_Referentiels!$A$5:$C$16,2,FALSE),"")</x:f>
      </x:c>
      <x:c r="J1905">
        <x:f>IF(A1905="","",IF(OR(D1905="",E1905="",F1905=""),1,IF(OR(D1905&lt;0,D1905&gt;3,E1905&lt;0,E1905&gt;3,F1905&lt;0,F1905&gt;3),1,0)))</x:f>
      </x:c>
      <x:c r="K1905">
        <x:f>IF(A1905="","",IF(G1905="",1,0))</x:f>
      </x:c>
      <x:c r="L1905">
        <x:f>IF(A1905="","",IF(COUNTIFS($A$5:$A$2004,A1905,$C$5:$C$2004,C1905)&gt;1,1,0))</x:f>
      </x:c>
    </x:row>
    <x:row r="1906">
      <x:c r="A1906" s="8" t="n"/>
      <x:c r="B1906" s="8" t="n"/>
      <x:c r="C1906" s="8" t="n"/>
      <x:c r="D1906" s="8" t="n"/>
      <x:c r="E1906" s="8" t="n"/>
      <x:c r="F1906" s="8" t="n"/>
      <x:c r="G1906" s="7">
        <x:f>IF(A1906="","",IF(01_Parametres!$B$11="Oui",IF((01_Parametres!$B$4*(D1906&gt;0)+01_Parametres!$B$5*(E1906&gt;0)+01_Parametres!$B$6*(F1906&gt;0))=0,"",(01_Parametres!$B$4*IF(D1906&gt;0,D1906,0)+01_Parametres!$B$5*IF(E1906&gt;0,E1906,0)+01_Parametres!$B$6*IF(F1906&gt;0,F1906,0))/(01_Parametres!$B$4*(D1906&gt;0)+01_Parametres!$B$5*(E1906&gt;0)+01_Parametres!$B$6*(F1906&gt;0))),IF(01_Parametres!$B$8=0,"",(01_Parametres!$B$4*D1906+01_Parametres!$B$5*E1906+01_Parametres!$B$6*F1906)/01_Parametres!$B$8)))</x:f>
      </x:c>
      <x:c r="H1906">
        <x:f>IFERROR(VLOOKUP(C1906,02_Referentiels!$A$20:$D$99,3,FALSE),"")</x:f>
      </x:c>
      <x:c r="I1906">
        <x:f>IFERROR(VLOOKUP(B1906,02_Referentiels!$A$5:$C$16,2,FALSE),"")</x:f>
      </x:c>
      <x:c r="J1906">
        <x:f>IF(A1906="","",IF(OR(D1906="",E1906="",F1906=""),1,IF(OR(D1906&lt;0,D1906&gt;3,E1906&lt;0,E1906&gt;3,F1906&lt;0,F1906&gt;3),1,0)))</x:f>
      </x:c>
      <x:c r="K1906">
        <x:f>IF(A1906="","",IF(G1906="",1,0))</x:f>
      </x:c>
      <x:c r="L1906">
        <x:f>IF(A1906="","",IF(COUNTIFS($A$5:$A$2004,A1906,$C$5:$C$2004,C1906)&gt;1,1,0))</x:f>
      </x:c>
    </x:row>
    <x:row r="1907">
      <x:c r="A1907" s="8" t="n"/>
      <x:c r="B1907" s="8" t="n"/>
      <x:c r="C1907" s="8" t="n"/>
      <x:c r="D1907" s="8" t="n"/>
      <x:c r="E1907" s="8" t="n"/>
      <x:c r="F1907" s="8" t="n"/>
      <x:c r="G1907" s="7">
        <x:f>IF(A1907="","",IF(01_Parametres!$B$11="Oui",IF((01_Parametres!$B$4*(D1907&gt;0)+01_Parametres!$B$5*(E1907&gt;0)+01_Parametres!$B$6*(F1907&gt;0))=0,"",(01_Parametres!$B$4*IF(D1907&gt;0,D1907,0)+01_Parametres!$B$5*IF(E1907&gt;0,E1907,0)+01_Parametres!$B$6*IF(F1907&gt;0,F1907,0))/(01_Parametres!$B$4*(D1907&gt;0)+01_Parametres!$B$5*(E1907&gt;0)+01_Parametres!$B$6*(F1907&gt;0))),IF(01_Parametres!$B$8=0,"",(01_Parametres!$B$4*D1907+01_Parametres!$B$5*E1907+01_Parametres!$B$6*F1907)/01_Parametres!$B$8)))</x:f>
      </x:c>
      <x:c r="H1907">
        <x:f>IFERROR(VLOOKUP(C1907,02_Referentiels!$A$20:$D$99,3,FALSE),"")</x:f>
      </x:c>
      <x:c r="I1907">
        <x:f>IFERROR(VLOOKUP(B1907,02_Referentiels!$A$5:$C$16,2,FALSE),"")</x:f>
      </x:c>
      <x:c r="J1907">
        <x:f>IF(A1907="","",IF(OR(D1907="",E1907="",F1907=""),1,IF(OR(D1907&lt;0,D1907&gt;3,E1907&lt;0,E1907&gt;3,F1907&lt;0,F1907&gt;3),1,0)))</x:f>
      </x:c>
      <x:c r="K1907">
        <x:f>IF(A1907="","",IF(G1907="",1,0))</x:f>
      </x:c>
      <x:c r="L1907">
        <x:f>IF(A1907="","",IF(COUNTIFS($A$5:$A$2004,A1907,$C$5:$C$2004,C1907)&gt;1,1,0))</x:f>
      </x:c>
    </x:row>
    <x:row r="1908">
      <x:c r="A1908" s="8" t="n"/>
      <x:c r="B1908" s="8" t="n"/>
      <x:c r="C1908" s="8" t="n"/>
      <x:c r="D1908" s="8" t="n"/>
      <x:c r="E1908" s="8" t="n"/>
      <x:c r="F1908" s="8" t="n"/>
      <x:c r="G1908" s="7">
        <x:f>IF(A1908="","",IF(01_Parametres!$B$11="Oui",IF((01_Parametres!$B$4*(D1908&gt;0)+01_Parametres!$B$5*(E1908&gt;0)+01_Parametres!$B$6*(F1908&gt;0))=0,"",(01_Parametres!$B$4*IF(D1908&gt;0,D1908,0)+01_Parametres!$B$5*IF(E1908&gt;0,E1908,0)+01_Parametres!$B$6*IF(F1908&gt;0,F1908,0))/(01_Parametres!$B$4*(D1908&gt;0)+01_Parametres!$B$5*(E1908&gt;0)+01_Parametres!$B$6*(F1908&gt;0))),IF(01_Parametres!$B$8=0,"",(01_Parametres!$B$4*D1908+01_Parametres!$B$5*E1908+01_Parametres!$B$6*F1908)/01_Parametres!$B$8)))</x:f>
      </x:c>
      <x:c r="H1908">
        <x:f>IFERROR(VLOOKUP(C1908,02_Referentiels!$A$20:$D$99,3,FALSE),"")</x:f>
      </x:c>
      <x:c r="I1908">
        <x:f>IFERROR(VLOOKUP(B1908,02_Referentiels!$A$5:$C$16,2,FALSE),"")</x:f>
      </x:c>
      <x:c r="J1908">
        <x:f>IF(A1908="","",IF(OR(D1908="",E1908="",F1908=""),1,IF(OR(D1908&lt;0,D1908&gt;3,E1908&lt;0,E1908&gt;3,F1908&lt;0,F1908&gt;3),1,0)))</x:f>
      </x:c>
      <x:c r="K1908">
        <x:f>IF(A1908="","",IF(G1908="",1,0))</x:f>
      </x:c>
      <x:c r="L1908">
        <x:f>IF(A1908="","",IF(COUNTIFS($A$5:$A$2004,A1908,$C$5:$C$2004,C1908)&gt;1,1,0))</x:f>
      </x:c>
    </x:row>
    <x:row r="1909">
      <x:c r="A1909" s="8" t="n"/>
      <x:c r="B1909" s="8" t="n"/>
      <x:c r="C1909" s="8" t="n"/>
      <x:c r="D1909" s="8" t="n"/>
      <x:c r="E1909" s="8" t="n"/>
      <x:c r="F1909" s="8" t="n"/>
      <x:c r="G1909" s="7">
        <x:f>IF(A1909="","",IF(01_Parametres!$B$11="Oui",IF((01_Parametres!$B$4*(D1909&gt;0)+01_Parametres!$B$5*(E1909&gt;0)+01_Parametres!$B$6*(F1909&gt;0))=0,"",(01_Parametres!$B$4*IF(D1909&gt;0,D1909,0)+01_Parametres!$B$5*IF(E1909&gt;0,E1909,0)+01_Parametres!$B$6*IF(F1909&gt;0,F1909,0))/(01_Parametres!$B$4*(D1909&gt;0)+01_Parametres!$B$5*(E1909&gt;0)+01_Parametres!$B$6*(F1909&gt;0))),IF(01_Parametres!$B$8=0,"",(01_Parametres!$B$4*D1909+01_Parametres!$B$5*E1909+01_Parametres!$B$6*F1909)/01_Parametres!$B$8)))</x:f>
      </x:c>
      <x:c r="H1909">
        <x:f>IFERROR(VLOOKUP(C1909,02_Referentiels!$A$20:$D$99,3,FALSE),"")</x:f>
      </x:c>
      <x:c r="I1909">
        <x:f>IFERROR(VLOOKUP(B1909,02_Referentiels!$A$5:$C$16,2,FALSE),"")</x:f>
      </x:c>
      <x:c r="J1909">
        <x:f>IF(A1909="","",IF(OR(D1909="",E1909="",F1909=""),1,IF(OR(D1909&lt;0,D1909&gt;3,E1909&lt;0,E1909&gt;3,F1909&lt;0,F1909&gt;3),1,0)))</x:f>
      </x:c>
      <x:c r="K1909">
        <x:f>IF(A1909="","",IF(G1909="",1,0))</x:f>
      </x:c>
      <x:c r="L1909">
        <x:f>IF(A1909="","",IF(COUNTIFS($A$5:$A$2004,A1909,$C$5:$C$2004,C1909)&gt;1,1,0))</x:f>
      </x:c>
    </x:row>
    <x:row r="1910">
      <x:c r="A1910" s="8" t="n"/>
      <x:c r="B1910" s="8" t="n"/>
      <x:c r="C1910" s="8" t="n"/>
      <x:c r="D1910" s="8" t="n"/>
      <x:c r="E1910" s="8" t="n"/>
      <x:c r="F1910" s="8" t="n"/>
      <x:c r="G1910" s="7">
        <x:f>IF(A1910="","",IF(01_Parametres!$B$11="Oui",IF((01_Parametres!$B$4*(D1910&gt;0)+01_Parametres!$B$5*(E1910&gt;0)+01_Parametres!$B$6*(F1910&gt;0))=0,"",(01_Parametres!$B$4*IF(D1910&gt;0,D1910,0)+01_Parametres!$B$5*IF(E1910&gt;0,E1910,0)+01_Parametres!$B$6*IF(F1910&gt;0,F1910,0))/(01_Parametres!$B$4*(D1910&gt;0)+01_Parametres!$B$5*(E1910&gt;0)+01_Parametres!$B$6*(F1910&gt;0))),IF(01_Parametres!$B$8=0,"",(01_Parametres!$B$4*D1910+01_Parametres!$B$5*E1910+01_Parametres!$B$6*F1910)/01_Parametres!$B$8)))</x:f>
      </x:c>
      <x:c r="H1910">
        <x:f>IFERROR(VLOOKUP(C1910,02_Referentiels!$A$20:$D$99,3,FALSE),"")</x:f>
      </x:c>
      <x:c r="I1910">
        <x:f>IFERROR(VLOOKUP(B1910,02_Referentiels!$A$5:$C$16,2,FALSE),"")</x:f>
      </x:c>
      <x:c r="J1910">
        <x:f>IF(A1910="","",IF(OR(D1910="",E1910="",F1910=""),1,IF(OR(D1910&lt;0,D1910&gt;3,E1910&lt;0,E1910&gt;3,F1910&lt;0,F1910&gt;3),1,0)))</x:f>
      </x:c>
      <x:c r="K1910">
        <x:f>IF(A1910="","",IF(G1910="",1,0))</x:f>
      </x:c>
      <x:c r="L1910">
        <x:f>IF(A1910="","",IF(COUNTIFS($A$5:$A$2004,A1910,$C$5:$C$2004,C1910)&gt;1,1,0))</x:f>
      </x:c>
    </x:row>
    <x:row r="1911">
      <x:c r="A1911" s="8" t="n"/>
      <x:c r="B1911" s="8" t="n"/>
      <x:c r="C1911" s="8" t="n"/>
      <x:c r="D1911" s="8" t="n"/>
      <x:c r="E1911" s="8" t="n"/>
      <x:c r="F1911" s="8" t="n"/>
      <x:c r="G1911" s="7">
        <x:f>IF(A1911="","",IF(01_Parametres!$B$11="Oui",IF((01_Parametres!$B$4*(D1911&gt;0)+01_Parametres!$B$5*(E1911&gt;0)+01_Parametres!$B$6*(F1911&gt;0))=0,"",(01_Parametres!$B$4*IF(D1911&gt;0,D1911,0)+01_Parametres!$B$5*IF(E1911&gt;0,E1911,0)+01_Parametres!$B$6*IF(F1911&gt;0,F1911,0))/(01_Parametres!$B$4*(D1911&gt;0)+01_Parametres!$B$5*(E1911&gt;0)+01_Parametres!$B$6*(F1911&gt;0))),IF(01_Parametres!$B$8=0,"",(01_Parametres!$B$4*D1911+01_Parametres!$B$5*E1911+01_Parametres!$B$6*F1911)/01_Parametres!$B$8)))</x:f>
      </x:c>
      <x:c r="H1911">
        <x:f>IFERROR(VLOOKUP(C1911,02_Referentiels!$A$20:$D$99,3,FALSE),"")</x:f>
      </x:c>
      <x:c r="I1911">
        <x:f>IFERROR(VLOOKUP(B1911,02_Referentiels!$A$5:$C$16,2,FALSE),"")</x:f>
      </x:c>
      <x:c r="J1911">
        <x:f>IF(A1911="","",IF(OR(D1911="",E1911="",F1911=""),1,IF(OR(D1911&lt;0,D1911&gt;3,E1911&lt;0,E1911&gt;3,F1911&lt;0,F1911&gt;3),1,0)))</x:f>
      </x:c>
      <x:c r="K1911">
        <x:f>IF(A1911="","",IF(G1911="",1,0))</x:f>
      </x:c>
      <x:c r="L1911">
        <x:f>IF(A1911="","",IF(COUNTIFS($A$5:$A$2004,A1911,$C$5:$C$2004,C1911)&gt;1,1,0))</x:f>
      </x:c>
    </x:row>
    <x:row r="1912">
      <x:c r="A1912" s="8" t="n"/>
      <x:c r="B1912" s="8" t="n"/>
      <x:c r="C1912" s="8" t="n"/>
      <x:c r="D1912" s="8" t="n"/>
      <x:c r="E1912" s="8" t="n"/>
      <x:c r="F1912" s="8" t="n"/>
      <x:c r="G1912" s="7">
        <x:f>IF(A1912="","",IF(01_Parametres!$B$11="Oui",IF((01_Parametres!$B$4*(D1912&gt;0)+01_Parametres!$B$5*(E1912&gt;0)+01_Parametres!$B$6*(F1912&gt;0))=0,"",(01_Parametres!$B$4*IF(D1912&gt;0,D1912,0)+01_Parametres!$B$5*IF(E1912&gt;0,E1912,0)+01_Parametres!$B$6*IF(F1912&gt;0,F1912,0))/(01_Parametres!$B$4*(D1912&gt;0)+01_Parametres!$B$5*(E1912&gt;0)+01_Parametres!$B$6*(F1912&gt;0))),IF(01_Parametres!$B$8=0,"",(01_Parametres!$B$4*D1912+01_Parametres!$B$5*E1912+01_Parametres!$B$6*F1912)/01_Parametres!$B$8)))</x:f>
      </x:c>
      <x:c r="H1912">
        <x:f>IFERROR(VLOOKUP(C1912,02_Referentiels!$A$20:$D$99,3,FALSE),"")</x:f>
      </x:c>
      <x:c r="I1912">
        <x:f>IFERROR(VLOOKUP(B1912,02_Referentiels!$A$5:$C$16,2,FALSE),"")</x:f>
      </x:c>
      <x:c r="J1912">
        <x:f>IF(A1912="","",IF(OR(D1912="",E1912="",F1912=""),1,IF(OR(D1912&lt;0,D1912&gt;3,E1912&lt;0,E1912&gt;3,F1912&lt;0,F1912&gt;3),1,0)))</x:f>
      </x:c>
      <x:c r="K1912">
        <x:f>IF(A1912="","",IF(G1912="",1,0))</x:f>
      </x:c>
      <x:c r="L1912">
        <x:f>IF(A1912="","",IF(COUNTIFS($A$5:$A$2004,A1912,$C$5:$C$2004,C1912)&gt;1,1,0))</x:f>
      </x:c>
    </x:row>
    <x:row r="1913">
      <x:c r="A1913" s="8" t="n"/>
      <x:c r="B1913" s="8" t="n"/>
      <x:c r="C1913" s="8" t="n"/>
      <x:c r="D1913" s="8" t="n"/>
      <x:c r="E1913" s="8" t="n"/>
      <x:c r="F1913" s="8" t="n"/>
      <x:c r="G1913" s="7">
        <x:f>IF(A1913="","",IF(01_Parametres!$B$11="Oui",IF((01_Parametres!$B$4*(D1913&gt;0)+01_Parametres!$B$5*(E1913&gt;0)+01_Parametres!$B$6*(F1913&gt;0))=0,"",(01_Parametres!$B$4*IF(D1913&gt;0,D1913,0)+01_Parametres!$B$5*IF(E1913&gt;0,E1913,0)+01_Parametres!$B$6*IF(F1913&gt;0,F1913,0))/(01_Parametres!$B$4*(D1913&gt;0)+01_Parametres!$B$5*(E1913&gt;0)+01_Parametres!$B$6*(F1913&gt;0))),IF(01_Parametres!$B$8=0,"",(01_Parametres!$B$4*D1913+01_Parametres!$B$5*E1913+01_Parametres!$B$6*F1913)/01_Parametres!$B$8)))</x:f>
      </x:c>
      <x:c r="H1913">
        <x:f>IFERROR(VLOOKUP(C1913,02_Referentiels!$A$20:$D$99,3,FALSE),"")</x:f>
      </x:c>
      <x:c r="I1913">
        <x:f>IFERROR(VLOOKUP(B1913,02_Referentiels!$A$5:$C$16,2,FALSE),"")</x:f>
      </x:c>
      <x:c r="J1913">
        <x:f>IF(A1913="","",IF(OR(D1913="",E1913="",F1913=""),1,IF(OR(D1913&lt;0,D1913&gt;3,E1913&lt;0,E1913&gt;3,F1913&lt;0,F1913&gt;3),1,0)))</x:f>
      </x:c>
      <x:c r="K1913">
        <x:f>IF(A1913="","",IF(G1913="",1,0))</x:f>
      </x:c>
      <x:c r="L1913">
        <x:f>IF(A1913="","",IF(COUNTIFS($A$5:$A$2004,A1913,$C$5:$C$2004,C1913)&gt;1,1,0))</x:f>
      </x:c>
    </x:row>
    <x:row r="1914">
      <x:c r="A1914" s="8" t="n"/>
      <x:c r="B1914" s="8" t="n"/>
      <x:c r="C1914" s="8" t="n"/>
      <x:c r="D1914" s="8" t="n"/>
      <x:c r="E1914" s="8" t="n"/>
      <x:c r="F1914" s="8" t="n"/>
      <x:c r="G1914" s="7">
        <x:f>IF(A1914="","",IF(01_Parametres!$B$11="Oui",IF((01_Parametres!$B$4*(D1914&gt;0)+01_Parametres!$B$5*(E1914&gt;0)+01_Parametres!$B$6*(F1914&gt;0))=0,"",(01_Parametres!$B$4*IF(D1914&gt;0,D1914,0)+01_Parametres!$B$5*IF(E1914&gt;0,E1914,0)+01_Parametres!$B$6*IF(F1914&gt;0,F1914,0))/(01_Parametres!$B$4*(D1914&gt;0)+01_Parametres!$B$5*(E1914&gt;0)+01_Parametres!$B$6*(F1914&gt;0))),IF(01_Parametres!$B$8=0,"",(01_Parametres!$B$4*D1914+01_Parametres!$B$5*E1914+01_Parametres!$B$6*F1914)/01_Parametres!$B$8)))</x:f>
      </x:c>
      <x:c r="H1914">
        <x:f>IFERROR(VLOOKUP(C1914,02_Referentiels!$A$20:$D$99,3,FALSE),"")</x:f>
      </x:c>
      <x:c r="I1914">
        <x:f>IFERROR(VLOOKUP(B1914,02_Referentiels!$A$5:$C$16,2,FALSE),"")</x:f>
      </x:c>
      <x:c r="J1914">
        <x:f>IF(A1914="","",IF(OR(D1914="",E1914="",F1914=""),1,IF(OR(D1914&lt;0,D1914&gt;3,E1914&lt;0,E1914&gt;3,F1914&lt;0,F1914&gt;3),1,0)))</x:f>
      </x:c>
      <x:c r="K1914">
        <x:f>IF(A1914="","",IF(G1914="",1,0))</x:f>
      </x:c>
      <x:c r="L1914">
        <x:f>IF(A1914="","",IF(COUNTIFS($A$5:$A$2004,A1914,$C$5:$C$2004,C1914)&gt;1,1,0))</x:f>
      </x:c>
    </x:row>
    <x:row r="1915">
      <x:c r="A1915" s="8" t="n"/>
      <x:c r="B1915" s="8" t="n"/>
      <x:c r="C1915" s="8" t="n"/>
      <x:c r="D1915" s="8" t="n"/>
      <x:c r="E1915" s="8" t="n"/>
      <x:c r="F1915" s="8" t="n"/>
      <x:c r="G1915" s="7">
        <x:f>IF(A1915="","",IF(01_Parametres!$B$11="Oui",IF((01_Parametres!$B$4*(D1915&gt;0)+01_Parametres!$B$5*(E1915&gt;0)+01_Parametres!$B$6*(F1915&gt;0))=0,"",(01_Parametres!$B$4*IF(D1915&gt;0,D1915,0)+01_Parametres!$B$5*IF(E1915&gt;0,E1915,0)+01_Parametres!$B$6*IF(F1915&gt;0,F1915,0))/(01_Parametres!$B$4*(D1915&gt;0)+01_Parametres!$B$5*(E1915&gt;0)+01_Parametres!$B$6*(F1915&gt;0))),IF(01_Parametres!$B$8=0,"",(01_Parametres!$B$4*D1915+01_Parametres!$B$5*E1915+01_Parametres!$B$6*F1915)/01_Parametres!$B$8)))</x:f>
      </x:c>
      <x:c r="H1915">
        <x:f>IFERROR(VLOOKUP(C1915,02_Referentiels!$A$20:$D$99,3,FALSE),"")</x:f>
      </x:c>
      <x:c r="I1915">
        <x:f>IFERROR(VLOOKUP(B1915,02_Referentiels!$A$5:$C$16,2,FALSE),"")</x:f>
      </x:c>
      <x:c r="J1915">
        <x:f>IF(A1915="","",IF(OR(D1915="",E1915="",F1915=""),1,IF(OR(D1915&lt;0,D1915&gt;3,E1915&lt;0,E1915&gt;3,F1915&lt;0,F1915&gt;3),1,0)))</x:f>
      </x:c>
      <x:c r="K1915">
        <x:f>IF(A1915="","",IF(G1915="",1,0))</x:f>
      </x:c>
      <x:c r="L1915">
        <x:f>IF(A1915="","",IF(COUNTIFS($A$5:$A$2004,A1915,$C$5:$C$2004,C1915)&gt;1,1,0))</x:f>
      </x:c>
    </x:row>
    <x:row r="1916">
      <x:c r="A1916" s="8" t="n"/>
      <x:c r="B1916" s="8" t="n"/>
      <x:c r="C1916" s="8" t="n"/>
      <x:c r="D1916" s="8" t="n"/>
      <x:c r="E1916" s="8" t="n"/>
      <x:c r="F1916" s="8" t="n"/>
      <x:c r="G1916" s="7">
        <x:f>IF(A1916="","",IF(01_Parametres!$B$11="Oui",IF((01_Parametres!$B$4*(D1916&gt;0)+01_Parametres!$B$5*(E1916&gt;0)+01_Parametres!$B$6*(F1916&gt;0))=0,"",(01_Parametres!$B$4*IF(D1916&gt;0,D1916,0)+01_Parametres!$B$5*IF(E1916&gt;0,E1916,0)+01_Parametres!$B$6*IF(F1916&gt;0,F1916,0))/(01_Parametres!$B$4*(D1916&gt;0)+01_Parametres!$B$5*(E1916&gt;0)+01_Parametres!$B$6*(F1916&gt;0))),IF(01_Parametres!$B$8=0,"",(01_Parametres!$B$4*D1916+01_Parametres!$B$5*E1916+01_Parametres!$B$6*F1916)/01_Parametres!$B$8)))</x:f>
      </x:c>
      <x:c r="H1916">
        <x:f>IFERROR(VLOOKUP(C1916,02_Referentiels!$A$20:$D$99,3,FALSE),"")</x:f>
      </x:c>
      <x:c r="I1916">
        <x:f>IFERROR(VLOOKUP(B1916,02_Referentiels!$A$5:$C$16,2,FALSE),"")</x:f>
      </x:c>
      <x:c r="J1916">
        <x:f>IF(A1916="","",IF(OR(D1916="",E1916="",F1916=""),1,IF(OR(D1916&lt;0,D1916&gt;3,E1916&lt;0,E1916&gt;3,F1916&lt;0,F1916&gt;3),1,0)))</x:f>
      </x:c>
      <x:c r="K1916">
        <x:f>IF(A1916="","",IF(G1916="",1,0))</x:f>
      </x:c>
      <x:c r="L1916">
        <x:f>IF(A1916="","",IF(COUNTIFS($A$5:$A$2004,A1916,$C$5:$C$2004,C1916)&gt;1,1,0))</x:f>
      </x:c>
    </x:row>
    <x:row r="1917">
      <x:c r="A1917" s="8" t="n"/>
      <x:c r="B1917" s="8" t="n"/>
      <x:c r="C1917" s="8" t="n"/>
      <x:c r="D1917" s="8" t="n"/>
      <x:c r="E1917" s="8" t="n"/>
      <x:c r="F1917" s="8" t="n"/>
      <x:c r="G1917" s="7">
        <x:f>IF(A1917="","",IF(01_Parametres!$B$11="Oui",IF((01_Parametres!$B$4*(D1917&gt;0)+01_Parametres!$B$5*(E1917&gt;0)+01_Parametres!$B$6*(F1917&gt;0))=0,"",(01_Parametres!$B$4*IF(D1917&gt;0,D1917,0)+01_Parametres!$B$5*IF(E1917&gt;0,E1917,0)+01_Parametres!$B$6*IF(F1917&gt;0,F1917,0))/(01_Parametres!$B$4*(D1917&gt;0)+01_Parametres!$B$5*(E1917&gt;0)+01_Parametres!$B$6*(F1917&gt;0))),IF(01_Parametres!$B$8=0,"",(01_Parametres!$B$4*D1917+01_Parametres!$B$5*E1917+01_Parametres!$B$6*F1917)/01_Parametres!$B$8)))</x:f>
      </x:c>
      <x:c r="H1917">
        <x:f>IFERROR(VLOOKUP(C1917,02_Referentiels!$A$20:$D$99,3,FALSE),"")</x:f>
      </x:c>
      <x:c r="I1917">
        <x:f>IFERROR(VLOOKUP(B1917,02_Referentiels!$A$5:$C$16,2,FALSE),"")</x:f>
      </x:c>
      <x:c r="J1917">
        <x:f>IF(A1917="","",IF(OR(D1917="",E1917="",F1917=""),1,IF(OR(D1917&lt;0,D1917&gt;3,E1917&lt;0,E1917&gt;3,F1917&lt;0,F1917&gt;3),1,0)))</x:f>
      </x:c>
      <x:c r="K1917">
        <x:f>IF(A1917="","",IF(G1917="",1,0))</x:f>
      </x:c>
      <x:c r="L1917">
        <x:f>IF(A1917="","",IF(COUNTIFS($A$5:$A$2004,A1917,$C$5:$C$2004,C1917)&gt;1,1,0))</x:f>
      </x:c>
    </x:row>
    <x:row r="1918">
      <x:c r="A1918" s="8" t="n"/>
      <x:c r="B1918" s="8" t="n"/>
      <x:c r="C1918" s="8" t="n"/>
      <x:c r="D1918" s="8" t="n"/>
      <x:c r="E1918" s="8" t="n"/>
      <x:c r="F1918" s="8" t="n"/>
      <x:c r="G1918" s="7">
        <x:f>IF(A1918="","",IF(01_Parametres!$B$11="Oui",IF((01_Parametres!$B$4*(D1918&gt;0)+01_Parametres!$B$5*(E1918&gt;0)+01_Parametres!$B$6*(F1918&gt;0))=0,"",(01_Parametres!$B$4*IF(D1918&gt;0,D1918,0)+01_Parametres!$B$5*IF(E1918&gt;0,E1918,0)+01_Parametres!$B$6*IF(F1918&gt;0,F1918,0))/(01_Parametres!$B$4*(D1918&gt;0)+01_Parametres!$B$5*(E1918&gt;0)+01_Parametres!$B$6*(F1918&gt;0))),IF(01_Parametres!$B$8=0,"",(01_Parametres!$B$4*D1918+01_Parametres!$B$5*E1918+01_Parametres!$B$6*F1918)/01_Parametres!$B$8)))</x:f>
      </x:c>
      <x:c r="H1918">
        <x:f>IFERROR(VLOOKUP(C1918,02_Referentiels!$A$20:$D$99,3,FALSE),"")</x:f>
      </x:c>
      <x:c r="I1918">
        <x:f>IFERROR(VLOOKUP(B1918,02_Referentiels!$A$5:$C$16,2,FALSE),"")</x:f>
      </x:c>
      <x:c r="J1918">
        <x:f>IF(A1918="","",IF(OR(D1918="",E1918="",F1918=""),1,IF(OR(D1918&lt;0,D1918&gt;3,E1918&lt;0,E1918&gt;3,F1918&lt;0,F1918&gt;3),1,0)))</x:f>
      </x:c>
      <x:c r="K1918">
        <x:f>IF(A1918="","",IF(G1918="",1,0))</x:f>
      </x:c>
      <x:c r="L1918">
        <x:f>IF(A1918="","",IF(COUNTIFS($A$5:$A$2004,A1918,$C$5:$C$2004,C1918)&gt;1,1,0))</x:f>
      </x:c>
    </x:row>
    <x:row r="1919">
      <x:c r="A1919" s="8" t="n"/>
      <x:c r="B1919" s="8" t="n"/>
      <x:c r="C1919" s="8" t="n"/>
      <x:c r="D1919" s="8" t="n"/>
      <x:c r="E1919" s="8" t="n"/>
      <x:c r="F1919" s="8" t="n"/>
      <x:c r="G1919" s="7">
        <x:f>IF(A1919="","",IF(01_Parametres!$B$11="Oui",IF((01_Parametres!$B$4*(D1919&gt;0)+01_Parametres!$B$5*(E1919&gt;0)+01_Parametres!$B$6*(F1919&gt;0))=0,"",(01_Parametres!$B$4*IF(D1919&gt;0,D1919,0)+01_Parametres!$B$5*IF(E1919&gt;0,E1919,0)+01_Parametres!$B$6*IF(F1919&gt;0,F1919,0))/(01_Parametres!$B$4*(D1919&gt;0)+01_Parametres!$B$5*(E1919&gt;0)+01_Parametres!$B$6*(F1919&gt;0))),IF(01_Parametres!$B$8=0,"",(01_Parametres!$B$4*D1919+01_Parametres!$B$5*E1919+01_Parametres!$B$6*F1919)/01_Parametres!$B$8)))</x:f>
      </x:c>
      <x:c r="H1919">
        <x:f>IFERROR(VLOOKUP(C1919,02_Referentiels!$A$20:$D$99,3,FALSE),"")</x:f>
      </x:c>
      <x:c r="I1919">
        <x:f>IFERROR(VLOOKUP(B1919,02_Referentiels!$A$5:$C$16,2,FALSE),"")</x:f>
      </x:c>
      <x:c r="J1919">
        <x:f>IF(A1919="","",IF(OR(D1919="",E1919="",F1919=""),1,IF(OR(D1919&lt;0,D1919&gt;3,E1919&lt;0,E1919&gt;3,F1919&lt;0,F1919&gt;3),1,0)))</x:f>
      </x:c>
      <x:c r="K1919">
        <x:f>IF(A1919="","",IF(G1919="",1,0))</x:f>
      </x:c>
      <x:c r="L1919">
        <x:f>IF(A1919="","",IF(COUNTIFS($A$5:$A$2004,A1919,$C$5:$C$2004,C1919)&gt;1,1,0))</x:f>
      </x:c>
    </x:row>
    <x:row r="1920">
      <x:c r="A1920" s="8" t="n"/>
      <x:c r="B1920" s="8" t="n"/>
      <x:c r="C1920" s="8" t="n"/>
      <x:c r="D1920" s="8" t="n"/>
      <x:c r="E1920" s="8" t="n"/>
      <x:c r="F1920" s="8" t="n"/>
      <x:c r="G1920" s="7">
        <x:f>IF(A1920="","",IF(01_Parametres!$B$11="Oui",IF((01_Parametres!$B$4*(D1920&gt;0)+01_Parametres!$B$5*(E1920&gt;0)+01_Parametres!$B$6*(F1920&gt;0))=0,"",(01_Parametres!$B$4*IF(D1920&gt;0,D1920,0)+01_Parametres!$B$5*IF(E1920&gt;0,E1920,0)+01_Parametres!$B$6*IF(F1920&gt;0,F1920,0))/(01_Parametres!$B$4*(D1920&gt;0)+01_Parametres!$B$5*(E1920&gt;0)+01_Parametres!$B$6*(F1920&gt;0))),IF(01_Parametres!$B$8=0,"",(01_Parametres!$B$4*D1920+01_Parametres!$B$5*E1920+01_Parametres!$B$6*F1920)/01_Parametres!$B$8)))</x:f>
      </x:c>
      <x:c r="H1920">
        <x:f>IFERROR(VLOOKUP(C1920,02_Referentiels!$A$20:$D$99,3,FALSE),"")</x:f>
      </x:c>
      <x:c r="I1920">
        <x:f>IFERROR(VLOOKUP(B1920,02_Referentiels!$A$5:$C$16,2,FALSE),"")</x:f>
      </x:c>
      <x:c r="J1920">
        <x:f>IF(A1920="","",IF(OR(D1920="",E1920="",F1920=""),1,IF(OR(D1920&lt;0,D1920&gt;3,E1920&lt;0,E1920&gt;3,F1920&lt;0,F1920&gt;3),1,0)))</x:f>
      </x:c>
      <x:c r="K1920">
        <x:f>IF(A1920="","",IF(G1920="",1,0))</x:f>
      </x:c>
      <x:c r="L1920">
        <x:f>IF(A1920="","",IF(COUNTIFS($A$5:$A$2004,A1920,$C$5:$C$2004,C1920)&gt;1,1,0))</x:f>
      </x:c>
    </x:row>
    <x:row r="1921">
      <x:c r="A1921" s="8" t="n"/>
      <x:c r="B1921" s="8" t="n"/>
      <x:c r="C1921" s="8" t="n"/>
      <x:c r="D1921" s="8" t="n"/>
      <x:c r="E1921" s="8" t="n"/>
      <x:c r="F1921" s="8" t="n"/>
      <x:c r="G1921" s="7">
        <x:f>IF(A1921="","",IF(01_Parametres!$B$11="Oui",IF((01_Parametres!$B$4*(D1921&gt;0)+01_Parametres!$B$5*(E1921&gt;0)+01_Parametres!$B$6*(F1921&gt;0))=0,"",(01_Parametres!$B$4*IF(D1921&gt;0,D1921,0)+01_Parametres!$B$5*IF(E1921&gt;0,E1921,0)+01_Parametres!$B$6*IF(F1921&gt;0,F1921,0))/(01_Parametres!$B$4*(D1921&gt;0)+01_Parametres!$B$5*(E1921&gt;0)+01_Parametres!$B$6*(F1921&gt;0))),IF(01_Parametres!$B$8=0,"",(01_Parametres!$B$4*D1921+01_Parametres!$B$5*E1921+01_Parametres!$B$6*F1921)/01_Parametres!$B$8)))</x:f>
      </x:c>
      <x:c r="H1921">
        <x:f>IFERROR(VLOOKUP(C1921,02_Referentiels!$A$20:$D$99,3,FALSE),"")</x:f>
      </x:c>
      <x:c r="I1921">
        <x:f>IFERROR(VLOOKUP(B1921,02_Referentiels!$A$5:$C$16,2,FALSE),"")</x:f>
      </x:c>
      <x:c r="J1921">
        <x:f>IF(A1921="","",IF(OR(D1921="",E1921="",F1921=""),1,IF(OR(D1921&lt;0,D1921&gt;3,E1921&lt;0,E1921&gt;3,F1921&lt;0,F1921&gt;3),1,0)))</x:f>
      </x:c>
      <x:c r="K1921">
        <x:f>IF(A1921="","",IF(G1921="",1,0))</x:f>
      </x:c>
      <x:c r="L1921">
        <x:f>IF(A1921="","",IF(COUNTIFS($A$5:$A$2004,A1921,$C$5:$C$2004,C1921)&gt;1,1,0))</x:f>
      </x:c>
    </x:row>
    <x:row r="1922">
      <x:c r="A1922" s="8" t="n"/>
      <x:c r="B1922" s="8" t="n"/>
      <x:c r="C1922" s="8" t="n"/>
      <x:c r="D1922" s="8" t="n"/>
      <x:c r="E1922" s="8" t="n"/>
      <x:c r="F1922" s="8" t="n"/>
      <x:c r="G1922" s="7">
        <x:f>IF(A1922="","",IF(01_Parametres!$B$11="Oui",IF((01_Parametres!$B$4*(D1922&gt;0)+01_Parametres!$B$5*(E1922&gt;0)+01_Parametres!$B$6*(F1922&gt;0))=0,"",(01_Parametres!$B$4*IF(D1922&gt;0,D1922,0)+01_Parametres!$B$5*IF(E1922&gt;0,E1922,0)+01_Parametres!$B$6*IF(F1922&gt;0,F1922,0))/(01_Parametres!$B$4*(D1922&gt;0)+01_Parametres!$B$5*(E1922&gt;0)+01_Parametres!$B$6*(F1922&gt;0))),IF(01_Parametres!$B$8=0,"",(01_Parametres!$B$4*D1922+01_Parametres!$B$5*E1922+01_Parametres!$B$6*F1922)/01_Parametres!$B$8)))</x:f>
      </x:c>
      <x:c r="H1922">
        <x:f>IFERROR(VLOOKUP(C1922,02_Referentiels!$A$20:$D$99,3,FALSE),"")</x:f>
      </x:c>
      <x:c r="I1922">
        <x:f>IFERROR(VLOOKUP(B1922,02_Referentiels!$A$5:$C$16,2,FALSE),"")</x:f>
      </x:c>
      <x:c r="J1922">
        <x:f>IF(A1922="","",IF(OR(D1922="",E1922="",F1922=""),1,IF(OR(D1922&lt;0,D1922&gt;3,E1922&lt;0,E1922&gt;3,F1922&lt;0,F1922&gt;3),1,0)))</x:f>
      </x:c>
      <x:c r="K1922">
        <x:f>IF(A1922="","",IF(G1922="",1,0))</x:f>
      </x:c>
      <x:c r="L1922">
        <x:f>IF(A1922="","",IF(COUNTIFS($A$5:$A$2004,A1922,$C$5:$C$2004,C1922)&gt;1,1,0))</x:f>
      </x:c>
    </x:row>
    <x:row r="1923">
      <x:c r="A1923" s="8" t="n"/>
      <x:c r="B1923" s="8" t="n"/>
      <x:c r="C1923" s="8" t="n"/>
      <x:c r="D1923" s="8" t="n"/>
      <x:c r="E1923" s="8" t="n"/>
      <x:c r="F1923" s="8" t="n"/>
      <x:c r="G1923" s="7">
        <x:f>IF(A1923="","",IF(01_Parametres!$B$11="Oui",IF((01_Parametres!$B$4*(D1923&gt;0)+01_Parametres!$B$5*(E1923&gt;0)+01_Parametres!$B$6*(F1923&gt;0))=0,"",(01_Parametres!$B$4*IF(D1923&gt;0,D1923,0)+01_Parametres!$B$5*IF(E1923&gt;0,E1923,0)+01_Parametres!$B$6*IF(F1923&gt;0,F1923,0))/(01_Parametres!$B$4*(D1923&gt;0)+01_Parametres!$B$5*(E1923&gt;0)+01_Parametres!$B$6*(F1923&gt;0))),IF(01_Parametres!$B$8=0,"",(01_Parametres!$B$4*D1923+01_Parametres!$B$5*E1923+01_Parametres!$B$6*F1923)/01_Parametres!$B$8)))</x:f>
      </x:c>
      <x:c r="H1923">
        <x:f>IFERROR(VLOOKUP(C1923,02_Referentiels!$A$20:$D$99,3,FALSE),"")</x:f>
      </x:c>
      <x:c r="I1923">
        <x:f>IFERROR(VLOOKUP(B1923,02_Referentiels!$A$5:$C$16,2,FALSE),"")</x:f>
      </x:c>
      <x:c r="J1923">
        <x:f>IF(A1923="","",IF(OR(D1923="",E1923="",F1923=""),1,IF(OR(D1923&lt;0,D1923&gt;3,E1923&lt;0,E1923&gt;3,F1923&lt;0,F1923&gt;3),1,0)))</x:f>
      </x:c>
      <x:c r="K1923">
        <x:f>IF(A1923="","",IF(G1923="",1,0))</x:f>
      </x:c>
      <x:c r="L1923">
        <x:f>IF(A1923="","",IF(COUNTIFS($A$5:$A$2004,A1923,$C$5:$C$2004,C1923)&gt;1,1,0))</x:f>
      </x:c>
    </x:row>
    <x:row r="1924">
      <x:c r="A1924" s="8" t="n"/>
      <x:c r="B1924" s="8" t="n"/>
      <x:c r="C1924" s="8" t="n"/>
      <x:c r="D1924" s="8" t="n"/>
      <x:c r="E1924" s="8" t="n"/>
      <x:c r="F1924" s="8" t="n"/>
      <x:c r="G1924" s="7">
        <x:f>IF(A1924="","",IF(01_Parametres!$B$11="Oui",IF((01_Parametres!$B$4*(D1924&gt;0)+01_Parametres!$B$5*(E1924&gt;0)+01_Parametres!$B$6*(F1924&gt;0))=0,"",(01_Parametres!$B$4*IF(D1924&gt;0,D1924,0)+01_Parametres!$B$5*IF(E1924&gt;0,E1924,0)+01_Parametres!$B$6*IF(F1924&gt;0,F1924,0))/(01_Parametres!$B$4*(D1924&gt;0)+01_Parametres!$B$5*(E1924&gt;0)+01_Parametres!$B$6*(F1924&gt;0))),IF(01_Parametres!$B$8=0,"",(01_Parametres!$B$4*D1924+01_Parametres!$B$5*E1924+01_Parametres!$B$6*F1924)/01_Parametres!$B$8)))</x:f>
      </x:c>
      <x:c r="H1924">
        <x:f>IFERROR(VLOOKUP(C1924,02_Referentiels!$A$20:$D$99,3,FALSE),"")</x:f>
      </x:c>
      <x:c r="I1924">
        <x:f>IFERROR(VLOOKUP(B1924,02_Referentiels!$A$5:$C$16,2,FALSE),"")</x:f>
      </x:c>
      <x:c r="J1924">
        <x:f>IF(A1924="","",IF(OR(D1924="",E1924="",F1924=""),1,IF(OR(D1924&lt;0,D1924&gt;3,E1924&lt;0,E1924&gt;3,F1924&lt;0,F1924&gt;3),1,0)))</x:f>
      </x:c>
      <x:c r="K1924">
        <x:f>IF(A1924="","",IF(G1924="",1,0))</x:f>
      </x:c>
      <x:c r="L1924">
        <x:f>IF(A1924="","",IF(COUNTIFS($A$5:$A$2004,A1924,$C$5:$C$2004,C1924)&gt;1,1,0))</x:f>
      </x:c>
    </x:row>
    <x:row r="1925">
      <x:c r="A1925" s="8" t="n"/>
      <x:c r="B1925" s="8" t="n"/>
      <x:c r="C1925" s="8" t="n"/>
      <x:c r="D1925" s="8" t="n"/>
      <x:c r="E1925" s="8" t="n"/>
      <x:c r="F1925" s="8" t="n"/>
      <x:c r="G1925" s="7">
        <x:f>IF(A1925="","",IF(01_Parametres!$B$11="Oui",IF((01_Parametres!$B$4*(D1925&gt;0)+01_Parametres!$B$5*(E1925&gt;0)+01_Parametres!$B$6*(F1925&gt;0))=0,"",(01_Parametres!$B$4*IF(D1925&gt;0,D1925,0)+01_Parametres!$B$5*IF(E1925&gt;0,E1925,0)+01_Parametres!$B$6*IF(F1925&gt;0,F1925,0))/(01_Parametres!$B$4*(D1925&gt;0)+01_Parametres!$B$5*(E1925&gt;0)+01_Parametres!$B$6*(F1925&gt;0))),IF(01_Parametres!$B$8=0,"",(01_Parametres!$B$4*D1925+01_Parametres!$B$5*E1925+01_Parametres!$B$6*F1925)/01_Parametres!$B$8)))</x:f>
      </x:c>
      <x:c r="H1925">
        <x:f>IFERROR(VLOOKUP(C1925,02_Referentiels!$A$20:$D$99,3,FALSE),"")</x:f>
      </x:c>
      <x:c r="I1925">
        <x:f>IFERROR(VLOOKUP(B1925,02_Referentiels!$A$5:$C$16,2,FALSE),"")</x:f>
      </x:c>
      <x:c r="J1925">
        <x:f>IF(A1925="","",IF(OR(D1925="",E1925="",F1925=""),1,IF(OR(D1925&lt;0,D1925&gt;3,E1925&lt;0,E1925&gt;3,F1925&lt;0,F1925&gt;3),1,0)))</x:f>
      </x:c>
      <x:c r="K1925">
        <x:f>IF(A1925="","",IF(G1925="",1,0))</x:f>
      </x:c>
      <x:c r="L1925">
        <x:f>IF(A1925="","",IF(COUNTIFS($A$5:$A$2004,A1925,$C$5:$C$2004,C1925)&gt;1,1,0))</x:f>
      </x:c>
    </x:row>
    <x:row r="1926">
      <x:c r="A1926" s="8" t="n"/>
      <x:c r="B1926" s="8" t="n"/>
      <x:c r="C1926" s="8" t="n"/>
      <x:c r="D1926" s="8" t="n"/>
      <x:c r="E1926" s="8" t="n"/>
      <x:c r="F1926" s="8" t="n"/>
      <x:c r="G1926" s="7">
        <x:f>IF(A1926="","",IF(01_Parametres!$B$11="Oui",IF((01_Parametres!$B$4*(D1926&gt;0)+01_Parametres!$B$5*(E1926&gt;0)+01_Parametres!$B$6*(F1926&gt;0))=0,"",(01_Parametres!$B$4*IF(D1926&gt;0,D1926,0)+01_Parametres!$B$5*IF(E1926&gt;0,E1926,0)+01_Parametres!$B$6*IF(F1926&gt;0,F1926,0))/(01_Parametres!$B$4*(D1926&gt;0)+01_Parametres!$B$5*(E1926&gt;0)+01_Parametres!$B$6*(F1926&gt;0))),IF(01_Parametres!$B$8=0,"",(01_Parametres!$B$4*D1926+01_Parametres!$B$5*E1926+01_Parametres!$B$6*F1926)/01_Parametres!$B$8)))</x:f>
      </x:c>
      <x:c r="H1926">
        <x:f>IFERROR(VLOOKUP(C1926,02_Referentiels!$A$20:$D$99,3,FALSE),"")</x:f>
      </x:c>
      <x:c r="I1926">
        <x:f>IFERROR(VLOOKUP(B1926,02_Referentiels!$A$5:$C$16,2,FALSE),"")</x:f>
      </x:c>
      <x:c r="J1926">
        <x:f>IF(A1926="","",IF(OR(D1926="",E1926="",F1926=""),1,IF(OR(D1926&lt;0,D1926&gt;3,E1926&lt;0,E1926&gt;3,F1926&lt;0,F1926&gt;3),1,0)))</x:f>
      </x:c>
      <x:c r="K1926">
        <x:f>IF(A1926="","",IF(G1926="",1,0))</x:f>
      </x:c>
      <x:c r="L1926">
        <x:f>IF(A1926="","",IF(COUNTIFS($A$5:$A$2004,A1926,$C$5:$C$2004,C1926)&gt;1,1,0))</x:f>
      </x:c>
    </x:row>
    <x:row r="1927">
      <x:c r="A1927" s="8" t="n"/>
      <x:c r="B1927" s="8" t="n"/>
      <x:c r="C1927" s="8" t="n"/>
      <x:c r="D1927" s="8" t="n"/>
      <x:c r="E1927" s="8" t="n"/>
      <x:c r="F1927" s="8" t="n"/>
      <x:c r="G1927" s="7">
        <x:f>IF(A1927="","",IF(01_Parametres!$B$11="Oui",IF((01_Parametres!$B$4*(D1927&gt;0)+01_Parametres!$B$5*(E1927&gt;0)+01_Parametres!$B$6*(F1927&gt;0))=0,"",(01_Parametres!$B$4*IF(D1927&gt;0,D1927,0)+01_Parametres!$B$5*IF(E1927&gt;0,E1927,0)+01_Parametres!$B$6*IF(F1927&gt;0,F1927,0))/(01_Parametres!$B$4*(D1927&gt;0)+01_Parametres!$B$5*(E1927&gt;0)+01_Parametres!$B$6*(F1927&gt;0))),IF(01_Parametres!$B$8=0,"",(01_Parametres!$B$4*D1927+01_Parametres!$B$5*E1927+01_Parametres!$B$6*F1927)/01_Parametres!$B$8)))</x:f>
      </x:c>
      <x:c r="H1927">
        <x:f>IFERROR(VLOOKUP(C1927,02_Referentiels!$A$20:$D$99,3,FALSE),"")</x:f>
      </x:c>
      <x:c r="I1927">
        <x:f>IFERROR(VLOOKUP(B1927,02_Referentiels!$A$5:$C$16,2,FALSE),"")</x:f>
      </x:c>
      <x:c r="J1927">
        <x:f>IF(A1927="","",IF(OR(D1927="",E1927="",F1927=""),1,IF(OR(D1927&lt;0,D1927&gt;3,E1927&lt;0,E1927&gt;3,F1927&lt;0,F1927&gt;3),1,0)))</x:f>
      </x:c>
      <x:c r="K1927">
        <x:f>IF(A1927="","",IF(G1927="",1,0))</x:f>
      </x:c>
      <x:c r="L1927">
        <x:f>IF(A1927="","",IF(COUNTIFS($A$5:$A$2004,A1927,$C$5:$C$2004,C1927)&gt;1,1,0))</x:f>
      </x:c>
    </x:row>
    <x:row r="1928">
      <x:c r="A1928" s="8" t="n"/>
      <x:c r="B1928" s="8" t="n"/>
      <x:c r="C1928" s="8" t="n"/>
      <x:c r="D1928" s="8" t="n"/>
      <x:c r="E1928" s="8" t="n"/>
      <x:c r="F1928" s="8" t="n"/>
      <x:c r="G1928" s="7">
        <x:f>IF(A1928="","",IF(01_Parametres!$B$11="Oui",IF((01_Parametres!$B$4*(D1928&gt;0)+01_Parametres!$B$5*(E1928&gt;0)+01_Parametres!$B$6*(F1928&gt;0))=0,"",(01_Parametres!$B$4*IF(D1928&gt;0,D1928,0)+01_Parametres!$B$5*IF(E1928&gt;0,E1928,0)+01_Parametres!$B$6*IF(F1928&gt;0,F1928,0))/(01_Parametres!$B$4*(D1928&gt;0)+01_Parametres!$B$5*(E1928&gt;0)+01_Parametres!$B$6*(F1928&gt;0))),IF(01_Parametres!$B$8=0,"",(01_Parametres!$B$4*D1928+01_Parametres!$B$5*E1928+01_Parametres!$B$6*F1928)/01_Parametres!$B$8)))</x:f>
      </x:c>
      <x:c r="H1928">
        <x:f>IFERROR(VLOOKUP(C1928,02_Referentiels!$A$20:$D$99,3,FALSE),"")</x:f>
      </x:c>
      <x:c r="I1928">
        <x:f>IFERROR(VLOOKUP(B1928,02_Referentiels!$A$5:$C$16,2,FALSE),"")</x:f>
      </x:c>
      <x:c r="J1928">
        <x:f>IF(A1928="","",IF(OR(D1928="",E1928="",F1928=""),1,IF(OR(D1928&lt;0,D1928&gt;3,E1928&lt;0,E1928&gt;3,F1928&lt;0,F1928&gt;3),1,0)))</x:f>
      </x:c>
      <x:c r="K1928">
        <x:f>IF(A1928="","",IF(G1928="",1,0))</x:f>
      </x:c>
      <x:c r="L1928">
        <x:f>IF(A1928="","",IF(COUNTIFS($A$5:$A$2004,A1928,$C$5:$C$2004,C1928)&gt;1,1,0))</x:f>
      </x:c>
    </x:row>
    <x:row r="1929">
      <x:c r="A1929" s="8" t="n"/>
      <x:c r="B1929" s="8" t="n"/>
      <x:c r="C1929" s="8" t="n"/>
      <x:c r="D1929" s="8" t="n"/>
      <x:c r="E1929" s="8" t="n"/>
      <x:c r="F1929" s="8" t="n"/>
      <x:c r="G1929" s="7">
        <x:f>IF(A1929="","",IF(01_Parametres!$B$11="Oui",IF((01_Parametres!$B$4*(D1929&gt;0)+01_Parametres!$B$5*(E1929&gt;0)+01_Parametres!$B$6*(F1929&gt;0))=0,"",(01_Parametres!$B$4*IF(D1929&gt;0,D1929,0)+01_Parametres!$B$5*IF(E1929&gt;0,E1929,0)+01_Parametres!$B$6*IF(F1929&gt;0,F1929,0))/(01_Parametres!$B$4*(D1929&gt;0)+01_Parametres!$B$5*(E1929&gt;0)+01_Parametres!$B$6*(F1929&gt;0))),IF(01_Parametres!$B$8=0,"",(01_Parametres!$B$4*D1929+01_Parametres!$B$5*E1929+01_Parametres!$B$6*F1929)/01_Parametres!$B$8)))</x:f>
      </x:c>
      <x:c r="H1929">
        <x:f>IFERROR(VLOOKUP(C1929,02_Referentiels!$A$20:$D$99,3,FALSE),"")</x:f>
      </x:c>
      <x:c r="I1929">
        <x:f>IFERROR(VLOOKUP(B1929,02_Referentiels!$A$5:$C$16,2,FALSE),"")</x:f>
      </x:c>
      <x:c r="J1929">
        <x:f>IF(A1929="","",IF(OR(D1929="",E1929="",F1929=""),1,IF(OR(D1929&lt;0,D1929&gt;3,E1929&lt;0,E1929&gt;3,F1929&lt;0,F1929&gt;3),1,0)))</x:f>
      </x:c>
      <x:c r="K1929">
        <x:f>IF(A1929="","",IF(G1929="",1,0))</x:f>
      </x:c>
      <x:c r="L1929">
        <x:f>IF(A1929="","",IF(COUNTIFS($A$5:$A$2004,A1929,$C$5:$C$2004,C1929)&gt;1,1,0))</x:f>
      </x:c>
    </x:row>
    <x:row r="1930">
      <x:c r="A1930" s="8" t="n"/>
      <x:c r="B1930" s="8" t="n"/>
      <x:c r="C1930" s="8" t="n"/>
      <x:c r="D1930" s="8" t="n"/>
      <x:c r="E1930" s="8" t="n"/>
      <x:c r="F1930" s="8" t="n"/>
      <x:c r="G1930" s="7">
        <x:f>IF(A1930="","",IF(01_Parametres!$B$11="Oui",IF((01_Parametres!$B$4*(D1930&gt;0)+01_Parametres!$B$5*(E1930&gt;0)+01_Parametres!$B$6*(F1930&gt;0))=0,"",(01_Parametres!$B$4*IF(D1930&gt;0,D1930,0)+01_Parametres!$B$5*IF(E1930&gt;0,E1930,0)+01_Parametres!$B$6*IF(F1930&gt;0,F1930,0))/(01_Parametres!$B$4*(D1930&gt;0)+01_Parametres!$B$5*(E1930&gt;0)+01_Parametres!$B$6*(F1930&gt;0))),IF(01_Parametres!$B$8=0,"",(01_Parametres!$B$4*D1930+01_Parametres!$B$5*E1930+01_Parametres!$B$6*F1930)/01_Parametres!$B$8)))</x:f>
      </x:c>
      <x:c r="H1930">
        <x:f>IFERROR(VLOOKUP(C1930,02_Referentiels!$A$20:$D$99,3,FALSE),"")</x:f>
      </x:c>
      <x:c r="I1930">
        <x:f>IFERROR(VLOOKUP(B1930,02_Referentiels!$A$5:$C$16,2,FALSE),"")</x:f>
      </x:c>
      <x:c r="J1930">
        <x:f>IF(A1930="","",IF(OR(D1930="",E1930="",F1930=""),1,IF(OR(D1930&lt;0,D1930&gt;3,E1930&lt;0,E1930&gt;3,F1930&lt;0,F1930&gt;3),1,0)))</x:f>
      </x:c>
      <x:c r="K1930">
        <x:f>IF(A1930="","",IF(G1930="",1,0))</x:f>
      </x:c>
      <x:c r="L1930">
        <x:f>IF(A1930="","",IF(COUNTIFS($A$5:$A$2004,A1930,$C$5:$C$2004,C1930)&gt;1,1,0))</x:f>
      </x:c>
    </x:row>
    <x:row r="1931">
      <x:c r="A1931" s="8" t="n"/>
      <x:c r="B1931" s="8" t="n"/>
      <x:c r="C1931" s="8" t="n"/>
      <x:c r="D1931" s="8" t="n"/>
      <x:c r="E1931" s="8" t="n"/>
      <x:c r="F1931" s="8" t="n"/>
      <x:c r="G1931" s="7">
        <x:f>IF(A1931="","",IF(01_Parametres!$B$11="Oui",IF((01_Parametres!$B$4*(D1931&gt;0)+01_Parametres!$B$5*(E1931&gt;0)+01_Parametres!$B$6*(F1931&gt;0))=0,"",(01_Parametres!$B$4*IF(D1931&gt;0,D1931,0)+01_Parametres!$B$5*IF(E1931&gt;0,E1931,0)+01_Parametres!$B$6*IF(F1931&gt;0,F1931,0))/(01_Parametres!$B$4*(D1931&gt;0)+01_Parametres!$B$5*(E1931&gt;0)+01_Parametres!$B$6*(F1931&gt;0))),IF(01_Parametres!$B$8=0,"",(01_Parametres!$B$4*D1931+01_Parametres!$B$5*E1931+01_Parametres!$B$6*F1931)/01_Parametres!$B$8)))</x:f>
      </x:c>
      <x:c r="H1931">
        <x:f>IFERROR(VLOOKUP(C1931,02_Referentiels!$A$20:$D$99,3,FALSE),"")</x:f>
      </x:c>
      <x:c r="I1931">
        <x:f>IFERROR(VLOOKUP(B1931,02_Referentiels!$A$5:$C$16,2,FALSE),"")</x:f>
      </x:c>
      <x:c r="J1931">
        <x:f>IF(A1931="","",IF(OR(D1931="",E1931="",F1931=""),1,IF(OR(D1931&lt;0,D1931&gt;3,E1931&lt;0,E1931&gt;3,F1931&lt;0,F1931&gt;3),1,0)))</x:f>
      </x:c>
      <x:c r="K1931">
        <x:f>IF(A1931="","",IF(G1931="",1,0))</x:f>
      </x:c>
      <x:c r="L1931">
        <x:f>IF(A1931="","",IF(COUNTIFS($A$5:$A$2004,A1931,$C$5:$C$2004,C1931)&gt;1,1,0))</x:f>
      </x:c>
    </x:row>
    <x:row r="1932">
      <x:c r="A1932" s="8" t="n"/>
      <x:c r="B1932" s="8" t="n"/>
      <x:c r="C1932" s="8" t="n"/>
      <x:c r="D1932" s="8" t="n"/>
      <x:c r="E1932" s="8" t="n"/>
      <x:c r="F1932" s="8" t="n"/>
      <x:c r="G1932" s="7">
        <x:f>IF(A1932="","",IF(01_Parametres!$B$11="Oui",IF((01_Parametres!$B$4*(D1932&gt;0)+01_Parametres!$B$5*(E1932&gt;0)+01_Parametres!$B$6*(F1932&gt;0))=0,"",(01_Parametres!$B$4*IF(D1932&gt;0,D1932,0)+01_Parametres!$B$5*IF(E1932&gt;0,E1932,0)+01_Parametres!$B$6*IF(F1932&gt;0,F1932,0))/(01_Parametres!$B$4*(D1932&gt;0)+01_Parametres!$B$5*(E1932&gt;0)+01_Parametres!$B$6*(F1932&gt;0))),IF(01_Parametres!$B$8=0,"",(01_Parametres!$B$4*D1932+01_Parametres!$B$5*E1932+01_Parametres!$B$6*F1932)/01_Parametres!$B$8)))</x:f>
      </x:c>
      <x:c r="H1932">
        <x:f>IFERROR(VLOOKUP(C1932,02_Referentiels!$A$20:$D$99,3,FALSE),"")</x:f>
      </x:c>
      <x:c r="I1932">
        <x:f>IFERROR(VLOOKUP(B1932,02_Referentiels!$A$5:$C$16,2,FALSE),"")</x:f>
      </x:c>
      <x:c r="J1932">
        <x:f>IF(A1932="","",IF(OR(D1932="",E1932="",F1932=""),1,IF(OR(D1932&lt;0,D1932&gt;3,E1932&lt;0,E1932&gt;3,F1932&lt;0,F1932&gt;3),1,0)))</x:f>
      </x:c>
      <x:c r="K1932">
        <x:f>IF(A1932="","",IF(G1932="",1,0))</x:f>
      </x:c>
      <x:c r="L1932">
        <x:f>IF(A1932="","",IF(COUNTIFS($A$5:$A$2004,A1932,$C$5:$C$2004,C1932)&gt;1,1,0))</x:f>
      </x:c>
    </x:row>
    <x:row r="1933">
      <x:c r="A1933" s="8" t="n"/>
      <x:c r="B1933" s="8" t="n"/>
      <x:c r="C1933" s="8" t="n"/>
      <x:c r="D1933" s="8" t="n"/>
      <x:c r="E1933" s="8" t="n"/>
      <x:c r="F1933" s="8" t="n"/>
      <x:c r="G1933" s="7">
        <x:f>IF(A1933="","",IF(01_Parametres!$B$11="Oui",IF((01_Parametres!$B$4*(D1933&gt;0)+01_Parametres!$B$5*(E1933&gt;0)+01_Parametres!$B$6*(F1933&gt;0))=0,"",(01_Parametres!$B$4*IF(D1933&gt;0,D1933,0)+01_Parametres!$B$5*IF(E1933&gt;0,E1933,0)+01_Parametres!$B$6*IF(F1933&gt;0,F1933,0))/(01_Parametres!$B$4*(D1933&gt;0)+01_Parametres!$B$5*(E1933&gt;0)+01_Parametres!$B$6*(F1933&gt;0))),IF(01_Parametres!$B$8=0,"",(01_Parametres!$B$4*D1933+01_Parametres!$B$5*E1933+01_Parametres!$B$6*F1933)/01_Parametres!$B$8)))</x:f>
      </x:c>
      <x:c r="H1933">
        <x:f>IFERROR(VLOOKUP(C1933,02_Referentiels!$A$20:$D$99,3,FALSE),"")</x:f>
      </x:c>
      <x:c r="I1933">
        <x:f>IFERROR(VLOOKUP(B1933,02_Referentiels!$A$5:$C$16,2,FALSE),"")</x:f>
      </x:c>
      <x:c r="J1933">
        <x:f>IF(A1933="","",IF(OR(D1933="",E1933="",F1933=""),1,IF(OR(D1933&lt;0,D1933&gt;3,E1933&lt;0,E1933&gt;3,F1933&lt;0,F1933&gt;3),1,0)))</x:f>
      </x:c>
      <x:c r="K1933">
        <x:f>IF(A1933="","",IF(G1933="",1,0))</x:f>
      </x:c>
      <x:c r="L1933">
        <x:f>IF(A1933="","",IF(COUNTIFS($A$5:$A$2004,A1933,$C$5:$C$2004,C1933)&gt;1,1,0))</x:f>
      </x:c>
    </x:row>
    <x:row r="1934">
      <x:c r="A1934" s="8" t="n"/>
      <x:c r="B1934" s="8" t="n"/>
      <x:c r="C1934" s="8" t="n"/>
      <x:c r="D1934" s="8" t="n"/>
      <x:c r="E1934" s="8" t="n"/>
      <x:c r="F1934" s="8" t="n"/>
      <x:c r="G1934" s="7">
        <x:f>IF(A1934="","",IF(01_Parametres!$B$11="Oui",IF((01_Parametres!$B$4*(D1934&gt;0)+01_Parametres!$B$5*(E1934&gt;0)+01_Parametres!$B$6*(F1934&gt;0))=0,"",(01_Parametres!$B$4*IF(D1934&gt;0,D1934,0)+01_Parametres!$B$5*IF(E1934&gt;0,E1934,0)+01_Parametres!$B$6*IF(F1934&gt;0,F1934,0))/(01_Parametres!$B$4*(D1934&gt;0)+01_Parametres!$B$5*(E1934&gt;0)+01_Parametres!$B$6*(F1934&gt;0))),IF(01_Parametres!$B$8=0,"",(01_Parametres!$B$4*D1934+01_Parametres!$B$5*E1934+01_Parametres!$B$6*F1934)/01_Parametres!$B$8)))</x:f>
      </x:c>
      <x:c r="H1934">
        <x:f>IFERROR(VLOOKUP(C1934,02_Referentiels!$A$20:$D$99,3,FALSE),"")</x:f>
      </x:c>
      <x:c r="I1934">
        <x:f>IFERROR(VLOOKUP(B1934,02_Referentiels!$A$5:$C$16,2,FALSE),"")</x:f>
      </x:c>
      <x:c r="J1934">
        <x:f>IF(A1934="","",IF(OR(D1934="",E1934="",F1934=""),1,IF(OR(D1934&lt;0,D1934&gt;3,E1934&lt;0,E1934&gt;3,F1934&lt;0,F1934&gt;3),1,0)))</x:f>
      </x:c>
      <x:c r="K1934">
        <x:f>IF(A1934="","",IF(G1934="",1,0))</x:f>
      </x:c>
      <x:c r="L1934">
        <x:f>IF(A1934="","",IF(COUNTIFS($A$5:$A$2004,A1934,$C$5:$C$2004,C1934)&gt;1,1,0))</x:f>
      </x:c>
    </x:row>
    <x:row r="1935">
      <x:c r="A1935" s="8" t="n"/>
      <x:c r="B1935" s="8" t="n"/>
      <x:c r="C1935" s="8" t="n"/>
      <x:c r="D1935" s="8" t="n"/>
      <x:c r="E1935" s="8" t="n"/>
      <x:c r="F1935" s="8" t="n"/>
      <x:c r="G1935" s="7">
        <x:f>IF(A1935="","",IF(01_Parametres!$B$11="Oui",IF((01_Parametres!$B$4*(D1935&gt;0)+01_Parametres!$B$5*(E1935&gt;0)+01_Parametres!$B$6*(F1935&gt;0))=0,"",(01_Parametres!$B$4*IF(D1935&gt;0,D1935,0)+01_Parametres!$B$5*IF(E1935&gt;0,E1935,0)+01_Parametres!$B$6*IF(F1935&gt;0,F1935,0))/(01_Parametres!$B$4*(D1935&gt;0)+01_Parametres!$B$5*(E1935&gt;0)+01_Parametres!$B$6*(F1935&gt;0))),IF(01_Parametres!$B$8=0,"",(01_Parametres!$B$4*D1935+01_Parametres!$B$5*E1935+01_Parametres!$B$6*F1935)/01_Parametres!$B$8)))</x:f>
      </x:c>
      <x:c r="H1935">
        <x:f>IFERROR(VLOOKUP(C1935,02_Referentiels!$A$20:$D$99,3,FALSE),"")</x:f>
      </x:c>
      <x:c r="I1935">
        <x:f>IFERROR(VLOOKUP(B1935,02_Referentiels!$A$5:$C$16,2,FALSE),"")</x:f>
      </x:c>
      <x:c r="J1935">
        <x:f>IF(A1935="","",IF(OR(D1935="",E1935="",F1935=""),1,IF(OR(D1935&lt;0,D1935&gt;3,E1935&lt;0,E1935&gt;3,F1935&lt;0,F1935&gt;3),1,0)))</x:f>
      </x:c>
      <x:c r="K1935">
        <x:f>IF(A1935="","",IF(G1935="",1,0))</x:f>
      </x:c>
      <x:c r="L1935">
        <x:f>IF(A1935="","",IF(COUNTIFS($A$5:$A$2004,A1935,$C$5:$C$2004,C1935)&gt;1,1,0))</x:f>
      </x:c>
    </x:row>
    <x:row r="1936">
      <x:c r="A1936" s="8" t="n"/>
      <x:c r="B1936" s="8" t="n"/>
      <x:c r="C1936" s="8" t="n"/>
      <x:c r="D1936" s="8" t="n"/>
      <x:c r="E1936" s="8" t="n"/>
      <x:c r="F1936" s="8" t="n"/>
      <x:c r="G1936" s="7">
        <x:f>IF(A1936="","",IF(01_Parametres!$B$11="Oui",IF((01_Parametres!$B$4*(D1936&gt;0)+01_Parametres!$B$5*(E1936&gt;0)+01_Parametres!$B$6*(F1936&gt;0))=0,"",(01_Parametres!$B$4*IF(D1936&gt;0,D1936,0)+01_Parametres!$B$5*IF(E1936&gt;0,E1936,0)+01_Parametres!$B$6*IF(F1936&gt;0,F1936,0))/(01_Parametres!$B$4*(D1936&gt;0)+01_Parametres!$B$5*(E1936&gt;0)+01_Parametres!$B$6*(F1936&gt;0))),IF(01_Parametres!$B$8=0,"",(01_Parametres!$B$4*D1936+01_Parametres!$B$5*E1936+01_Parametres!$B$6*F1936)/01_Parametres!$B$8)))</x:f>
      </x:c>
      <x:c r="H1936">
        <x:f>IFERROR(VLOOKUP(C1936,02_Referentiels!$A$20:$D$99,3,FALSE),"")</x:f>
      </x:c>
      <x:c r="I1936">
        <x:f>IFERROR(VLOOKUP(B1936,02_Referentiels!$A$5:$C$16,2,FALSE),"")</x:f>
      </x:c>
      <x:c r="J1936">
        <x:f>IF(A1936="","",IF(OR(D1936="",E1936="",F1936=""),1,IF(OR(D1936&lt;0,D1936&gt;3,E1936&lt;0,E1936&gt;3,F1936&lt;0,F1936&gt;3),1,0)))</x:f>
      </x:c>
      <x:c r="K1936">
        <x:f>IF(A1936="","",IF(G1936="",1,0))</x:f>
      </x:c>
      <x:c r="L1936">
        <x:f>IF(A1936="","",IF(COUNTIFS($A$5:$A$2004,A1936,$C$5:$C$2004,C1936)&gt;1,1,0))</x:f>
      </x:c>
    </x:row>
    <x:row r="1937">
      <x:c r="A1937" s="8" t="n"/>
      <x:c r="B1937" s="8" t="n"/>
      <x:c r="C1937" s="8" t="n"/>
      <x:c r="D1937" s="8" t="n"/>
      <x:c r="E1937" s="8" t="n"/>
      <x:c r="F1937" s="8" t="n"/>
      <x:c r="G1937" s="7">
        <x:f>IF(A1937="","",IF(01_Parametres!$B$11="Oui",IF((01_Parametres!$B$4*(D1937&gt;0)+01_Parametres!$B$5*(E1937&gt;0)+01_Parametres!$B$6*(F1937&gt;0))=0,"",(01_Parametres!$B$4*IF(D1937&gt;0,D1937,0)+01_Parametres!$B$5*IF(E1937&gt;0,E1937,0)+01_Parametres!$B$6*IF(F1937&gt;0,F1937,0))/(01_Parametres!$B$4*(D1937&gt;0)+01_Parametres!$B$5*(E1937&gt;0)+01_Parametres!$B$6*(F1937&gt;0))),IF(01_Parametres!$B$8=0,"",(01_Parametres!$B$4*D1937+01_Parametres!$B$5*E1937+01_Parametres!$B$6*F1937)/01_Parametres!$B$8)))</x:f>
      </x:c>
      <x:c r="H1937">
        <x:f>IFERROR(VLOOKUP(C1937,02_Referentiels!$A$20:$D$99,3,FALSE),"")</x:f>
      </x:c>
      <x:c r="I1937">
        <x:f>IFERROR(VLOOKUP(B1937,02_Referentiels!$A$5:$C$16,2,FALSE),"")</x:f>
      </x:c>
      <x:c r="J1937">
        <x:f>IF(A1937="","",IF(OR(D1937="",E1937="",F1937=""),1,IF(OR(D1937&lt;0,D1937&gt;3,E1937&lt;0,E1937&gt;3,F1937&lt;0,F1937&gt;3),1,0)))</x:f>
      </x:c>
      <x:c r="K1937">
        <x:f>IF(A1937="","",IF(G1937="",1,0))</x:f>
      </x:c>
      <x:c r="L1937">
        <x:f>IF(A1937="","",IF(COUNTIFS($A$5:$A$2004,A1937,$C$5:$C$2004,C1937)&gt;1,1,0))</x:f>
      </x:c>
    </x:row>
    <x:row r="1938">
      <x:c r="A1938" s="8" t="n"/>
      <x:c r="B1938" s="8" t="n"/>
      <x:c r="C1938" s="8" t="n"/>
      <x:c r="D1938" s="8" t="n"/>
      <x:c r="E1938" s="8" t="n"/>
      <x:c r="F1938" s="8" t="n"/>
      <x:c r="G1938" s="7">
        <x:f>IF(A1938="","",IF(01_Parametres!$B$11="Oui",IF((01_Parametres!$B$4*(D1938&gt;0)+01_Parametres!$B$5*(E1938&gt;0)+01_Parametres!$B$6*(F1938&gt;0))=0,"",(01_Parametres!$B$4*IF(D1938&gt;0,D1938,0)+01_Parametres!$B$5*IF(E1938&gt;0,E1938,0)+01_Parametres!$B$6*IF(F1938&gt;0,F1938,0))/(01_Parametres!$B$4*(D1938&gt;0)+01_Parametres!$B$5*(E1938&gt;0)+01_Parametres!$B$6*(F1938&gt;0))),IF(01_Parametres!$B$8=0,"",(01_Parametres!$B$4*D1938+01_Parametres!$B$5*E1938+01_Parametres!$B$6*F1938)/01_Parametres!$B$8)))</x:f>
      </x:c>
      <x:c r="H1938">
        <x:f>IFERROR(VLOOKUP(C1938,02_Referentiels!$A$20:$D$99,3,FALSE),"")</x:f>
      </x:c>
      <x:c r="I1938">
        <x:f>IFERROR(VLOOKUP(B1938,02_Referentiels!$A$5:$C$16,2,FALSE),"")</x:f>
      </x:c>
      <x:c r="J1938">
        <x:f>IF(A1938="","",IF(OR(D1938="",E1938="",F1938=""),1,IF(OR(D1938&lt;0,D1938&gt;3,E1938&lt;0,E1938&gt;3,F1938&lt;0,F1938&gt;3),1,0)))</x:f>
      </x:c>
      <x:c r="K1938">
        <x:f>IF(A1938="","",IF(G1938="",1,0))</x:f>
      </x:c>
      <x:c r="L1938">
        <x:f>IF(A1938="","",IF(COUNTIFS($A$5:$A$2004,A1938,$C$5:$C$2004,C1938)&gt;1,1,0))</x:f>
      </x:c>
    </x:row>
    <x:row r="1939">
      <x:c r="A1939" s="8" t="n"/>
      <x:c r="B1939" s="8" t="n"/>
      <x:c r="C1939" s="8" t="n"/>
      <x:c r="D1939" s="8" t="n"/>
      <x:c r="E1939" s="8" t="n"/>
      <x:c r="F1939" s="8" t="n"/>
      <x:c r="G1939" s="7">
        <x:f>IF(A1939="","",IF(01_Parametres!$B$11="Oui",IF((01_Parametres!$B$4*(D1939&gt;0)+01_Parametres!$B$5*(E1939&gt;0)+01_Parametres!$B$6*(F1939&gt;0))=0,"",(01_Parametres!$B$4*IF(D1939&gt;0,D1939,0)+01_Parametres!$B$5*IF(E1939&gt;0,E1939,0)+01_Parametres!$B$6*IF(F1939&gt;0,F1939,0))/(01_Parametres!$B$4*(D1939&gt;0)+01_Parametres!$B$5*(E1939&gt;0)+01_Parametres!$B$6*(F1939&gt;0))),IF(01_Parametres!$B$8=0,"",(01_Parametres!$B$4*D1939+01_Parametres!$B$5*E1939+01_Parametres!$B$6*F1939)/01_Parametres!$B$8)))</x:f>
      </x:c>
      <x:c r="H1939">
        <x:f>IFERROR(VLOOKUP(C1939,02_Referentiels!$A$20:$D$99,3,FALSE),"")</x:f>
      </x:c>
      <x:c r="I1939">
        <x:f>IFERROR(VLOOKUP(B1939,02_Referentiels!$A$5:$C$16,2,FALSE),"")</x:f>
      </x:c>
      <x:c r="J1939">
        <x:f>IF(A1939="","",IF(OR(D1939="",E1939="",F1939=""),1,IF(OR(D1939&lt;0,D1939&gt;3,E1939&lt;0,E1939&gt;3,F1939&lt;0,F1939&gt;3),1,0)))</x:f>
      </x:c>
      <x:c r="K1939">
        <x:f>IF(A1939="","",IF(G1939="",1,0))</x:f>
      </x:c>
      <x:c r="L1939">
        <x:f>IF(A1939="","",IF(COUNTIFS($A$5:$A$2004,A1939,$C$5:$C$2004,C1939)&gt;1,1,0))</x:f>
      </x:c>
    </x:row>
    <x:row r="1940">
      <x:c r="A1940" s="8" t="n"/>
      <x:c r="B1940" s="8" t="n"/>
      <x:c r="C1940" s="8" t="n"/>
      <x:c r="D1940" s="8" t="n"/>
      <x:c r="E1940" s="8" t="n"/>
      <x:c r="F1940" s="8" t="n"/>
      <x:c r="G1940" s="7">
        <x:f>IF(A1940="","",IF(01_Parametres!$B$11="Oui",IF((01_Parametres!$B$4*(D1940&gt;0)+01_Parametres!$B$5*(E1940&gt;0)+01_Parametres!$B$6*(F1940&gt;0))=0,"",(01_Parametres!$B$4*IF(D1940&gt;0,D1940,0)+01_Parametres!$B$5*IF(E1940&gt;0,E1940,0)+01_Parametres!$B$6*IF(F1940&gt;0,F1940,0))/(01_Parametres!$B$4*(D1940&gt;0)+01_Parametres!$B$5*(E1940&gt;0)+01_Parametres!$B$6*(F1940&gt;0))),IF(01_Parametres!$B$8=0,"",(01_Parametres!$B$4*D1940+01_Parametres!$B$5*E1940+01_Parametres!$B$6*F1940)/01_Parametres!$B$8)))</x:f>
      </x:c>
      <x:c r="H1940">
        <x:f>IFERROR(VLOOKUP(C1940,02_Referentiels!$A$20:$D$99,3,FALSE),"")</x:f>
      </x:c>
      <x:c r="I1940">
        <x:f>IFERROR(VLOOKUP(B1940,02_Referentiels!$A$5:$C$16,2,FALSE),"")</x:f>
      </x:c>
      <x:c r="J1940">
        <x:f>IF(A1940="","",IF(OR(D1940="",E1940="",F1940=""),1,IF(OR(D1940&lt;0,D1940&gt;3,E1940&lt;0,E1940&gt;3,F1940&lt;0,F1940&gt;3),1,0)))</x:f>
      </x:c>
      <x:c r="K1940">
        <x:f>IF(A1940="","",IF(G1940="",1,0))</x:f>
      </x:c>
      <x:c r="L1940">
        <x:f>IF(A1940="","",IF(COUNTIFS($A$5:$A$2004,A1940,$C$5:$C$2004,C1940)&gt;1,1,0))</x:f>
      </x:c>
    </x:row>
    <x:row r="1941">
      <x:c r="A1941" s="8" t="n"/>
      <x:c r="B1941" s="8" t="n"/>
      <x:c r="C1941" s="8" t="n"/>
      <x:c r="D1941" s="8" t="n"/>
      <x:c r="E1941" s="8" t="n"/>
      <x:c r="F1941" s="8" t="n"/>
      <x:c r="G1941" s="7">
        <x:f>IF(A1941="","",IF(01_Parametres!$B$11="Oui",IF((01_Parametres!$B$4*(D1941&gt;0)+01_Parametres!$B$5*(E1941&gt;0)+01_Parametres!$B$6*(F1941&gt;0))=0,"",(01_Parametres!$B$4*IF(D1941&gt;0,D1941,0)+01_Parametres!$B$5*IF(E1941&gt;0,E1941,0)+01_Parametres!$B$6*IF(F1941&gt;0,F1941,0))/(01_Parametres!$B$4*(D1941&gt;0)+01_Parametres!$B$5*(E1941&gt;0)+01_Parametres!$B$6*(F1941&gt;0))),IF(01_Parametres!$B$8=0,"",(01_Parametres!$B$4*D1941+01_Parametres!$B$5*E1941+01_Parametres!$B$6*F1941)/01_Parametres!$B$8)))</x:f>
      </x:c>
      <x:c r="H1941">
        <x:f>IFERROR(VLOOKUP(C1941,02_Referentiels!$A$20:$D$99,3,FALSE),"")</x:f>
      </x:c>
      <x:c r="I1941">
        <x:f>IFERROR(VLOOKUP(B1941,02_Referentiels!$A$5:$C$16,2,FALSE),"")</x:f>
      </x:c>
      <x:c r="J1941">
        <x:f>IF(A1941="","",IF(OR(D1941="",E1941="",F1941=""),1,IF(OR(D1941&lt;0,D1941&gt;3,E1941&lt;0,E1941&gt;3,F1941&lt;0,F1941&gt;3),1,0)))</x:f>
      </x:c>
      <x:c r="K1941">
        <x:f>IF(A1941="","",IF(G1941="",1,0))</x:f>
      </x:c>
      <x:c r="L1941">
        <x:f>IF(A1941="","",IF(COUNTIFS($A$5:$A$2004,A1941,$C$5:$C$2004,C1941)&gt;1,1,0))</x:f>
      </x:c>
    </x:row>
    <x:row r="1942">
      <x:c r="A1942" s="8" t="n"/>
      <x:c r="B1942" s="8" t="n"/>
      <x:c r="C1942" s="8" t="n"/>
      <x:c r="D1942" s="8" t="n"/>
      <x:c r="E1942" s="8" t="n"/>
      <x:c r="F1942" s="8" t="n"/>
      <x:c r="G1942" s="7">
        <x:f>IF(A1942="","",IF(01_Parametres!$B$11="Oui",IF((01_Parametres!$B$4*(D1942&gt;0)+01_Parametres!$B$5*(E1942&gt;0)+01_Parametres!$B$6*(F1942&gt;0))=0,"",(01_Parametres!$B$4*IF(D1942&gt;0,D1942,0)+01_Parametres!$B$5*IF(E1942&gt;0,E1942,0)+01_Parametres!$B$6*IF(F1942&gt;0,F1942,0))/(01_Parametres!$B$4*(D1942&gt;0)+01_Parametres!$B$5*(E1942&gt;0)+01_Parametres!$B$6*(F1942&gt;0))),IF(01_Parametres!$B$8=0,"",(01_Parametres!$B$4*D1942+01_Parametres!$B$5*E1942+01_Parametres!$B$6*F1942)/01_Parametres!$B$8)))</x:f>
      </x:c>
      <x:c r="H1942">
        <x:f>IFERROR(VLOOKUP(C1942,02_Referentiels!$A$20:$D$99,3,FALSE),"")</x:f>
      </x:c>
      <x:c r="I1942">
        <x:f>IFERROR(VLOOKUP(B1942,02_Referentiels!$A$5:$C$16,2,FALSE),"")</x:f>
      </x:c>
      <x:c r="J1942">
        <x:f>IF(A1942="","",IF(OR(D1942="",E1942="",F1942=""),1,IF(OR(D1942&lt;0,D1942&gt;3,E1942&lt;0,E1942&gt;3,F1942&lt;0,F1942&gt;3),1,0)))</x:f>
      </x:c>
      <x:c r="K1942">
        <x:f>IF(A1942="","",IF(G1942="",1,0))</x:f>
      </x:c>
      <x:c r="L1942">
        <x:f>IF(A1942="","",IF(COUNTIFS($A$5:$A$2004,A1942,$C$5:$C$2004,C1942)&gt;1,1,0))</x:f>
      </x:c>
    </x:row>
    <x:row r="1943">
      <x:c r="A1943" s="8" t="n"/>
      <x:c r="B1943" s="8" t="n"/>
      <x:c r="C1943" s="8" t="n"/>
      <x:c r="D1943" s="8" t="n"/>
      <x:c r="E1943" s="8" t="n"/>
      <x:c r="F1943" s="8" t="n"/>
      <x:c r="G1943" s="7">
        <x:f>IF(A1943="","",IF(01_Parametres!$B$11="Oui",IF((01_Parametres!$B$4*(D1943&gt;0)+01_Parametres!$B$5*(E1943&gt;0)+01_Parametres!$B$6*(F1943&gt;0))=0,"",(01_Parametres!$B$4*IF(D1943&gt;0,D1943,0)+01_Parametres!$B$5*IF(E1943&gt;0,E1943,0)+01_Parametres!$B$6*IF(F1943&gt;0,F1943,0))/(01_Parametres!$B$4*(D1943&gt;0)+01_Parametres!$B$5*(E1943&gt;0)+01_Parametres!$B$6*(F1943&gt;0))),IF(01_Parametres!$B$8=0,"",(01_Parametres!$B$4*D1943+01_Parametres!$B$5*E1943+01_Parametres!$B$6*F1943)/01_Parametres!$B$8)))</x:f>
      </x:c>
      <x:c r="H1943">
        <x:f>IFERROR(VLOOKUP(C1943,02_Referentiels!$A$20:$D$99,3,FALSE),"")</x:f>
      </x:c>
      <x:c r="I1943">
        <x:f>IFERROR(VLOOKUP(B1943,02_Referentiels!$A$5:$C$16,2,FALSE),"")</x:f>
      </x:c>
      <x:c r="J1943">
        <x:f>IF(A1943="","",IF(OR(D1943="",E1943="",F1943=""),1,IF(OR(D1943&lt;0,D1943&gt;3,E1943&lt;0,E1943&gt;3,F1943&lt;0,F1943&gt;3),1,0)))</x:f>
      </x:c>
      <x:c r="K1943">
        <x:f>IF(A1943="","",IF(G1943="",1,0))</x:f>
      </x:c>
      <x:c r="L1943">
        <x:f>IF(A1943="","",IF(COUNTIFS($A$5:$A$2004,A1943,$C$5:$C$2004,C1943)&gt;1,1,0))</x:f>
      </x:c>
    </x:row>
    <x:row r="1944">
      <x:c r="A1944" s="8" t="n"/>
      <x:c r="B1944" s="8" t="n"/>
      <x:c r="C1944" s="8" t="n"/>
      <x:c r="D1944" s="8" t="n"/>
      <x:c r="E1944" s="8" t="n"/>
      <x:c r="F1944" s="8" t="n"/>
      <x:c r="G1944" s="7">
        <x:f>IF(A1944="","",IF(01_Parametres!$B$11="Oui",IF((01_Parametres!$B$4*(D1944&gt;0)+01_Parametres!$B$5*(E1944&gt;0)+01_Parametres!$B$6*(F1944&gt;0))=0,"",(01_Parametres!$B$4*IF(D1944&gt;0,D1944,0)+01_Parametres!$B$5*IF(E1944&gt;0,E1944,0)+01_Parametres!$B$6*IF(F1944&gt;0,F1944,0))/(01_Parametres!$B$4*(D1944&gt;0)+01_Parametres!$B$5*(E1944&gt;0)+01_Parametres!$B$6*(F1944&gt;0))),IF(01_Parametres!$B$8=0,"",(01_Parametres!$B$4*D1944+01_Parametres!$B$5*E1944+01_Parametres!$B$6*F1944)/01_Parametres!$B$8)))</x:f>
      </x:c>
      <x:c r="H1944">
        <x:f>IFERROR(VLOOKUP(C1944,02_Referentiels!$A$20:$D$99,3,FALSE),"")</x:f>
      </x:c>
      <x:c r="I1944">
        <x:f>IFERROR(VLOOKUP(B1944,02_Referentiels!$A$5:$C$16,2,FALSE),"")</x:f>
      </x:c>
      <x:c r="J1944">
        <x:f>IF(A1944="","",IF(OR(D1944="",E1944="",F1944=""),1,IF(OR(D1944&lt;0,D1944&gt;3,E1944&lt;0,E1944&gt;3,F1944&lt;0,F1944&gt;3),1,0)))</x:f>
      </x:c>
      <x:c r="K1944">
        <x:f>IF(A1944="","",IF(G1944="",1,0))</x:f>
      </x:c>
      <x:c r="L1944">
        <x:f>IF(A1944="","",IF(COUNTIFS($A$5:$A$2004,A1944,$C$5:$C$2004,C1944)&gt;1,1,0))</x:f>
      </x:c>
    </x:row>
    <x:row r="1945">
      <x:c r="A1945" s="8" t="n"/>
      <x:c r="B1945" s="8" t="n"/>
      <x:c r="C1945" s="8" t="n"/>
      <x:c r="D1945" s="8" t="n"/>
      <x:c r="E1945" s="8" t="n"/>
      <x:c r="F1945" s="8" t="n"/>
      <x:c r="G1945" s="7">
        <x:f>IF(A1945="","",IF(01_Parametres!$B$11="Oui",IF((01_Parametres!$B$4*(D1945&gt;0)+01_Parametres!$B$5*(E1945&gt;0)+01_Parametres!$B$6*(F1945&gt;0))=0,"",(01_Parametres!$B$4*IF(D1945&gt;0,D1945,0)+01_Parametres!$B$5*IF(E1945&gt;0,E1945,0)+01_Parametres!$B$6*IF(F1945&gt;0,F1945,0))/(01_Parametres!$B$4*(D1945&gt;0)+01_Parametres!$B$5*(E1945&gt;0)+01_Parametres!$B$6*(F1945&gt;0))),IF(01_Parametres!$B$8=0,"",(01_Parametres!$B$4*D1945+01_Parametres!$B$5*E1945+01_Parametres!$B$6*F1945)/01_Parametres!$B$8)))</x:f>
      </x:c>
      <x:c r="H1945">
        <x:f>IFERROR(VLOOKUP(C1945,02_Referentiels!$A$20:$D$99,3,FALSE),"")</x:f>
      </x:c>
      <x:c r="I1945">
        <x:f>IFERROR(VLOOKUP(B1945,02_Referentiels!$A$5:$C$16,2,FALSE),"")</x:f>
      </x:c>
      <x:c r="J1945">
        <x:f>IF(A1945="","",IF(OR(D1945="",E1945="",F1945=""),1,IF(OR(D1945&lt;0,D1945&gt;3,E1945&lt;0,E1945&gt;3,F1945&lt;0,F1945&gt;3),1,0)))</x:f>
      </x:c>
      <x:c r="K1945">
        <x:f>IF(A1945="","",IF(G1945="",1,0))</x:f>
      </x:c>
      <x:c r="L1945">
        <x:f>IF(A1945="","",IF(COUNTIFS($A$5:$A$2004,A1945,$C$5:$C$2004,C1945)&gt;1,1,0))</x:f>
      </x:c>
    </x:row>
    <x:row r="1946">
      <x:c r="A1946" s="8" t="n"/>
      <x:c r="B1946" s="8" t="n"/>
      <x:c r="C1946" s="8" t="n"/>
      <x:c r="D1946" s="8" t="n"/>
      <x:c r="E1946" s="8" t="n"/>
      <x:c r="F1946" s="8" t="n"/>
      <x:c r="G1946" s="7">
        <x:f>IF(A1946="","",IF(01_Parametres!$B$11="Oui",IF((01_Parametres!$B$4*(D1946&gt;0)+01_Parametres!$B$5*(E1946&gt;0)+01_Parametres!$B$6*(F1946&gt;0))=0,"",(01_Parametres!$B$4*IF(D1946&gt;0,D1946,0)+01_Parametres!$B$5*IF(E1946&gt;0,E1946,0)+01_Parametres!$B$6*IF(F1946&gt;0,F1946,0))/(01_Parametres!$B$4*(D1946&gt;0)+01_Parametres!$B$5*(E1946&gt;0)+01_Parametres!$B$6*(F1946&gt;0))),IF(01_Parametres!$B$8=0,"",(01_Parametres!$B$4*D1946+01_Parametres!$B$5*E1946+01_Parametres!$B$6*F1946)/01_Parametres!$B$8)))</x:f>
      </x:c>
      <x:c r="H1946">
        <x:f>IFERROR(VLOOKUP(C1946,02_Referentiels!$A$20:$D$99,3,FALSE),"")</x:f>
      </x:c>
      <x:c r="I1946">
        <x:f>IFERROR(VLOOKUP(B1946,02_Referentiels!$A$5:$C$16,2,FALSE),"")</x:f>
      </x:c>
      <x:c r="J1946">
        <x:f>IF(A1946="","",IF(OR(D1946="",E1946="",F1946=""),1,IF(OR(D1946&lt;0,D1946&gt;3,E1946&lt;0,E1946&gt;3,F1946&lt;0,F1946&gt;3),1,0)))</x:f>
      </x:c>
      <x:c r="K1946">
        <x:f>IF(A1946="","",IF(G1946="",1,0))</x:f>
      </x:c>
      <x:c r="L1946">
        <x:f>IF(A1946="","",IF(COUNTIFS($A$5:$A$2004,A1946,$C$5:$C$2004,C1946)&gt;1,1,0))</x:f>
      </x:c>
    </x:row>
    <x:row r="1947">
      <x:c r="A1947" s="8" t="n"/>
      <x:c r="B1947" s="8" t="n"/>
      <x:c r="C1947" s="8" t="n"/>
      <x:c r="D1947" s="8" t="n"/>
      <x:c r="E1947" s="8" t="n"/>
      <x:c r="F1947" s="8" t="n"/>
      <x:c r="G1947" s="7">
        <x:f>IF(A1947="","",IF(01_Parametres!$B$11="Oui",IF((01_Parametres!$B$4*(D1947&gt;0)+01_Parametres!$B$5*(E1947&gt;0)+01_Parametres!$B$6*(F1947&gt;0))=0,"",(01_Parametres!$B$4*IF(D1947&gt;0,D1947,0)+01_Parametres!$B$5*IF(E1947&gt;0,E1947,0)+01_Parametres!$B$6*IF(F1947&gt;0,F1947,0))/(01_Parametres!$B$4*(D1947&gt;0)+01_Parametres!$B$5*(E1947&gt;0)+01_Parametres!$B$6*(F1947&gt;0))),IF(01_Parametres!$B$8=0,"",(01_Parametres!$B$4*D1947+01_Parametres!$B$5*E1947+01_Parametres!$B$6*F1947)/01_Parametres!$B$8)))</x:f>
      </x:c>
      <x:c r="H1947">
        <x:f>IFERROR(VLOOKUP(C1947,02_Referentiels!$A$20:$D$99,3,FALSE),"")</x:f>
      </x:c>
      <x:c r="I1947">
        <x:f>IFERROR(VLOOKUP(B1947,02_Referentiels!$A$5:$C$16,2,FALSE),"")</x:f>
      </x:c>
      <x:c r="J1947">
        <x:f>IF(A1947="","",IF(OR(D1947="",E1947="",F1947=""),1,IF(OR(D1947&lt;0,D1947&gt;3,E1947&lt;0,E1947&gt;3,F1947&lt;0,F1947&gt;3),1,0)))</x:f>
      </x:c>
      <x:c r="K1947">
        <x:f>IF(A1947="","",IF(G1947="",1,0))</x:f>
      </x:c>
      <x:c r="L1947">
        <x:f>IF(A1947="","",IF(COUNTIFS($A$5:$A$2004,A1947,$C$5:$C$2004,C1947)&gt;1,1,0))</x:f>
      </x:c>
    </x:row>
    <x:row r="1948">
      <x:c r="A1948" s="8" t="n"/>
      <x:c r="B1948" s="8" t="n"/>
      <x:c r="C1948" s="8" t="n"/>
      <x:c r="D1948" s="8" t="n"/>
      <x:c r="E1948" s="8" t="n"/>
      <x:c r="F1948" s="8" t="n"/>
      <x:c r="G1948" s="7">
        <x:f>IF(A1948="","",IF(01_Parametres!$B$11="Oui",IF((01_Parametres!$B$4*(D1948&gt;0)+01_Parametres!$B$5*(E1948&gt;0)+01_Parametres!$B$6*(F1948&gt;0))=0,"",(01_Parametres!$B$4*IF(D1948&gt;0,D1948,0)+01_Parametres!$B$5*IF(E1948&gt;0,E1948,0)+01_Parametres!$B$6*IF(F1948&gt;0,F1948,0))/(01_Parametres!$B$4*(D1948&gt;0)+01_Parametres!$B$5*(E1948&gt;0)+01_Parametres!$B$6*(F1948&gt;0))),IF(01_Parametres!$B$8=0,"",(01_Parametres!$B$4*D1948+01_Parametres!$B$5*E1948+01_Parametres!$B$6*F1948)/01_Parametres!$B$8)))</x:f>
      </x:c>
      <x:c r="H1948">
        <x:f>IFERROR(VLOOKUP(C1948,02_Referentiels!$A$20:$D$99,3,FALSE),"")</x:f>
      </x:c>
      <x:c r="I1948">
        <x:f>IFERROR(VLOOKUP(B1948,02_Referentiels!$A$5:$C$16,2,FALSE),"")</x:f>
      </x:c>
      <x:c r="J1948">
        <x:f>IF(A1948="","",IF(OR(D1948="",E1948="",F1948=""),1,IF(OR(D1948&lt;0,D1948&gt;3,E1948&lt;0,E1948&gt;3,F1948&lt;0,F1948&gt;3),1,0)))</x:f>
      </x:c>
      <x:c r="K1948">
        <x:f>IF(A1948="","",IF(G1948="",1,0))</x:f>
      </x:c>
      <x:c r="L1948">
        <x:f>IF(A1948="","",IF(COUNTIFS($A$5:$A$2004,A1948,$C$5:$C$2004,C1948)&gt;1,1,0))</x:f>
      </x:c>
    </x:row>
    <x:row r="1949">
      <x:c r="A1949" s="8" t="n"/>
      <x:c r="B1949" s="8" t="n"/>
      <x:c r="C1949" s="8" t="n"/>
      <x:c r="D1949" s="8" t="n"/>
      <x:c r="E1949" s="8" t="n"/>
      <x:c r="F1949" s="8" t="n"/>
      <x:c r="G1949" s="7">
        <x:f>IF(A1949="","",IF(01_Parametres!$B$11="Oui",IF((01_Parametres!$B$4*(D1949&gt;0)+01_Parametres!$B$5*(E1949&gt;0)+01_Parametres!$B$6*(F1949&gt;0))=0,"",(01_Parametres!$B$4*IF(D1949&gt;0,D1949,0)+01_Parametres!$B$5*IF(E1949&gt;0,E1949,0)+01_Parametres!$B$6*IF(F1949&gt;0,F1949,0))/(01_Parametres!$B$4*(D1949&gt;0)+01_Parametres!$B$5*(E1949&gt;0)+01_Parametres!$B$6*(F1949&gt;0))),IF(01_Parametres!$B$8=0,"",(01_Parametres!$B$4*D1949+01_Parametres!$B$5*E1949+01_Parametres!$B$6*F1949)/01_Parametres!$B$8)))</x:f>
      </x:c>
      <x:c r="H1949">
        <x:f>IFERROR(VLOOKUP(C1949,02_Referentiels!$A$20:$D$99,3,FALSE),"")</x:f>
      </x:c>
      <x:c r="I1949">
        <x:f>IFERROR(VLOOKUP(B1949,02_Referentiels!$A$5:$C$16,2,FALSE),"")</x:f>
      </x:c>
      <x:c r="J1949">
        <x:f>IF(A1949="","",IF(OR(D1949="",E1949="",F1949=""),1,IF(OR(D1949&lt;0,D1949&gt;3,E1949&lt;0,E1949&gt;3,F1949&lt;0,F1949&gt;3),1,0)))</x:f>
      </x:c>
      <x:c r="K1949">
        <x:f>IF(A1949="","",IF(G1949="",1,0))</x:f>
      </x:c>
      <x:c r="L1949">
        <x:f>IF(A1949="","",IF(COUNTIFS($A$5:$A$2004,A1949,$C$5:$C$2004,C1949)&gt;1,1,0))</x:f>
      </x:c>
    </x:row>
    <x:row r="1950">
      <x:c r="A1950" s="8" t="n"/>
      <x:c r="B1950" s="8" t="n"/>
      <x:c r="C1950" s="8" t="n"/>
      <x:c r="D1950" s="8" t="n"/>
      <x:c r="E1950" s="8" t="n"/>
      <x:c r="F1950" s="8" t="n"/>
      <x:c r="G1950" s="7">
        <x:f>IF(A1950="","",IF(01_Parametres!$B$11="Oui",IF((01_Parametres!$B$4*(D1950&gt;0)+01_Parametres!$B$5*(E1950&gt;0)+01_Parametres!$B$6*(F1950&gt;0))=0,"",(01_Parametres!$B$4*IF(D1950&gt;0,D1950,0)+01_Parametres!$B$5*IF(E1950&gt;0,E1950,0)+01_Parametres!$B$6*IF(F1950&gt;0,F1950,0))/(01_Parametres!$B$4*(D1950&gt;0)+01_Parametres!$B$5*(E1950&gt;0)+01_Parametres!$B$6*(F1950&gt;0))),IF(01_Parametres!$B$8=0,"",(01_Parametres!$B$4*D1950+01_Parametres!$B$5*E1950+01_Parametres!$B$6*F1950)/01_Parametres!$B$8)))</x:f>
      </x:c>
      <x:c r="H1950">
        <x:f>IFERROR(VLOOKUP(C1950,02_Referentiels!$A$20:$D$99,3,FALSE),"")</x:f>
      </x:c>
      <x:c r="I1950">
        <x:f>IFERROR(VLOOKUP(B1950,02_Referentiels!$A$5:$C$16,2,FALSE),"")</x:f>
      </x:c>
      <x:c r="J1950">
        <x:f>IF(A1950="","",IF(OR(D1950="",E1950="",F1950=""),1,IF(OR(D1950&lt;0,D1950&gt;3,E1950&lt;0,E1950&gt;3,F1950&lt;0,F1950&gt;3),1,0)))</x:f>
      </x:c>
      <x:c r="K1950">
        <x:f>IF(A1950="","",IF(G1950="",1,0))</x:f>
      </x:c>
      <x:c r="L1950">
        <x:f>IF(A1950="","",IF(COUNTIFS($A$5:$A$2004,A1950,$C$5:$C$2004,C1950)&gt;1,1,0))</x:f>
      </x:c>
    </x:row>
    <x:row r="1951">
      <x:c r="A1951" s="8" t="n"/>
      <x:c r="B1951" s="8" t="n"/>
      <x:c r="C1951" s="8" t="n"/>
      <x:c r="D1951" s="8" t="n"/>
      <x:c r="E1951" s="8" t="n"/>
      <x:c r="F1951" s="8" t="n"/>
      <x:c r="G1951" s="7">
        <x:f>IF(A1951="","",IF(01_Parametres!$B$11="Oui",IF((01_Parametres!$B$4*(D1951&gt;0)+01_Parametres!$B$5*(E1951&gt;0)+01_Parametres!$B$6*(F1951&gt;0))=0,"",(01_Parametres!$B$4*IF(D1951&gt;0,D1951,0)+01_Parametres!$B$5*IF(E1951&gt;0,E1951,0)+01_Parametres!$B$6*IF(F1951&gt;0,F1951,0))/(01_Parametres!$B$4*(D1951&gt;0)+01_Parametres!$B$5*(E1951&gt;0)+01_Parametres!$B$6*(F1951&gt;0))),IF(01_Parametres!$B$8=0,"",(01_Parametres!$B$4*D1951+01_Parametres!$B$5*E1951+01_Parametres!$B$6*F1951)/01_Parametres!$B$8)))</x:f>
      </x:c>
      <x:c r="H1951">
        <x:f>IFERROR(VLOOKUP(C1951,02_Referentiels!$A$20:$D$99,3,FALSE),"")</x:f>
      </x:c>
      <x:c r="I1951">
        <x:f>IFERROR(VLOOKUP(B1951,02_Referentiels!$A$5:$C$16,2,FALSE),"")</x:f>
      </x:c>
      <x:c r="J1951">
        <x:f>IF(A1951="","",IF(OR(D1951="",E1951="",F1951=""),1,IF(OR(D1951&lt;0,D1951&gt;3,E1951&lt;0,E1951&gt;3,F1951&lt;0,F1951&gt;3),1,0)))</x:f>
      </x:c>
      <x:c r="K1951">
        <x:f>IF(A1951="","",IF(G1951="",1,0))</x:f>
      </x:c>
      <x:c r="L1951">
        <x:f>IF(A1951="","",IF(COUNTIFS($A$5:$A$2004,A1951,$C$5:$C$2004,C1951)&gt;1,1,0))</x:f>
      </x:c>
    </x:row>
    <x:row r="1952">
      <x:c r="A1952" s="8" t="n"/>
      <x:c r="B1952" s="8" t="n"/>
      <x:c r="C1952" s="8" t="n"/>
      <x:c r="D1952" s="8" t="n"/>
      <x:c r="E1952" s="8" t="n"/>
      <x:c r="F1952" s="8" t="n"/>
      <x:c r="G1952" s="7">
        <x:f>IF(A1952="","",IF(01_Parametres!$B$11="Oui",IF((01_Parametres!$B$4*(D1952&gt;0)+01_Parametres!$B$5*(E1952&gt;0)+01_Parametres!$B$6*(F1952&gt;0))=0,"",(01_Parametres!$B$4*IF(D1952&gt;0,D1952,0)+01_Parametres!$B$5*IF(E1952&gt;0,E1952,0)+01_Parametres!$B$6*IF(F1952&gt;0,F1952,0))/(01_Parametres!$B$4*(D1952&gt;0)+01_Parametres!$B$5*(E1952&gt;0)+01_Parametres!$B$6*(F1952&gt;0))),IF(01_Parametres!$B$8=0,"",(01_Parametres!$B$4*D1952+01_Parametres!$B$5*E1952+01_Parametres!$B$6*F1952)/01_Parametres!$B$8)))</x:f>
      </x:c>
      <x:c r="H1952">
        <x:f>IFERROR(VLOOKUP(C1952,02_Referentiels!$A$20:$D$99,3,FALSE),"")</x:f>
      </x:c>
      <x:c r="I1952">
        <x:f>IFERROR(VLOOKUP(B1952,02_Referentiels!$A$5:$C$16,2,FALSE),"")</x:f>
      </x:c>
      <x:c r="J1952">
        <x:f>IF(A1952="","",IF(OR(D1952="",E1952="",F1952=""),1,IF(OR(D1952&lt;0,D1952&gt;3,E1952&lt;0,E1952&gt;3,F1952&lt;0,F1952&gt;3),1,0)))</x:f>
      </x:c>
      <x:c r="K1952">
        <x:f>IF(A1952="","",IF(G1952="",1,0))</x:f>
      </x:c>
      <x:c r="L1952">
        <x:f>IF(A1952="","",IF(COUNTIFS($A$5:$A$2004,A1952,$C$5:$C$2004,C1952)&gt;1,1,0))</x:f>
      </x:c>
    </x:row>
    <x:row r="1953">
      <x:c r="A1953" s="8" t="n"/>
      <x:c r="B1953" s="8" t="n"/>
      <x:c r="C1953" s="8" t="n"/>
      <x:c r="D1953" s="8" t="n"/>
      <x:c r="E1953" s="8" t="n"/>
      <x:c r="F1953" s="8" t="n"/>
      <x:c r="G1953" s="7">
        <x:f>IF(A1953="","",IF(01_Parametres!$B$11="Oui",IF((01_Parametres!$B$4*(D1953&gt;0)+01_Parametres!$B$5*(E1953&gt;0)+01_Parametres!$B$6*(F1953&gt;0))=0,"",(01_Parametres!$B$4*IF(D1953&gt;0,D1953,0)+01_Parametres!$B$5*IF(E1953&gt;0,E1953,0)+01_Parametres!$B$6*IF(F1953&gt;0,F1953,0))/(01_Parametres!$B$4*(D1953&gt;0)+01_Parametres!$B$5*(E1953&gt;0)+01_Parametres!$B$6*(F1953&gt;0))),IF(01_Parametres!$B$8=0,"",(01_Parametres!$B$4*D1953+01_Parametres!$B$5*E1953+01_Parametres!$B$6*F1953)/01_Parametres!$B$8)))</x:f>
      </x:c>
      <x:c r="H1953">
        <x:f>IFERROR(VLOOKUP(C1953,02_Referentiels!$A$20:$D$99,3,FALSE),"")</x:f>
      </x:c>
      <x:c r="I1953">
        <x:f>IFERROR(VLOOKUP(B1953,02_Referentiels!$A$5:$C$16,2,FALSE),"")</x:f>
      </x:c>
      <x:c r="J1953">
        <x:f>IF(A1953="","",IF(OR(D1953="",E1953="",F1953=""),1,IF(OR(D1953&lt;0,D1953&gt;3,E1953&lt;0,E1953&gt;3,F1953&lt;0,F1953&gt;3),1,0)))</x:f>
      </x:c>
      <x:c r="K1953">
        <x:f>IF(A1953="","",IF(G1953="",1,0))</x:f>
      </x:c>
      <x:c r="L1953">
        <x:f>IF(A1953="","",IF(COUNTIFS($A$5:$A$2004,A1953,$C$5:$C$2004,C1953)&gt;1,1,0))</x:f>
      </x:c>
    </x:row>
    <x:row r="1954">
      <x:c r="A1954" s="8" t="n"/>
      <x:c r="B1954" s="8" t="n"/>
      <x:c r="C1954" s="8" t="n"/>
      <x:c r="D1954" s="8" t="n"/>
      <x:c r="E1954" s="8" t="n"/>
      <x:c r="F1954" s="8" t="n"/>
      <x:c r="G1954" s="7">
        <x:f>IF(A1954="","",IF(01_Parametres!$B$11="Oui",IF((01_Parametres!$B$4*(D1954&gt;0)+01_Parametres!$B$5*(E1954&gt;0)+01_Parametres!$B$6*(F1954&gt;0))=0,"",(01_Parametres!$B$4*IF(D1954&gt;0,D1954,0)+01_Parametres!$B$5*IF(E1954&gt;0,E1954,0)+01_Parametres!$B$6*IF(F1954&gt;0,F1954,0))/(01_Parametres!$B$4*(D1954&gt;0)+01_Parametres!$B$5*(E1954&gt;0)+01_Parametres!$B$6*(F1954&gt;0))),IF(01_Parametres!$B$8=0,"",(01_Parametres!$B$4*D1954+01_Parametres!$B$5*E1954+01_Parametres!$B$6*F1954)/01_Parametres!$B$8)))</x:f>
      </x:c>
      <x:c r="H1954">
        <x:f>IFERROR(VLOOKUP(C1954,02_Referentiels!$A$20:$D$99,3,FALSE),"")</x:f>
      </x:c>
      <x:c r="I1954">
        <x:f>IFERROR(VLOOKUP(B1954,02_Referentiels!$A$5:$C$16,2,FALSE),"")</x:f>
      </x:c>
      <x:c r="J1954">
        <x:f>IF(A1954="","",IF(OR(D1954="",E1954="",F1954=""),1,IF(OR(D1954&lt;0,D1954&gt;3,E1954&lt;0,E1954&gt;3,F1954&lt;0,F1954&gt;3),1,0)))</x:f>
      </x:c>
      <x:c r="K1954">
        <x:f>IF(A1954="","",IF(G1954="",1,0))</x:f>
      </x:c>
      <x:c r="L1954">
        <x:f>IF(A1954="","",IF(COUNTIFS($A$5:$A$2004,A1954,$C$5:$C$2004,C1954)&gt;1,1,0))</x:f>
      </x:c>
    </x:row>
    <x:row r="1955">
      <x:c r="A1955" s="8" t="n"/>
      <x:c r="B1955" s="8" t="n"/>
      <x:c r="C1955" s="8" t="n"/>
      <x:c r="D1955" s="8" t="n"/>
      <x:c r="E1955" s="8" t="n"/>
      <x:c r="F1955" s="8" t="n"/>
      <x:c r="G1955" s="7">
        <x:f>IF(A1955="","",IF(01_Parametres!$B$11="Oui",IF((01_Parametres!$B$4*(D1955&gt;0)+01_Parametres!$B$5*(E1955&gt;0)+01_Parametres!$B$6*(F1955&gt;0))=0,"",(01_Parametres!$B$4*IF(D1955&gt;0,D1955,0)+01_Parametres!$B$5*IF(E1955&gt;0,E1955,0)+01_Parametres!$B$6*IF(F1955&gt;0,F1955,0))/(01_Parametres!$B$4*(D1955&gt;0)+01_Parametres!$B$5*(E1955&gt;0)+01_Parametres!$B$6*(F1955&gt;0))),IF(01_Parametres!$B$8=0,"",(01_Parametres!$B$4*D1955+01_Parametres!$B$5*E1955+01_Parametres!$B$6*F1955)/01_Parametres!$B$8)))</x:f>
      </x:c>
      <x:c r="H1955">
        <x:f>IFERROR(VLOOKUP(C1955,02_Referentiels!$A$20:$D$99,3,FALSE),"")</x:f>
      </x:c>
      <x:c r="I1955">
        <x:f>IFERROR(VLOOKUP(B1955,02_Referentiels!$A$5:$C$16,2,FALSE),"")</x:f>
      </x:c>
      <x:c r="J1955">
        <x:f>IF(A1955="","",IF(OR(D1955="",E1955="",F1955=""),1,IF(OR(D1955&lt;0,D1955&gt;3,E1955&lt;0,E1955&gt;3,F1955&lt;0,F1955&gt;3),1,0)))</x:f>
      </x:c>
      <x:c r="K1955">
        <x:f>IF(A1955="","",IF(G1955="",1,0))</x:f>
      </x:c>
      <x:c r="L1955">
        <x:f>IF(A1955="","",IF(COUNTIFS($A$5:$A$2004,A1955,$C$5:$C$2004,C1955)&gt;1,1,0))</x:f>
      </x:c>
    </x:row>
    <x:row r="1956">
      <x:c r="A1956" s="8" t="n"/>
      <x:c r="B1956" s="8" t="n"/>
      <x:c r="C1956" s="8" t="n"/>
      <x:c r="D1956" s="8" t="n"/>
      <x:c r="E1956" s="8" t="n"/>
      <x:c r="F1956" s="8" t="n"/>
      <x:c r="G1956" s="7">
        <x:f>IF(A1956="","",IF(01_Parametres!$B$11="Oui",IF((01_Parametres!$B$4*(D1956&gt;0)+01_Parametres!$B$5*(E1956&gt;0)+01_Parametres!$B$6*(F1956&gt;0))=0,"",(01_Parametres!$B$4*IF(D1956&gt;0,D1956,0)+01_Parametres!$B$5*IF(E1956&gt;0,E1956,0)+01_Parametres!$B$6*IF(F1956&gt;0,F1956,0))/(01_Parametres!$B$4*(D1956&gt;0)+01_Parametres!$B$5*(E1956&gt;0)+01_Parametres!$B$6*(F1956&gt;0))),IF(01_Parametres!$B$8=0,"",(01_Parametres!$B$4*D1956+01_Parametres!$B$5*E1956+01_Parametres!$B$6*F1956)/01_Parametres!$B$8)))</x:f>
      </x:c>
      <x:c r="H1956">
        <x:f>IFERROR(VLOOKUP(C1956,02_Referentiels!$A$20:$D$99,3,FALSE),"")</x:f>
      </x:c>
      <x:c r="I1956">
        <x:f>IFERROR(VLOOKUP(B1956,02_Referentiels!$A$5:$C$16,2,FALSE),"")</x:f>
      </x:c>
      <x:c r="J1956">
        <x:f>IF(A1956="","",IF(OR(D1956="",E1956="",F1956=""),1,IF(OR(D1956&lt;0,D1956&gt;3,E1956&lt;0,E1956&gt;3,F1956&lt;0,F1956&gt;3),1,0)))</x:f>
      </x:c>
      <x:c r="K1956">
        <x:f>IF(A1956="","",IF(G1956="",1,0))</x:f>
      </x:c>
      <x:c r="L1956">
        <x:f>IF(A1956="","",IF(COUNTIFS($A$5:$A$2004,A1956,$C$5:$C$2004,C1956)&gt;1,1,0))</x:f>
      </x:c>
    </x:row>
    <x:row r="1957">
      <x:c r="A1957" s="8" t="n"/>
      <x:c r="B1957" s="8" t="n"/>
      <x:c r="C1957" s="8" t="n"/>
      <x:c r="D1957" s="8" t="n"/>
      <x:c r="E1957" s="8" t="n"/>
      <x:c r="F1957" s="8" t="n"/>
      <x:c r="G1957" s="7">
        <x:f>IF(A1957="","",IF(01_Parametres!$B$11="Oui",IF((01_Parametres!$B$4*(D1957&gt;0)+01_Parametres!$B$5*(E1957&gt;0)+01_Parametres!$B$6*(F1957&gt;0))=0,"",(01_Parametres!$B$4*IF(D1957&gt;0,D1957,0)+01_Parametres!$B$5*IF(E1957&gt;0,E1957,0)+01_Parametres!$B$6*IF(F1957&gt;0,F1957,0))/(01_Parametres!$B$4*(D1957&gt;0)+01_Parametres!$B$5*(E1957&gt;0)+01_Parametres!$B$6*(F1957&gt;0))),IF(01_Parametres!$B$8=0,"",(01_Parametres!$B$4*D1957+01_Parametres!$B$5*E1957+01_Parametres!$B$6*F1957)/01_Parametres!$B$8)))</x:f>
      </x:c>
      <x:c r="H1957">
        <x:f>IFERROR(VLOOKUP(C1957,02_Referentiels!$A$20:$D$99,3,FALSE),"")</x:f>
      </x:c>
      <x:c r="I1957">
        <x:f>IFERROR(VLOOKUP(B1957,02_Referentiels!$A$5:$C$16,2,FALSE),"")</x:f>
      </x:c>
      <x:c r="J1957">
        <x:f>IF(A1957="","",IF(OR(D1957="",E1957="",F1957=""),1,IF(OR(D1957&lt;0,D1957&gt;3,E1957&lt;0,E1957&gt;3,F1957&lt;0,F1957&gt;3),1,0)))</x:f>
      </x:c>
      <x:c r="K1957">
        <x:f>IF(A1957="","",IF(G1957="",1,0))</x:f>
      </x:c>
      <x:c r="L1957">
        <x:f>IF(A1957="","",IF(COUNTIFS($A$5:$A$2004,A1957,$C$5:$C$2004,C1957)&gt;1,1,0))</x:f>
      </x:c>
    </x:row>
    <x:row r="1958">
      <x:c r="A1958" s="8" t="n"/>
      <x:c r="B1958" s="8" t="n"/>
      <x:c r="C1958" s="8" t="n"/>
      <x:c r="D1958" s="8" t="n"/>
      <x:c r="E1958" s="8" t="n"/>
      <x:c r="F1958" s="8" t="n"/>
      <x:c r="G1958" s="7">
        <x:f>IF(A1958="","",IF(01_Parametres!$B$11="Oui",IF((01_Parametres!$B$4*(D1958&gt;0)+01_Parametres!$B$5*(E1958&gt;0)+01_Parametres!$B$6*(F1958&gt;0))=0,"",(01_Parametres!$B$4*IF(D1958&gt;0,D1958,0)+01_Parametres!$B$5*IF(E1958&gt;0,E1958,0)+01_Parametres!$B$6*IF(F1958&gt;0,F1958,0))/(01_Parametres!$B$4*(D1958&gt;0)+01_Parametres!$B$5*(E1958&gt;0)+01_Parametres!$B$6*(F1958&gt;0))),IF(01_Parametres!$B$8=0,"",(01_Parametres!$B$4*D1958+01_Parametres!$B$5*E1958+01_Parametres!$B$6*F1958)/01_Parametres!$B$8)))</x:f>
      </x:c>
      <x:c r="H1958">
        <x:f>IFERROR(VLOOKUP(C1958,02_Referentiels!$A$20:$D$99,3,FALSE),"")</x:f>
      </x:c>
      <x:c r="I1958">
        <x:f>IFERROR(VLOOKUP(B1958,02_Referentiels!$A$5:$C$16,2,FALSE),"")</x:f>
      </x:c>
      <x:c r="J1958">
        <x:f>IF(A1958="","",IF(OR(D1958="",E1958="",F1958=""),1,IF(OR(D1958&lt;0,D1958&gt;3,E1958&lt;0,E1958&gt;3,F1958&lt;0,F1958&gt;3),1,0)))</x:f>
      </x:c>
      <x:c r="K1958">
        <x:f>IF(A1958="","",IF(G1958="",1,0))</x:f>
      </x:c>
      <x:c r="L1958">
        <x:f>IF(A1958="","",IF(COUNTIFS($A$5:$A$2004,A1958,$C$5:$C$2004,C1958)&gt;1,1,0))</x:f>
      </x:c>
    </x:row>
    <x:row r="1959">
      <x:c r="A1959" s="8" t="n"/>
      <x:c r="B1959" s="8" t="n"/>
      <x:c r="C1959" s="8" t="n"/>
      <x:c r="D1959" s="8" t="n"/>
      <x:c r="E1959" s="8" t="n"/>
      <x:c r="F1959" s="8" t="n"/>
      <x:c r="G1959" s="7">
        <x:f>IF(A1959="","",IF(01_Parametres!$B$11="Oui",IF((01_Parametres!$B$4*(D1959&gt;0)+01_Parametres!$B$5*(E1959&gt;0)+01_Parametres!$B$6*(F1959&gt;0))=0,"",(01_Parametres!$B$4*IF(D1959&gt;0,D1959,0)+01_Parametres!$B$5*IF(E1959&gt;0,E1959,0)+01_Parametres!$B$6*IF(F1959&gt;0,F1959,0))/(01_Parametres!$B$4*(D1959&gt;0)+01_Parametres!$B$5*(E1959&gt;0)+01_Parametres!$B$6*(F1959&gt;0))),IF(01_Parametres!$B$8=0,"",(01_Parametres!$B$4*D1959+01_Parametres!$B$5*E1959+01_Parametres!$B$6*F1959)/01_Parametres!$B$8)))</x:f>
      </x:c>
      <x:c r="H1959">
        <x:f>IFERROR(VLOOKUP(C1959,02_Referentiels!$A$20:$D$99,3,FALSE),"")</x:f>
      </x:c>
      <x:c r="I1959">
        <x:f>IFERROR(VLOOKUP(B1959,02_Referentiels!$A$5:$C$16,2,FALSE),"")</x:f>
      </x:c>
      <x:c r="J1959">
        <x:f>IF(A1959="","",IF(OR(D1959="",E1959="",F1959=""),1,IF(OR(D1959&lt;0,D1959&gt;3,E1959&lt;0,E1959&gt;3,F1959&lt;0,F1959&gt;3),1,0)))</x:f>
      </x:c>
      <x:c r="K1959">
        <x:f>IF(A1959="","",IF(G1959="",1,0))</x:f>
      </x:c>
      <x:c r="L1959">
        <x:f>IF(A1959="","",IF(COUNTIFS($A$5:$A$2004,A1959,$C$5:$C$2004,C1959)&gt;1,1,0))</x:f>
      </x:c>
    </x:row>
    <x:row r="1960">
      <x:c r="A1960" s="8" t="n"/>
      <x:c r="B1960" s="8" t="n"/>
      <x:c r="C1960" s="8" t="n"/>
      <x:c r="D1960" s="8" t="n"/>
      <x:c r="E1960" s="8" t="n"/>
      <x:c r="F1960" s="8" t="n"/>
      <x:c r="G1960" s="7">
        <x:f>IF(A1960="","",IF(01_Parametres!$B$11="Oui",IF((01_Parametres!$B$4*(D1960&gt;0)+01_Parametres!$B$5*(E1960&gt;0)+01_Parametres!$B$6*(F1960&gt;0))=0,"",(01_Parametres!$B$4*IF(D1960&gt;0,D1960,0)+01_Parametres!$B$5*IF(E1960&gt;0,E1960,0)+01_Parametres!$B$6*IF(F1960&gt;0,F1960,0))/(01_Parametres!$B$4*(D1960&gt;0)+01_Parametres!$B$5*(E1960&gt;0)+01_Parametres!$B$6*(F1960&gt;0))),IF(01_Parametres!$B$8=0,"",(01_Parametres!$B$4*D1960+01_Parametres!$B$5*E1960+01_Parametres!$B$6*F1960)/01_Parametres!$B$8)))</x:f>
      </x:c>
      <x:c r="H1960">
        <x:f>IFERROR(VLOOKUP(C1960,02_Referentiels!$A$20:$D$99,3,FALSE),"")</x:f>
      </x:c>
      <x:c r="I1960">
        <x:f>IFERROR(VLOOKUP(B1960,02_Referentiels!$A$5:$C$16,2,FALSE),"")</x:f>
      </x:c>
      <x:c r="J1960">
        <x:f>IF(A1960="","",IF(OR(D1960="",E1960="",F1960=""),1,IF(OR(D1960&lt;0,D1960&gt;3,E1960&lt;0,E1960&gt;3,F1960&lt;0,F1960&gt;3),1,0)))</x:f>
      </x:c>
      <x:c r="K1960">
        <x:f>IF(A1960="","",IF(G1960="",1,0))</x:f>
      </x:c>
      <x:c r="L1960">
        <x:f>IF(A1960="","",IF(COUNTIFS($A$5:$A$2004,A1960,$C$5:$C$2004,C1960)&gt;1,1,0))</x:f>
      </x:c>
    </x:row>
    <x:row r="1961">
      <x:c r="A1961" s="8" t="n"/>
      <x:c r="B1961" s="8" t="n"/>
      <x:c r="C1961" s="8" t="n"/>
      <x:c r="D1961" s="8" t="n"/>
      <x:c r="E1961" s="8" t="n"/>
      <x:c r="F1961" s="8" t="n"/>
      <x:c r="G1961" s="7">
        <x:f>IF(A1961="","",IF(01_Parametres!$B$11="Oui",IF((01_Parametres!$B$4*(D1961&gt;0)+01_Parametres!$B$5*(E1961&gt;0)+01_Parametres!$B$6*(F1961&gt;0))=0,"",(01_Parametres!$B$4*IF(D1961&gt;0,D1961,0)+01_Parametres!$B$5*IF(E1961&gt;0,E1961,0)+01_Parametres!$B$6*IF(F1961&gt;0,F1961,0))/(01_Parametres!$B$4*(D1961&gt;0)+01_Parametres!$B$5*(E1961&gt;0)+01_Parametres!$B$6*(F1961&gt;0))),IF(01_Parametres!$B$8=0,"",(01_Parametres!$B$4*D1961+01_Parametres!$B$5*E1961+01_Parametres!$B$6*F1961)/01_Parametres!$B$8)))</x:f>
      </x:c>
      <x:c r="H1961">
        <x:f>IFERROR(VLOOKUP(C1961,02_Referentiels!$A$20:$D$99,3,FALSE),"")</x:f>
      </x:c>
      <x:c r="I1961">
        <x:f>IFERROR(VLOOKUP(B1961,02_Referentiels!$A$5:$C$16,2,FALSE),"")</x:f>
      </x:c>
      <x:c r="J1961">
        <x:f>IF(A1961="","",IF(OR(D1961="",E1961="",F1961=""),1,IF(OR(D1961&lt;0,D1961&gt;3,E1961&lt;0,E1961&gt;3,F1961&lt;0,F1961&gt;3),1,0)))</x:f>
      </x:c>
      <x:c r="K1961">
        <x:f>IF(A1961="","",IF(G1961="",1,0))</x:f>
      </x:c>
      <x:c r="L1961">
        <x:f>IF(A1961="","",IF(COUNTIFS($A$5:$A$2004,A1961,$C$5:$C$2004,C1961)&gt;1,1,0))</x:f>
      </x:c>
    </x:row>
    <x:row r="1962">
      <x:c r="A1962" s="8" t="n"/>
      <x:c r="B1962" s="8" t="n"/>
      <x:c r="C1962" s="8" t="n"/>
      <x:c r="D1962" s="8" t="n"/>
      <x:c r="E1962" s="8" t="n"/>
      <x:c r="F1962" s="8" t="n"/>
      <x:c r="G1962" s="7">
        <x:f>IF(A1962="","",IF(01_Parametres!$B$11="Oui",IF((01_Parametres!$B$4*(D1962&gt;0)+01_Parametres!$B$5*(E1962&gt;0)+01_Parametres!$B$6*(F1962&gt;0))=0,"",(01_Parametres!$B$4*IF(D1962&gt;0,D1962,0)+01_Parametres!$B$5*IF(E1962&gt;0,E1962,0)+01_Parametres!$B$6*IF(F1962&gt;0,F1962,0))/(01_Parametres!$B$4*(D1962&gt;0)+01_Parametres!$B$5*(E1962&gt;0)+01_Parametres!$B$6*(F1962&gt;0))),IF(01_Parametres!$B$8=0,"",(01_Parametres!$B$4*D1962+01_Parametres!$B$5*E1962+01_Parametres!$B$6*F1962)/01_Parametres!$B$8)))</x:f>
      </x:c>
      <x:c r="H1962">
        <x:f>IFERROR(VLOOKUP(C1962,02_Referentiels!$A$20:$D$99,3,FALSE),"")</x:f>
      </x:c>
      <x:c r="I1962">
        <x:f>IFERROR(VLOOKUP(B1962,02_Referentiels!$A$5:$C$16,2,FALSE),"")</x:f>
      </x:c>
      <x:c r="J1962">
        <x:f>IF(A1962="","",IF(OR(D1962="",E1962="",F1962=""),1,IF(OR(D1962&lt;0,D1962&gt;3,E1962&lt;0,E1962&gt;3,F1962&lt;0,F1962&gt;3),1,0)))</x:f>
      </x:c>
      <x:c r="K1962">
        <x:f>IF(A1962="","",IF(G1962="",1,0))</x:f>
      </x:c>
      <x:c r="L1962">
        <x:f>IF(A1962="","",IF(COUNTIFS($A$5:$A$2004,A1962,$C$5:$C$2004,C1962)&gt;1,1,0))</x:f>
      </x:c>
    </x:row>
    <x:row r="1963">
      <x:c r="A1963" s="8" t="n"/>
      <x:c r="B1963" s="8" t="n"/>
      <x:c r="C1963" s="8" t="n"/>
      <x:c r="D1963" s="8" t="n"/>
      <x:c r="E1963" s="8" t="n"/>
      <x:c r="F1963" s="8" t="n"/>
      <x:c r="G1963" s="7">
        <x:f>IF(A1963="","",IF(01_Parametres!$B$11="Oui",IF((01_Parametres!$B$4*(D1963&gt;0)+01_Parametres!$B$5*(E1963&gt;0)+01_Parametres!$B$6*(F1963&gt;0))=0,"",(01_Parametres!$B$4*IF(D1963&gt;0,D1963,0)+01_Parametres!$B$5*IF(E1963&gt;0,E1963,0)+01_Parametres!$B$6*IF(F1963&gt;0,F1963,0))/(01_Parametres!$B$4*(D1963&gt;0)+01_Parametres!$B$5*(E1963&gt;0)+01_Parametres!$B$6*(F1963&gt;0))),IF(01_Parametres!$B$8=0,"",(01_Parametres!$B$4*D1963+01_Parametres!$B$5*E1963+01_Parametres!$B$6*F1963)/01_Parametres!$B$8)))</x:f>
      </x:c>
      <x:c r="H1963">
        <x:f>IFERROR(VLOOKUP(C1963,02_Referentiels!$A$20:$D$99,3,FALSE),"")</x:f>
      </x:c>
      <x:c r="I1963">
        <x:f>IFERROR(VLOOKUP(B1963,02_Referentiels!$A$5:$C$16,2,FALSE),"")</x:f>
      </x:c>
      <x:c r="J1963">
        <x:f>IF(A1963="","",IF(OR(D1963="",E1963="",F1963=""),1,IF(OR(D1963&lt;0,D1963&gt;3,E1963&lt;0,E1963&gt;3,F1963&lt;0,F1963&gt;3),1,0)))</x:f>
      </x:c>
      <x:c r="K1963">
        <x:f>IF(A1963="","",IF(G1963="",1,0))</x:f>
      </x:c>
      <x:c r="L1963">
        <x:f>IF(A1963="","",IF(COUNTIFS($A$5:$A$2004,A1963,$C$5:$C$2004,C1963)&gt;1,1,0))</x:f>
      </x:c>
    </x:row>
    <x:row r="1964">
      <x:c r="A1964" s="8" t="n"/>
      <x:c r="B1964" s="8" t="n"/>
      <x:c r="C1964" s="8" t="n"/>
      <x:c r="D1964" s="8" t="n"/>
      <x:c r="E1964" s="8" t="n"/>
      <x:c r="F1964" s="8" t="n"/>
      <x:c r="G1964" s="7">
        <x:f>IF(A1964="","",IF(01_Parametres!$B$11="Oui",IF((01_Parametres!$B$4*(D1964&gt;0)+01_Parametres!$B$5*(E1964&gt;0)+01_Parametres!$B$6*(F1964&gt;0))=0,"",(01_Parametres!$B$4*IF(D1964&gt;0,D1964,0)+01_Parametres!$B$5*IF(E1964&gt;0,E1964,0)+01_Parametres!$B$6*IF(F1964&gt;0,F1964,0))/(01_Parametres!$B$4*(D1964&gt;0)+01_Parametres!$B$5*(E1964&gt;0)+01_Parametres!$B$6*(F1964&gt;0))),IF(01_Parametres!$B$8=0,"",(01_Parametres!$B$4*D1964+01_Parametres!$B$5*E1964+01_Parametres!$B$6*F1964)/01_Parametres!$B$8)))</x:f>
      </x:c>
      <x:c r="H1964">
        <x:f>IFERROR(VLOOKUP(C1964,02_Referentiels!$A$20:$D$99,3,FALSE),"")</x:f>
      </x:c>
      <x:c r="I1964">
        <x:f>IFERROR(VLOOKUP(B1964,02_Referentiels!$A$5:$C$16,2,FALSE),"")</x:f>
      </x:c>
      <x:c r="J1964">
        <x:f>IF(A1964="","",IF(OR(D1964="",E1964="",F1964=""),1,IF(OR(D1964&lt;0,D1964&gt;3,E1964&lt;0,E1964&gt;3,F1964&lt;0,F1964&gt;3),1,0)))</x:f>
      </x:c>
      <x:c r="K1964">
        <x:f>IF(A1964="","",IF(G1964="",1,0))</x:f>
      </x:c>
      <x:c r="L1964">
        <x:f>IF(A1964="","",IF(COUNTIFS($A$5:$A$2004,A1964,$C$5:$C$2004,C1964)&gt;1,1,0))</x:f>
      </x:c>
    </x:row>
    <x:row r="1965">
      <x:c r="A1965" s="8" t="n"/>
      <x:c r="B1965" s="8" t="n"/>
      <x:c r="C1965" s="8" t="n"/>
      <x:c r="D1965" s="8" t="n"/>
      <x:c r="E1965" s="8" t="n"/>
      <x:c r="F1965" s="8" t="n"/>
      <x:c r="G1965" s="7">
        <x:f>IF(A1965="","",IF(01_Parametres!$B$11="Oui",IF((01_Parametres!$B$4*(D1965&gt;0)+01_Parametres!$B$5*(E1965&gt;0)+01_Parametres!$B$6*(F1965&gt;0))=0,"",(01_Parametres!$B$4*IF(D1965&gt;0,D1965,0)+01_Parametres!$B$5*IF(E1965&gt;0,E1965,0)+01_Parametres!$B$6*IF(F1965&gt;0,F1965,0))/(01_Parametres!$B$4*(D1965&gt;0)+01_Parametres!$B$5*(E1965&gt;0)+01_Parametres!$B$6*(F1965&gt;0))),IF(01_Parametres!$B$8=0,"",(01_Parametres!$B$4*D1965+01_Parametres!$B$5*E1965+01_Parametres!$B$6*F1965)/01_Parametres!$B$8)))</x:f>
      </x:c>
      <x:c r="H1965">
        <x:f>IFERROR(VLOOKUP(C1965,02_Referentiels!$A$20:$D$99,3,FALSE),"")</x:f>
      </x:c>
      <x:c r="I1965">
        <x:f>IFERROR(VLOOKUP(B1965,02_Referentiels!$A$5:$C$16,2,FALSE),"")</x:f>
      </x:c>
      <x:c r="J1965">
        <x:f>IF(A1965="","",IF(OR(D1965="",E1965="",F1965=""),1,IF(OR(D1965&lt;0,D1965&gt;3,E1965&lt;0,E1965&gt;3,F1965&lt;0,F1965&gt;3),1,0)))</x:f>
      </x:c>
      <x:c r="K1965">
        <x:f>IF(A1965="","",IF(G1965="",1,0))</x:f>
      </x:c>
      <x:c r="L1965">
        <x:f>IF(A1965="","",IF(COUNTIFS($A$5:$A$2004,A1965,$C$5:$C$2004,C1965)&gt;1,1,0))</x:f>
      </x:c>
    </x:row>
    <x:row r="1966">
      <x:c r="A1966" s="8" t="n"/>
      <x:c r="B1966" s="8" t="n"/>
      <x:c r="C1966" s="8" t="n"/>
      <x:c r="D1966" s="8" t="n"/>
      <x:c r="E1966" s="8" t="n"/>
      <x:c r="F1966" s="8" t="n"/>
      <x:c r="G1966" s="7">
        <x:f>IF(A1966="","",IF(01_Parametres!$B$11="Oui",IF((01_Parametres!$B$4*(D1966&gt;0)+01_Parametres!$B$5*(E1966&gt;0)+01_Parametres!$B$6*(F1966&gt;0))=0,"",(01_Parametres!$B$4*IF(D1966&gt;0,D1966,0)+01_Parametres!$B$5*IF(E1966&gt;0,E1966,0)+01_Parametres!$B$6*IF(F1966&gt;0,F1966,0))/(01_Parametres!$B$4*(D1966&gt;0)+01_Parametres!$B$5*(E1966&gt;0)+01_Parametres!$B$6*(F1966&gt;0))),IF(01_Parametres!$B$8=0,"",(01_Parametres!$B$4*D1966+01_Parametres!$B$5*E1966+01_Parametres!$B$6*F1966)/01_Parametres!$B$8)))</x:f>
      </x:c>
      <x:c r="H1966">
        <x:f>IFERROR(VLOOKUP(C1966,02_Referentiels!$A$20:$D$99,3,FALSE),"")</x:f>
      </x:c>
      <x:c r="I1966">
        <x:f>IFERROR(VLOOKUP(B1966,02_Referentiels!$A$5:$C$16,2,FALSE),"")</x:f>
      </x:c>
      <x:c r="J1966">
        <x:f>IF(A1966="","",IF(OR(D1966="",E1966="",F1966=""),1,IF(OR(D1966&lt;0,D1966&gt;3,E1966&lt;0,E1966&gt;3,F1966&lt;0,F1966&gt;3),1,0)))</x:f>
      </x:c>
      <x:c r="K1966">
        <x:f>IF(A1966="","",IF(G1966="",1,0))</x:f>
      </x:c>
      <x:c r="L1966">
        <x:f>IF(A1966="","",IF(COUNTIFS($A$5:$A$2004,A1966,$C$5:$C$2004,C1966)&gt;1,1,0))</x:f>
      </x:c>
    </x:row>
    <x:row r="1967">
      <x:c r="A1967" s="8" t="n"/>
      <x:c r="B1967" s="8" t="n"/>
      <x:c r="C1967" s="8" t="n"/>
      <x:c r="D1967" s="8" t="n"/>
      <x:c r="E1967" s="8" t="n"/>
      <x:c r="F1967" s="8" t="n"/>
      <x:c r="G1967" s="7">
        <x:f>IF(A1967="","",IF(01_Parametres!$B$11="Oui",IF((01_Parametres!$B$4*(D1967&gt;0)+01_Parametres!$B$5*(E1967&gt;0)+01_Parametres!$B$6*(F1967&gt;0))=0,"",(01_Parametres!$B$4*IF(D1967&gt;0,D1967,0)+01_Parametres!$B$5*IF(E1967&gt;0,E1967,0)+01_Parametres!$B$6*IF(F1967&gt;0,F1967,0))/(01_Parametres!$B$4*(D1967&gt;0)+01_Parametres!$B$5*(E1967&gt;0)+01_Parametres!$B$6*(F1967&gt;0))),IF(01_Parametres!$B$8=0,"",(01_Parametres!$B$4*D1967+01_Parametres!$B$5*E1967+01_Parametres!$B$6*F1967)/01_Parametres!$B$8)))</x:f>
      </x:c>
      <x:c r="H1967">
        <x:f>IFERROR(VLOOKUP(C1967,02_Referentiels!$A$20:$D$99,3,FALSE),"")</x:f>
      </x:c>
      <x:c r="I1967">
        <x:f>IFERROR(VLOOKUP(B1967,02_Referentiels!$A$5:$C$16,2,FALSE),"")</x:f>
      </x:c>
      <x:c r="J1967">
        <x:f>IF(A1967="","",IF(OR(D1967="",E1967="",F1967=""),1,IF(OR(D1967&lt;0,D1967&gt;3,E1967&lt;0,E1967&gt;3,F1967&lt;0,F1967&gt;3),1,0)))</x:f>
      </x:c>
      <x:c r="K1967">
        <x:f>IF(A1967="","",IF(G1967="",1,0))</x:f>
      </x:c>
      <x:c r="L1967">
        <x:f>IF(A1967="","",IF(COUNTIFS($A$5:$A$2004,A1967,$C$5:$C$2004,C1967)&gt;1,1,0))</x:f>
      </x:c>
    </x:row>
    <x:row r="1968">
      <x:c r="A1968" s="8" t="n"/>
      <x:c r="B1968" s="8" t="n"/>
      <x:c r="C1968" s="8" t="n"/>
      <x:c r="D1968" s="8" t="n"/>
      <x:c r="E1968" s="8" t="n"/>
      <x:c r="F1968" s="8" t="n"/>
      <x:c r="G1968" s="7">
        <x:f>IF(A1968="","",IF(01_Parametres!$B$11="Oui",IF((01_Parametres!$B$4*(D1968&gt;0)+01_Parametres!$B$5*(E1968&gt;0)+01_Parametres!$B$6*(F1968&gt;0))=0,"",(01_Parametres!$B$4*IF(D1968&gt;0,D1968,0)+01_Parametres!$B$5*IF(E1968&gt;0,E1968,0)+01_Parametres!$B$6*IF(F1968&gt;0,F1968,0))/(01_Parametres!$B$4*(D1968&gt;0)+01_Parametres!$B$5*(E1968&gt;0)+01_Parametres!$B$6*(F1968&gt;0))),IF(01_Parametres!$B$8=0,"",(01_Parametres!$B$4*D1968+01_Parametres!$B$5*E1968+01_Parametres!$B$6*F1968)/01_Parametres!$B$8)))</x:f>
      </x:c>
      <x:c r="H1968">
        <x:f>IFERROR(VLOOKUP(C1968,02_Referentiels!$A$20:$D$99,3,FALSE),"")</x:f>
      </x:c>
      <x:c r="I1968">
        <x:f>IFERROR(VLOOKUP(B1968,02_Referentiels!$A$5:$C$16,2,FALSE),"")</x:f>
      </x:c>
      <x:c r="J1968">
        <x:f>IF(A1968="","",IF(OR(D1968="",E1968="",F1968=""),1,IF(OR(D1968&lt;0,D1968&gt;3,E1968&lt;0,E1968&gt;3,F1968&lt;0,F1968&gt;3),1,0)))</x:f>
      </x:c>
      <x:c r="K1968">
        <x:f>IF(A1968="","",IF(G1968="",1,0))</x:f>
      </x:c>
      <x:c r="L1968">
        <x:f>IF(A1968="","",IF(COUNTIFS($A$5:$A$2004,A1968,$C$5:$C$2004,C1968)&gt;1,1,0))</x:f>
      </x:c>
    </x:row>
    <x:row r="1969">
      <x:c r="A1969" s="8" t="n"/>
      <x:c r="B1969" s="8" t="n"/>
      <x:c r="C1969" s="8" t="n"/>
      <x:c r="D1969" s="8" t="n"/>
      <x:c r="E1969" s="8" t="n"/>
      <x:c r="F1969" s="8" t="n"/>
      <x:c r="G1969" s="7">
        <x:f>IF(A1969="","",IF(01_Parametres!$B$11="Oui",IF((01_Parametres!$B$4*(D1969&gt;0)+01_Parametres!$B$5*(E1969&gt;0)+01_Parametres!$B$6*(F1969&gt;0))=0,"",(01_Parametres!$B$4*IF(D1969&gt;0,D1969,0)+01_Parametres!$B$5*IF(E1969&gt;0,E1969,0)+01_Parametres!$B$6*IF(F1969&gt;0,F1969,0))/(01_Parametres!$B$4*(D1969&gt;0)+01_Parametres!$B$5*(E1969&gt;0)+01_Parametres!$B$6*(F1969&gt;0))),IF(01_Parametres!$B$8=0,"",(01_Parametres!$B$4*D1969+01_Parametres!$B$5*E1969+01_Parametres!$B$6*F1969)/01_Parametres!$B$8)))</x:f>
      </x:c>
      <x:c r="H1969">
        <x:f>IFERROR(VLOOKUP(C1969,02_Referentiels!$A$20:$D$99,3,FALSE),"")</x:f>
      </x:c>
      <x:c r="I1969">
        <x:f>IFERROR(VLOOKUP(B1969,02_Referentiels!$A$5:$C$16,2,FALSE),"")</x:f>
      </x:c>
      <x:c r="J1969">
        <x:f>IF(A1969="","",IF(OR(D1969="",E1969="",F1969=""),1,IF(OR(D1969&lt;0,D1969&gt;3,E1969&lt;0,E1969&gt;3,F1969&lt;0,F1969&gt;3),1,0)))</x:f>
      </x:c>
      <x:c r="K1969">
        <x:f>IF(A1969="","",IF(G1969="",1,0))</x:f>
      </x:c>
      <x:c r="L1969">
        <x:f>IF(A1969="","",IF(COUNTIFS($A$5:$A$2004,A1969,$C$5:$C$2004,C1969)&gt;1,1,0))</x:f>
      </x:c>
    </x:row>
    <x:row r="1970">
      <x:c r="A1970" s="8" t="n"/>
      <x:c r="B1970" s="8" t="n"/>
      <x:c r="C1970" s="8" t="n"/>
      <x:c r="D1970" s="8" t="n"/>
      <x:c r="E1970" s="8" t="n"/>
      <x:c r="F1970" s="8" t="n"/>
      <x:c r="G1970" s="7">
        <x:f>IF(A1970="","",IF(01_Parametres!$B$11="Oui",IF((01_Parametres!$B$4*(D1970&gt;0)+01_Parametres!$B$5*(E1970&gt;0)+01_Parametres!$B$6*(F1970&gt;0))=0,"",(01_Parametres!$B$4*IF(D1970&gt;0,D1970,0)+01_Parametres!$B$5*IF(E1970&gt;0,E1970,0)+01_Parametres!$B$6*IF(F1970&gt;0,F1970,0))/(01_Parametres!$B$4*(D1970&gt;0)+01_Parametres!$B$5*(E1970&gt;0)+01_Parametres!$B$6*(F1970&gt;0))),IF(01_Parametres!$B$8=0,"",(01_Parametres!$B$4*D1970+01_Parametres!$B$5*E1970+01_Parametres!$B$6*F1970)/01_Parametres!$B$8)))</x:f>
      </x:c>
      <x:c r="H1970">
        <x:f>IFERROR(VLOOKUP(C1970,02_Referentiels!$A$20:$D$99,3,FALSE),"")</x:f>
      </x:c>
      <x:c r="I1970">
        <x:f>IFERROR(VLOOKUP(B1970,02_Referentiels!$A$5:$C$16,2,FALSE),"")</x:f>
      </x:c>
      <x:c r="J1970">
        <x:f>IF(A1970="","",IF(OR(D1970="",E1970="",F1970=""),1,IF(OR(D1970&lt;0,D1970&gt;3,E1970&lt;0,E1970&gt;3,F1970&lt;0,F1970&gt;3),1,0)))</x:f>
      </x:c>
      <x:c r="K1970">
        <x:f>IF(A1970="","",IF(G1970="",1,0))</x:f>
      </x:c>
      <x:c r="L1970">
        <x:f>IF(A1970="","",IF(COUNTIFS($A$5:$A$2004,A1970,$C$5:$C$2004,C1970)&gt;1,1,0))</x:f>
      </x:c>
    </x:row>
    <x:row r="1971">
      <x:c r="A1971" s="8" t="n"/>
      <x:c r="B1971" s="8" t="n"/>
      <x:c r="C1971" s="8" t="n"/>
      <x:c r="D1971" s="8" t="n"/>
      <x:c r="E1971" s="8" t="n"/>
      <x:c r="F1971" s="8" t="n"/>
      <x:c r="G1971" s="7">
        <x:f>IF(A1971="","",IF(01_Parametres!$B$11="Oui",IF((01_Parametres!$B$4*(D1971&gt;0)+01_Parametres!$B$5*(E1971&gt;0)+01_Parametres!$B$6*(F1971&gt;0))=0,"",(01_Parametres!$B$4*IF(D1971&gt;0,D1971,0)+01_Parametres!$B$5*IF(E1971&gt;0,E1971,0)+01_Parametres!$B$6*IF(F1971&gt;0,F1971,0))/(01_Parametres!$B$4*(D1971&gt;0)+01_Parametres!$B$5*(E1971&gt;0)+01_Parametres!$B$6*(F1971&gt;0))),IF(01_Parametres!$B$8=0,"",(01_Parametres!$B$4*D1971+01_Parametres!$B$5*E1971+01_Parametres!$B$6*F1971)/01_Parametres!$B$8)))</x:f>
      </x:c>
      <x:c r="H1971">
        <x:f>IFERROR(VLOOKUP(C1971,02_Referentiels!$A$20:$D$99,3,FALSE),"")</x:f>
      </x:c>
      <x:c r="I1971">
        <x:f>IFERROR(VLOOKUP(B1971,02_Referentiels!$A$5:$C$16,2,FALSE),"")</x:f>
      </x:c>
      <x:c r="J1971">
        <x:f>IF(A1971="","",IF(OR(D1971="",E1971="",F1971=""),1,IF(OR(D1971&lt;0,D1971&gt;3,E1971&lt;0,E1971&gt;3,F1971&lt;0,F1971&gt;3),1,0)))</x:f>
      </x:c>
      <x:c r="K1971">
        <x:f>IF(A1971="","",IF(G1971="",1,0))</x:f>
      </x:c>
      <x:c r="L1971">
        <x:f>IF(A1971="","",IF(COUNTIFS($A$5:$A$2004,A1971,$C$5:$C$2004,C1971)&gt;1,1,0))</x:f>
      </x:c>
    </x:row>
    <x:row r="1972">
      <x:c r="A1972" s="8" t="n"/>
      <x:c r="B1972" s="8" t="n"/>
      <x:c r="C1972" s="8" t="n"/>
      <x:c r="D1972" s="8" t="n"/>
      <x:c r="E1972" s="8" t="n"/>
      <x:c r="F1972" s="8" t="n"/>
      <x:c r="G1972" s="7">
        <x:f>IF(A1972="","",IF(01_Parametres!$B$11="Oui",IF((01_Parametres!$B$4*(D1972&gt;0)+01_Parametres!$B$5*(E1972&gt;0)+01_Parametres!$B$6*(F1972&gt;0))=0,"",(01_Parametres!$B$4*IF(D1972&gt;0,D1972,0)+01_Parametres!$B$5*IF(E1972&gt;0,E1972,0)+01_Parametres!$B$6*IF(F1972&gt;0,F1972,0))/(01_Parametres!$B$4*(D1972&gt;0)+01_Parametres!$B$5*(E1972&gt;0)+01_Parametres!$B$6*(F1972&gt;0))),IF(01_Parametres!$B$8=0,"",(01_Parametres!$B$4*D1972+01_Parametres!$B$5*E1972+01_Parametres!$B$6*F1972)/01_Parametres!$B$8)))</x:f>
      </x:c>
      <x:c r="H1972">
        <x:f>IFERROR(VLOOKUP(C1972,02_Referentiels!$A$20:$D$99,3,FALSE),"")</x:f>
      </x:c>
      <x:c r="I1972">
        <x:f>IFERROR(VLOOKUP(B1972,02_Referentiels!$A$5:$C$16,2,FALSE),"")</x:f>
      </x:c>
      <x:c r="J1972">
        <x:f>IF(A1972="","",IF(OR(D1972="",E1972="",F1972=""),1,IF(OR(D1972&lt;0,D1972&gt;3,E1972&lt;0,E1972&gt;3,F1972&lt;0,F1972&gt;3),1,0)))</x:f>
      </x:c>
      <x:c r="K1972">
        <x:f>IF(A1972="","",IF(G1972="",1,0))</x:f>
      </x:c>
      <x:c r="L1972">
        <x:f>IF(A1972="","",IF(COUNTIFS($A$5:$A$2004,A1972,$C$5:$C$2004,C1972)&gt;1,1,0))</x:f>
      </x:c>
    </x:row>
    <x:row r="1973">
      <x:c r="A1973" s="8" t="n"/>
      <x:c r="B1973" s="8" t="n"/>
      <x:c r="C1973" s="8" t="n"/>
      <x:c r="D1973" s="8" t="n"/>
      <x:c r="E1973" s="8" t="n"/>
      <x:c r="F1973" s="8" t="n"/>
      <x:c r="G1973" s="7">
        <x:f>IF(A1973="","",IF(01_Parametres!$B$11="Oui",IF((01_Parametres!$B$4*(D1973&gt;0)+01_Parametres!$B$5*(E1973&gt;0)+01_Parametres!$B$6*(F1973&gt;0))=0,"",(01_Parametres!$B$4*IF(D1973&gt;0,D1973,0)+01_Parametres!$B$5*IF(E1973&gt;0,E1973,0)+01_Parametres!$B$6*IF(F1973&gt;0,F1973,0))/(01_Parametres!$B$4*(D1973&gt;0)+01_Parametres!$B$5*(E1973&gt;0)+01_Parametres!$B$6*(F1973&gt;0))),IF(01_Parametres!$B$8=0,"",(01_Parametres!$B$4*D1973+01_Parametres!$B$5*E1973+01_Parametres!$B$6*F1973)/01_Parametres!$B$8)))</x:f>
      </x:c>
      <x:c r="H1973">
        <x:f>IFERROR(VLOOKUP(C1973,02_Referentiels!$A$20:$D$99,3,FALSE),"")</x:f>
      </x:c>
      <x:c r="I1973">
        <x:f>IFERROR(VLOOKUP(B1973,02_Referentiels!$A$5:$C$16,2,FALSE),"")</x:f>
      </x:c>
      <x:c r="J1973">
        <x:f>IF(A1973="","",IF(OR(D1973="",E1973="",F1973=""),1,IF(OR(D1973&lt;0,D1973&gt;3,E1973&lt;0,E1973&gt;3,F1973&lt;0,F1973&gt;3),1,0)))</x:f>
      </x:c>
      <x:c r="K1973">
        <x:f>IF(A1973="","",IF(G1973="",1,0))</x:f>
      </x:c>
      <x:c r="L1973">
        <x:f>IF(A1973="","",IF(COUNTIFS($A$5:$A$2004,A1973,$C$5:$C$2004,C1973)&gt;1,1,0))</x:f>
      </x:c>
    </x:row>
    <x:row r="1974">
      <x:c r="A1974" s="8" t="n"/>
      <x:c r="B1974" s="8" t="n"/>
      <x:c r="C1974" s="8" t="n"/>
      <x:c r="D1974" s="8" t="n"/>
      <x:c r="E1974" s="8" t="n"/>
      <x:c r="F1974" s="8" t="n"/>
      <x:c r="G1974" s="7">
        <x:f>IF(A1974="","",IF(01_Parametres!$B$11="Oui",IF((01_Parametres!$B$4*(D1974&gt;0)+01_Parametres!$B$5*(E1974&gt;0)+01_Parametres!$B$6*(F1974&gt;0))=0,"",(01_Parametres!$B$4*IF(D1974&gt;0,D1974,0)+01_Parametres!$B$5*IF(E1974&gt;0,E1974,0)+01_Parametres!$B$6*IF(F1974&gt;0,F1974,0))/(01_Parametres!$B$4*(D1974&gt;0)+01_Parametres!$B$5*(E1974&gt;0)+01_Parametres!$B$6*(F1974&gt;0))),IF(01_Parametres!$B$8=0,"",(01_Parametres!$B$4*D1974+01_Parametres!$B$5*E1974+01_Parametres!$B$6*F1974)/01_Parametres!$B$8)))</x:f>
      </x:c>
      <x:c r="H1974">
        <x:f>IFERROR(VLOOKUP(C1974,02_Referentiels!$A$20:$D$99,3,FALSE),"")</x:f>
      </x:c>
      <x:c r="I1974">
        <x:f>IFERROR(VLOOKUP(B1974,02_Referentiels!$A$5:$C$16,2,FALSE),"")</x:f>
      </x:c>
      <x:c r="J1974">
        <x:f>IF(A1974="","",IF(OR(D1974="",E1974="",F1974=""),1,IF(OR(D1974&lt;0,D1974&gt;3,E1974&lt;0,E1974&gt;3,F1974&lt;0,F1974&gt;3),1,0)))</x:f>
      </x:c>
      <x:c r="K1974">
        <x:f>IF(A1974="","",IF(G1974="",1,0))</x:f>
      </x:c>
      <x:c r="L1974">
        <x:f>IF(A1974="","",IF(COUNTIFS($A$5:$A$2004,A1974,$C$5:$C$2004,C1974)&gt;1,1,0))</x:f>
      </x:c>
    </x:row>
    <x:row r="1975">
      <x:c r="A1975" s="8" t="n"/>
      <x:c r="B1975" s="8" t="n"/>
      <x:c r="C1975" s="8" t="n"/>
      <x:c r="D1975" s="8" t="n"/>
      <x:c r="E1975" s="8" t="n"/>
      <x:c r="F1975" s="8" t="n"/>
      <x:c r="G1975" s="7">
        <x:f>IF(A1975="","",IF(01_Parametres!$B$11="Oui",IF((01_Parametres!$B$4*(D1975&gt;0)+01_Parametres!$B$5*(E1975&gt;0)+01_Parametres!$B$6*(F1975&gt;0))=0,"",(01_Parametres!$B$4*IF(D1975&gt;0,D1975,0)+01_Parametres!$B$5*IF(E1975&gt;0,E1975,0)+01_Parametres!$B$6*IF(F1975&gt;0,F1975,0))/(01_Parametres!$B$4*(D1975&gt;0)+01_Parametres!$B$5*(E1975&gt;0)+01_Parametres!$B$6*(F1975&gt;0))),IF(01_Parametres!$B$8=0,"",(01_Parametres!$B$4*D1975+01_Parametres!$B$5*E1975+01_Parametres!$B$6*F1975)/01_Parametres!$B$8)))</x:f>
      </x:c>
      <x:c r="H1975">
        <x:f>IFERROR(VLOOKUP(C1975,02_Referentiels!$A$20:$D$99,3,FALSE),"")</x:f>
      </x:c>
      <x:c r="I1975">
        <x:f>IFERROR(VLOOKUP(B1975,02_Referentiels!$A$5:$C$16,2,FALSE),"")</x:f>
      </x:c>
      <x:c r="J1975">
        <x:f>IF(A1975="","",IF(OR(D1975="",E1975="",F1975=""),1,IF(OR(D1975&lt;0,D1975&gt;3,E1975&lt;0,E1975&gt;3,F1975&lt;0,F1975&gt;3),1,0)))</x:f>
      </x:c>
      <x:c r="K1975">
        <x:f>IF(A1975="","",IF(G1975="",1,0))</x:f>
      </x:c>
      <x:c r="L1975">
        <x:f>IF(A1975="","",IF(COUNTIFS($A$5:$A$2004,A1975,$C$5:$C$2004,C1975)&gt;1,1,0))</x:f>
      </x:c>
    </x:row>
    <x:row r="1976">
      <x:c r="A1976" s="8" t="n"/>
      <x:c r="B1976" s="8" t="n"/>
      <x:c r="C1976" s="8" t="n"/>
      <x:c r="D1976" s="8" t="n"/>
      <x:c r="E1976" s="8" t="n"/>
      <x:c r="F1976" s="8" t="n"/>
      <x:c r="G1976" s="7">
        <x:f>IF(A1976="","",IF(01_Parametres!$B$11="Oui",IF((01_Parametres!$B$4*(D1976&gt;0)+01_Parametres!$B$5*(E1976&gt;0)+01_Parametres!$B$6*(F1976&gt;0))=0,"",(01_Parametres!$B$4*IF(D1976&gt;0,D1976,0)+01_Parametres!$B$5*IF(E1976&gt;0,E1976,0)+01_Parametres!$B$6*IF(F1976&gt;0,F1976,0))/(01_Parametres!$B$4*(D1976&gt;0)+01_Parametres!$B$5*(E1976&gt;0)+01_Parametres!$B$6*(F1976&gt;0))),IF(01_Parametres!$B$8=0,"",(01_Parametres!$B$4*D1976+01_Parametres!$B$5*E1976+01_Parametres!$B$6*F1976)/01_Parametres!$B$8)))</x:f>
      </x:c>
      <x:c r="H1976">
        <x:f>IFERROR(VLOOKUP(C1976,02_Referentiels!$A$20:$D$99,3,FALSE),"")</x:f>
      </x:c>
      <x:c r="I1976">
        <x:f>IFERROR(VLOOKUP(B1976,02_Referentiels!$A$5:$C$16,2,FALSE),"")</x:f>
      </x:c>
      <x:c r="J1976">
        <x:f>IF(A1976="","",IF(OR(D1976="",E1976="",F1976=""),1,IF(OR(D1976&lt;0,D1976&gt;3,E1976&lt;0,E1976&gt;3,F1976&lt;0,F1976&gt;3),1,0)))</x:f>
      </x:c>
      <x:c r="K1976">
        <x:f>IF(A1976="","",IF(G1976="",1,0))</x:f>
      </x:c>
      <x:c r="L1976">
        <x:f>IF(A1976="","",IF(COUNTIFS($A$5:$A$2004,A1976,$C$5:$C$2004,C1976)&gt;1,1,0))</x:f>
      </x:c>
    </x:row>
    <x:row r="1977">
      <x:c r="A1977" s="8" t="n"/>
      <x:c r="B1977" s="8" t="n"/>
      <x:c r="C1977" s="8" t="n"/>
      <x:c r="D1977" s="8" t="n"/>
      <x:c r="E1977" s="8" t="n"/>
      <x:c r="F1977" s="8" t="n"/>
      <x:c r="G1977" s="7">
        <x:f>IF(A1977="","",IF(01_Parametres!$B$11="Oui",IF((01_Parametres!$B$4*(D1977&gt;0)+01_Parametres!$B$5*(E1977&gt;0)+01_Parametres!$B$6*(F1977&gt;0))=0,"",(01_Parametres!$B$4*IF(D1977&gt;0,D1977,0)+01_Parametres!$B$5*IF(E1977&gt;0,E1977,0)+01_Parametres!$B$6*IF(F1977&gt;0,F1977,0))/(01_Parametres!$B$4*(D1977&gt;0)+01_Parametres!$B$5*(E1977&gt;0)+01_Parametres!$B$6*(F1977&gt;0))),IF(01_Parametres!$B$8=0,"",(01_Parametres!$B$4*D1977+01_Parametres!$B$5*E1977+01_Parametres!$B$6*F1977)/01_Parametres!$B$8)))</x:f>
      </x:c>
      <x:c r="H1977">
        <x:f>IFERROR(VLOOKUP(C1977,02_Referentiels!$A$20:$D$99,3,FALSE),"")</x:f>
      </x:c>
      <x:c r="I1977">
        <x:f>IFERROR(VLOOKUP(B1977,02_Referentiels!$A$5:$C$16,2,FALSE),"")</x:f>
      </x:c>
      <x:c r="J1977">
        <x:f>IF(A1977="","",IF(OR(D1977="",E1977="",F1977=""),1,IF(OR(D1977&lt;0,D1977&gt;3,E1977&lt;0,E1977&gt;3,F1977&lt;0,F1977&gt;3),1,0)))</x:f>
      </x:c>
      <x:c r="K1977">
        <x:f>IF(A1977="","",IF(G1977="",1,0))</x:f>
      </x:c>
      <x:c r="L1977">
        <x:f>IF(A1977="","",IF(COUNTIFS($A$5:$A$2004,A1977,$C$5:$C$2004,C1977)&gt;1,1,0))</x:f>
      </x:c>
    </x:row>
    <x:row r="1978">
      <x:c r="A1978" s="8" t="n"/>
      <x:c r="B1978" s="8" t="n"/>
      <x:c r="C1978" s="8" t="n"/>
      <x:c r="D1978" s="8" t="n"/>
      <x:c r="E1978" s="8" t="n"/>
      <x:c r="F1978" s="8" t="n"/>
      <x:c r="G1978" s="7">
        <x:f>IF(A1978="","",IF(01_Parametres!$B$11="Oui",IF((01_Parametres!$B$4*(D1978&gt;0)+01_Parametres!$B$5*(E1978&gt;0)+01_Parametres!$B$6*(F1978&gt;0))=0,"",(01_Parametres!$B$4*IF(D1978&gt;0,D1978,0)+01_Parametres!$B$5*IF(E1978&gt;0,E1978,0)+01_Parametres!$B$6*IF(F1978&gt;0,F1978,0))/(01_Parametres!$B$4*(D1978&gt;0)+01_Parametres!$B$5*(E1978&gt;0)+01_Parametres!$B$6*(F1978&gt;0))),IF(01_Parametres!$B$8=0,"",(01_Parametres!$B$4*D1978+01_Parametres!$B$5*E1978+01_Parametres!$B$6*F1978)/01_Parametres!$B$8)))</x:f>
      </x:c>
      <x:c r="H1978">
        <x:f>IFERROR(VLOOKUP(C1978,02_Referentiels!$A$20:$D$99,3,FALSE),"")</x:f>
      </x:c>
      <x:c r="I1978">
        <x:f>IFERROR(VLOOKUP(B1978,02_Referentiels!$A$5:$C$16,2,FALSE),"")</x:f>
      </x:c>
      <x:c r="J1978">
        <x:f>IF(A1978="","",IF(OR(D1978="",E1978="",F1978=""),1,IF(OR(D1978&lt;0,D1978&gt;3,E1978&lt;0,E1978&gt;3,F1978&lt;0,F1978&gt;3),1,0)))</x:f>
      </x:c>
      <x:c r="K1978">
        <x:f>IF(A1978="","",IF(G1978="",1,0))</x:f>
      </x:c>
      <x:c r="L1978">
        <x:f>IF(A1978="","",IF(COUNTIFS($A$5:$A$2004,A1978,$C$5:$C$2004,C1978)&gt;1,1,0))</x:f>
      </x:c>
    </x:row>
    <x:row r="1979">
      <x:c r="A1979" s="8" t="n"/>
      <x:c r="B1979" s="8" t="n"/>
      <x:c r="C1979" s="8" t="n"/>
      <x:c r="D1979" s="8" t="n"/>
      <x:c r="E1979" s="8" t="n"/>
      <x:c r="F1979" s="8" t="n"/>
      <x:c r="G1979" s="7">
        <x:f>IF(A1979="","",IF(01_Parametres!$B$11="Oui",IF((01_Parametres!$B$4*(D1979&gt;0)+01_Parametres!$B$5*(E1979&gt;0)+01_Parametres!$B$6*(F1979&gt;0))=0,"",(01_Parametres!$B$4*IF(D1979&gt;0,D1979,0)+01_Parametres!$B$5*IF(E1979&gt;0,E1979,0)+01_Parametres!$B$6*IF(F1979&gt;0,F1979,0))/(01_Parametres!$B$4*(D1979&gt;0)+01_Parametres!$B$5*(E1979&gt;0)+01_Parametres!$B$6*(F1979&gt;0))),IF(01_Parametres!$B$8=0,"",(01_Parametres!$B$4*D1979+01_Parametres!$B$5*E1979+01_Parametres!$B$6*F1979)/01_Parametres!$B$8)))</x:f>
      </x:c>
      <x:c r="H1979">
        <x:f>IFERROR(VLOOKUP(C1979,02_Referentiels!$A$20:$D$99,3,FALSE),"")</x:f>
      </x:c>
      <x:c r="I1979">
        <x:f>IFERROR(VLOOKUP(B1979,02_Referentiels!$A$5:$C$16,2,FALSE),"")</x:f>
      </x:c>
      <x:c r="J1979">
        <x:f>IF(A1979="","",IF(OR(D1979="",E1979="",F1979=""),1,IF(OR(D1979&lt;0,D1979&gt;3,E1979&lt;0,E1979&gt;3,F1979&lt;0,F1979&gt;3),1,0)))</x:f>
      </x:c>
      <x:c r="K1979">
        <x:f>IF(A1979="","",IF(G1979="",1,0))</x:f>
      </x:c>
      <x:c r="L1979">
        <x:f>IF(A1979="","",IF(COUNTIFS($A$5:$A$2004,A1979,$C$5:$C$2004,C1979)&gt;1,1,0))</x:f>
      </x:c>
    </x:row>
    <x:row r="1980">
      <x:c r="A1980" s="8" t="n"/>
      <x:c r="B1980" s="8" t="n"/>
      <x:c r="C1980" s="8" t="n"/>
      <x:c r="D1980" s="8" t="n"/>
      <x:c r="E1980" s="8" t="n"/>
      <x:c r="F1980" s="8" t="n"/>
      <x:c r="G1980" s="7">
        <x:f>IF(A1980="","",IF(01_Parametres!$B$11="Oui",IF((01_Parametres!$B$4*(D1980&gt;0)+01_Parametres!$B$5*(E1980&gt;0)+01_Parametres!$B$6*(F1980&gt;0))=0,"",(01_Parametres!$B$4*IF(D1980&gt;0,D1980,0)+01_Parametres!$B$5*IF(E1980&gt;0,E1980,0)+01_Parametres!$B$6*IF(F1980&gt;0,F1980,0))/(01_Parametres!$B$4*(D1980&gt;0)+01_Parametres!$B$5*(E1980&gt;0)+01_Parametres!$B$6*(F1980&gt;0))),IF(01_Parametres!$B$8=0,"",(01_Parametres!$B$4*D1980+01_Parametres!$B$5*E1980+01_Parametres!$B$6*F1980)/01_Parametres!$B$8)))</x:f>
      </x:c>
      <x:c r="H1980">
        <x:f>IFERROR(VLOOKUP(C1980,02_Referentiels!$A$20:$D$99,3,FALSE),"")</x:f>
      </x:c>
      <x:c r="I1980">
        <x:f>IFERROR(VLOOKUP(B1980,02_Referentiels!$A$5:$C$16,2,FALSE),"")</x:f>
      </x:c>
      <x:c r="J1980">
        <x:f>IF(A1980="","",IF(OR(D1980="",E1980="",F1980=""),1,IF(OR(D1980&lt;0,D1980&gt;3,E1980&lt;0,E1980&gt;3,F1980&lt;0,F1980&gt;3),1,0)))</x:f>
      </x:c>
      <x:c r="K1980">
        <x:f>IF(A1980="","",IF(G1980="",1,0))</x:f>
      </x:c>
      <x:c r="L1980">
        <x:f>IF(A1980="","",IF(COUNTIFS($A$5:$A$2004,A1980,$C$5:$C$2004,C1980)&gt;1,1,0))</x:f>
      </x:c>
    </x:row>
    <x:row r="1981">
      <x:c r="A1981" s="8" t="n"/>
      <x:c r="B1981" s="8" t="n"/>
      <x:c r="C1981" s="8" t="n"/>
      <x:c r="D1981" s="8" t="n"/>
      <x:c r="E1981" s="8" t="n"/>
      <x:c r="F1981" s="8" t="n"/>
      <x:c r="G1981" s="7">
        <x:f>IF(A1981="","",IF(01_Parametres!$B$11="Oui",IF((01_Parametres!$B$4*(D1981&gt;0)+01_Parametres!$B$5*(E1981&gt;0)+01_Parametres!$B$6*(F1981&gt;0))=0,"",(01_Parametres!$B$4*IF(D1981&gt;0,D1981,0)+01_Parametres!$B$5*IF(E1981&gt;0,E1981,0)+01_Parametres!$B$6*IF(F1981&gt;0,F1981,0))/(01_Parametres!$B$4*(D1981&gt;0)+01_Parametres!$B$5*(E1981&gt;0)+01_Parametres!$B$6*(F1981&gt;0))),IF(01_Parametres!$B$8=0,"",(01_Parametres!$B$4*D1981+01_Parametres!$B$5*E1981+01_Parametres!$B$6*F1981)/01_Parametres!$B$8)))</x:f>
      </x:c>
      <x:c r="H1981">
        <x:f>IFERROR(VLOOKUP(C1981,02_Referentiels!$A$20:$D$99,3,FALSE),"")</x:f>
      </x:c>
      <x:c r="I1981">
        <x:f>IFERROR(VLOOKUP(B1981,02_Referentiels!$A$5:$C$16,2,FALSE),"")</x:f>
      </x:c>
      <x:c r="J1981">
        <x:f>IF(A1981="","",IF(OR(D1981="",E1981="",F1981=""),1,IF(OR(D1981&lt;0,D1981&gt;3,E1981&lt;0,E1981&gt;3,F1981&lt;0,F1981&gt;3),1,0)))</x:f>
      </x:c>
      <x:c r="K1981">
        <x:f>IF(A1981="","",IF(G1981="",1,0))</x:f>
      </x:c>
      <x:c r="L1981">
        <x:f>IF(A1981="","",IF(COUNTIFS($A$5:$A$2004,A1981,$C$5:$C$2004,C1981)&gt;1,1,0))</x:f>
      </x:c>
    </x:row>
    <x:row r="1982">
      <x:c r="A1982" s="8" t="n"/>
      <x:c r="B1982" s="8" t="n"/>
      <x:c r="C1982" s="8" t="n"/>
      <x:c r="D1982" s="8" t="n"/>
      <x:c r="E1982" s="8" t="n"/>
      <x:c r="F1982" s="8" t="n"/>
      <x:c r="G1982" s="7">
        <x:f>IF(A1982="","",IF(01_Parametres!$B$11="Oui",IF((01_Parametres!$B$4*(D1982&gt;0)+01_Parametres!$B$5*(E1982&gt;0)+01_Parametres!$B$6*(F1982&gt;0))=0,"",(01_Parametres!$B$4*IF(D1982&gt;0,D1982,0)+01_Parametres!$B$5*IF(E1982&gt;0,E1982,0)+01_Parametres!$B$6*IF(F1982&gt;0,F1982,0))/(01_Parametres!$B$4*(D1982&gt;0)+01_Parametres!$B$5*(E1982&gt;0)+01_Parametres!$B$6*(F1982&gt;0))),IF(01_Parametres!$B$8=0,"",(01_Parametres!$B$4*D1982+01_Parametres!$B$5*E1982+01_Parametres!$B$6*F1982)/01_Parametres!$B$8)))</x:f>
      </x:c>
      <x:c r="H1982">
        <x:f>IFERROR(VLOOKUP(C1982,02_Referentiels!$A$20:$D$99,3,FALSE),"")</x:f>
      </x:c>
      <x:c r="I1982">
        <x:f>IFERROR(VLOOKUP(B1982,02_Referentiels!$A$5:$C$16,2,FALSE),"")</x:f>
      </x:c>
      <x:c r="J1982">
        <x:f>IF(A1982="","",IF(OR(D1982="",E1982="",F1982=""),1,IF(OR(D1982&lt;0,D1982&gt;3,E1982&lt;0,E1982&gt;3,F1982&lt;0,F1982&gt;3),1,0)))</x:f>
      </x:c>
      <x:c r="K1982">
        <x:f>IF(A1982="","",IF(G1982="",1,0))</x:f>
      </x:c>
      <x:c r="L1982">
        <x:f>IF(A1982="","",IF(COUNTIFS($A$5:$A$2004,A1982,$C$5:$C$2004,C1982)&gt;1,1,0))</x:f>
      </x:c>
    </x:row>
    <x:row r="1983">
      <x:c r="A1983" s="8" t="n"/>
      <x:c r="B1983" s="8" t="n"/>
      <x:c r="C1983" s="8" t="n"/>
      <x:c r="D1983" s="8" t="n"/>
      <x:c r="E1983" s="8" t="n"/>
      <x:c r="F1983" s="8" t="n"/>
      <x:c r="G1983" s="7">
        <x:f>IF(A1983="","",IF(01_Parametres!$B$11="Oui",IF((01_Parametres!$B$4*(D1983&gt;0)+01_Parametres!$B$5*(E1983&gt;0)+01_Parametres!$B$6*(F1983&gt;0))=0,"",(01_Parametres!$B$4*IF(D1983&gt;0,D1983,0)+01_Parametres!$B$5*IF(E1983&gt;0,E1983,0)+01_Parametres!$B$6*IF(F1983&gt;0,F1983,0))/(01_Parametres!$B$4*(D1983&gt;0)+01_Parametres!$B$5*(E1983&gt;0)+01_Parametres!$B$6*(F1983&gt;0))),IF(01_Parametres!$B$8=0,"",(01_Parametres!$B$4*D1983+01_Parametres!$B$5*E1983+01_Parametres!$B$6*F1983)/01_Parametres!$B$8)))</x:f>
      </x:c>
      <x:c r="H1983">
        <x:f>IFERROR(VLOOKUP(C1983,02_Referentiels!$A$20:$D$99,3,FALSE),"")</x:f>
      </x:c>
      <x:c r="I1983">
        <x:f>IFERROR(VLOOKUP(B1983,02_Referentiels!$A$5:$C$16,2,FALSE),"")</x:f>
      </x:c>
      <x:c r="J1983">
        <x:f>IF(A1983="","",IF(OR(D1983="",E1983="",F1983=""),1,IF(OR(D1983&lt;0,D1983&gt;3,E1983&lt;0,E1983&gt;3,F1983&lt;0,F1983&gt;3),1,0)))</x:f>
      </x:c>
      <x:c r="K1983">
        <x:f>IF(A1983="","",IF(G1983="",1,0))</x:f>
      </x:c>
      <x:c r="L1983">
        <x:f>IF(A1983="","",IF(COUNTIFS($A$5:$A$2004,A1983,$C$5:$C$2004,C1983)&gt;1,1,0))</x:f>
      </x:c>
    </x:row>
    <x:row r="1984">
      <x:c r="A1984" s="8" t="n"/>
      <x:c r="B1984" s="8" t="n"/>
      <x:c r="C1984" s="8" t="n"/>
      <x:c r="D1984" s="8" t="n"/>
      <x:c r="E1984" s="8" t="n"/>
      <x:c r="F1984" s="8" t="n"/>
      <x:c r="G1984" s="7">
        <x:f>IF(A1984="","",IF(01_Parametres!$B$11="Oui",IF((01_Parametres!$B$4*(D1984&gt;0)+01_Parametres!$B$5*(E1984&gt;0)+01_Parametres!$B$6*(F1984&gt;0))=0,"",(01_Parametres!$B$4*IF(D1984&gt;0,D1984,0)+01_Parametres!$B$5*IF(E1984&gt;0,E1984,0)+01_Parametres!$B$6*IF(F1984&gt;0,F1984,0))/(01_Parametres!$B$4*(D1984&gt;0)+01_Parametres!$B$5*(E1984&gt;0)+01_Parametres!$B$6*(F1984&gt;0))),IF(01_Parametres!$B$8=0,"",(01_Parametres!$B$4*D1984+01_Parametres!$B$5*E1984+01_Parametres!$B$6*F1984)/01_Parametres!$B$8)))</x:f>
      </x:c>
      <x:c r="H1984">
        <x:f>IFERROR(VLOOKUP(C1984,02_Referentiels!$A$20:$D$99,3,FALSE),"")</x:f>
      </x:c>
      <x:c r="I1984">
        <x:f>IFERROR(VLOOKUP(B1984,02_Referentiels!$A$5:$C$16,2,FALSE),"")</x:f>
      </x:c>
      <x:c r="J1984">
        <x:f>IF(A1984="","",IF(OR(D1984="",E1984="",F1984=""),1,IF(OR(D1984&lt;0,D1984&gt;3,E1984&lt;0,E1984&gt;3,F1984&lt;0,F1984&gt;3),1,0)))</x:f>
      </x:c>
      <x:c r="K1984">
        <x:f>IF(A1984="","",IF(G1984="",1,0))</x:f>
      </x:c>
      <x:c r="L1984">
        <x:f>IF(A1984="","",IF(COUNTIFS($A$5:$A$2004,A1984,$C$5:$C$2004,C1984)&gt;1,1,0))</x:f>
      </x:c>
    </x:row>
    <x:row r="1985">
      <x:c r="A1985" s="8" t="n"/>
      <x:c r="B1985" s="8" t="n"/>
      <x:c r="C1985" s="8" t="n"/>
      <x:c r="D1985" s="8" t="n"/>
      <x:c r="E1985" s="8" t="n"/>
      <x:c r="F1985" s="8" t="n"/>
      <x:c r="G1985" s="7">
        <x:f>IF(A1985="","",IF(01_Parametres!$B$11="Oui",IF((01_Parametres!$B$4*(D1985&gt;0)+01_Parametres!$B$5*(E1985&gt;0)+01_Parametres!$B$6*(F1985&gt;0))=0,"",(01_Parametres!$B$4*IF(D1985&gt;0,D1985,0)+01_Parametres!$B$5*IF(E1985&gt;0,E1985,0)+01_Parametres!$B$6*IF(F1985&gt;0,F1985,0))/(01_Parametres!$B$4*(D1985&gt;0)+01_Parametres!$B$5*(E1985&gt;0)+01_Parametres!$B$6*(F1985&gt;0))),IF(01_Parametres!$B$8=0,"",(01_Parametres!$B$4*D1985+01_Parametres!$B$5*E1985+01_Parametres!$B$6*F1985)/01_Parametres!$B$8)))</x:f>
      </x:c>
      <x:c r="H1985">
        <x:f>IFERROR(VLOOKUP(C1985,02_Referentiels!$A$20:$D$99,3,FALSE),"")</x:f>
      </x:c>
      <x:c r="I1985">
        <x:f>IFERROR(VLOOKUP(B1985,02_Referentiels!$A$5:$C$16,2,FALSE),"")</x:f>
      </x:c>
      <x:c r="J1985">
        <x:f>IF(A1985="","",IF(OR(D1985="",E1985="",F1985=""),1,IF(OR(D1985&lt;0,D1985&gt;3,E1985&lt;0,E1985&gt;3,F1985&lt;0,F1985&gt;3),1,0)))</x:f>
      </x:c>
      <x:c r="K1985">
        <x:f>IF(A1985="","",IF(G1985="",1,0))</x:f>
      </x:c>
      <x:c r="L1985">
        <x:f>IF(A1985="","",IF(COUNTIFS($A$5:$A$2004,A1985,$C$5:$C$2004,C1985)&gt;1,1,0))</x:f>
      </x:c>
    </x:row>
    <x:row r="1986">
      <x:c r="A1986" s="8" t="n"/>
      <x:c r="B1986" s="8" t="n"/>
      <x:c r="C1986" s="8" t="n"/>
      <x:c r="D1986" s="8" t="n"/>
      <x:c r="E1986" s="8" t="n"/>
      <x:c r="F1986" s="8" t="n"/>
      <x:c r="G1986" s="7">
        <x:f>IF(A1986="","",IF(01_Parametres!$B$11="Oui",IF((01_Parametres!$B$4*(D1986&gt;0)+01_Parametres!$B$5*(E1986&gt;0)+01_Parametres!$B$6*(F1986&gt;0))=0,"",(01_Parametres!$B$4*IF(D1986&gt;0,D1986,0)+01_Parametres!$B$5*IF(E1986&gt;0,E1986,0)+01_Parametres!$B$6*IF(F1986&gt;0,F1986,0))/(01_Parametres!$B$4*(D1986&gt;0)+01_Parametres!$B$5*(E1986&gt;0)+01_Parametres!$B$6*(F1986&gt;0))),IF(01_Parametres!$B$8=0,"",(01_Parametres!$B$4*D1986+01_Parametres!$B$5*E1986+01_Parametres!$B$6*F1986)/01_Parametres!$B$8)))</x:f>
      </x:c>
      <x:c r="H1986">
        <x:f>IFERROR(VLOOKUP(C1986,02_Referentiels!$A$20:$D$99,3,FALSE),"")</x:f>
      </x:c>
      <x:c r="I1986">
        <x:f>IFERROR(VLOOKUP(B1986,02_Referentiels!$A$5:$C$16,2,FALSE),"")</x:f>
      </x:c>
      <x:c r="J1986">
        <x:f>IF(A1986="","",IF(OR(D1986="",E1986="",F1986=""),1,IF(OR(D1986&lt;0,D1986&gt;3,E1986&lt;0,E1986&gt;3,F1986&lt;0,F1986&gt;3),1,0)))</x:f>
      </x:c>
      <x:c r="K1986">
        <x:f>IF(A1986="","",IF(G1986="",1,0))</x:f>
      </x:c>
      <x:c r="L1986">
        <x:f>IF(A1986="","",IF(COUNTIFS($A$5:$A$2004,A1986,$C$5:$C$2004,C1986)&gt;1,1,0))</x:f>
      </x:c>
    </x:row>
    <x:row r="1987">
      <x:c r="A1987" s="8" t="n"/>
      <x:c r="B1987" s="8" t="n"/>
      <x:c r="C1987" s="8" t="n"/>
      <x:c r="D1987" s="8" t="n"/>
      <x:c r="E1987" s="8" t="n"/>
      <x:c r="F1987" s="8" t="n"/>
      <x:c r="G1987" s="7">
        <x:f>IF(A1987="","",IF(01_Parametres!$B$11="Oui",IF((01_Parametres!$B$4*(D1987&gt;0)+01_Parametres!$B$5*(E1987&gt;0)+01_Parametres!$B$6*(F1987&gt;0))=0,"",(01_Parametres!$B$4*IF(D1987&gt;0,D1987,0)+01_Parametres!$B$5*IF(E1987&gt;0,E1987,0)+01_Parametres!$B$6*IF(F1987&gt;0,F1987,0))/(01_Parametres!$B$4*(D1987&gt;0)+01_Parametres!$B$5*(E1987&gt;0)+01_Parametres!$B$6*(F1987&gt;0))),IF(01_Parametres!$B$8=0,"",(01_Parametres!$B$4*D1987+01_Parametres!$B$5*E1987+01_Parametres!$B$6*F1987)/01_Parametres!$B$8)))</x:f>
      </x:c>
      <x:c r="H1987">
        <x:f>IFERROR(VLOOKUP(C1987,02_Referentiels!$A$20:$D$99,3,FALSE),"")</x:f>
      </x:c>
      <x:c r="I1987">
        <x:f>IFERROR(VLOOKUP(B1987,02_Referentiels!$A$5:$C$16,2,FALSE),"")</x:f>
      </x:c>
      <x:c r="J1987">
        <x:f>IF(A1987="","",IF(OR(D1987="",E1987="",F1987=""),1,IF(OR(D1987&lt;0,D1987&gt;3,E1987&lt;0,E1987&gt;3,F1987&lt;0,F1987&gt;3),1,0)))</x:f>
      </x:c>
      <x:c r="K1987">
        <x:f>IF(A1987="","",IF(G1987="",1,0))</x:f>
      </x:c>
      <x:c r="L1987">
        <x:f>IF(A1987="","",IF(COUNTIFS($A$5:$A$2004,A1987,$C$5:$C$2004,C1987)&gt;1,1,0))</x:f>
      </x:c>
    </x:row>
    <x:row r="1988">
      <x:c r="A1988" s="8" t="n"/>
      <x:c r="B1988" s="8" t="n"/>
      <x:c r="C1988" s="8" t="n"/>
      <x:c r="D1988" s="8" t="n"/>
      <x:c r="E1988" s="8" t="n"/>
      <x:c r="F1988" s="8" t="n"/>
      <x:c r="G1988" s="7">
        <x:f>IF(A1988="","",IF(01_Parametres!$B$11="Oui",IF((01_Parametres!$B$4*(D1988&gt;0)+01_Parametres!$B$5*(E1988&gt;0)+01_Parametres!$B$6*(F1988&gt;0))=0,"",(01_Parametres!$B$4*IF(D1988&gt;0,D1988,0)+01_Parametres!$B$5*IF(E1988&gt;0,E1988,0)+01_Parametres!$B$6*IF(F1988&gt;0,F1988,0))/(01_Parametres!$B$4*(D1988&gt;0)+01_Parametres!$B$5*(E1988&gt;0)+01_Parametres!$B$6*(F1988&gt;0))),IF(01_Parametres!$B$8=0,"",(01_Parametres!$B$4*D1988+01_Parametres!$B$5*E1988+01_Parametres!$B$6*F1988)/01_Parametres!$B$8)))</x:f>
      </x:c>
      <x:c r="H1988">
        <x:f>IFERROR(VLOOKUP(C1988,02_Referentiels!$A$20:$D$99,3,FALSE),"")</x:f>
      </x:c>
      <x:c r="I1988">
        <x:f>IFERROR(VLOOKUP(B1988,02_Referentiels!$A$5:$C$16,2,FALSE),"")</x:f>
      </x:c>
      <x:c r="J1988">
        <x:f>IF(A1988="","",IF(OR(D1988="",E1988="",F1988=""),1,IF(OR(D1988&lt;0,D1988&gt;3,E1988&lt;0,E1988&gt;3,F1988&lt;0,F1988&gt;3),1,0)))</x:f>
      </x:c>
      <x:c r="K1988">
        <x:f>IF(A1988="","",IF(G1988="",1,0))</x:f>
      </x:c>
      <x:c r="L1988">
        <x:f>IF(A1988="","",IF(COUNTIFS($A$5:$A$2004,A1988,$C$5:$C$2004,C1988)&gt;1,1,0))</x:f>
      </x:c>
    </x:row>
    <x:row r="1989">
      <x:c r="A1989" s="8" t="n"/>
      <x:c r="B1989" s="8" t="n"/>
      <x:c r="C1989" s="8" t="n"/>
      <x:c r="D1989" s="8" t="n"/>
      <x:c r="E1989" s="8" t="n"/>
      <x:c r="F1989" s="8" t="n"/>
      <x:c r="G1989" s="7">
        <x:f>IF(A1989="","",IF(01_Parametres!$B$11="Oui",IF((01_Parametres!$B$4*(D1989&gt;0)+01_Parametres!$B$5*(E1989&gt;0)+01_Parametres!$B$6*(F1989&gt;0))=0,"",(01_Parametres!$B$4*IF(D1989&gt;0,D1989,0)+01_Parametres!$B$5*IF(E1989&gt;0,E1989,0)+01_Parametres!$B$6*IF(F1989&gt;0,F1989,0))/(01_Parametres!$B$4*(D1989&gt;0)+01_Parametres!$B$5*(E1989&gt;0)+01_Parametres!$B$6*(F1989&gt;0))),IF(01_Parametres!$B$8=0,"",(01_Parametres!$B$4*D1989+01_Parametres!$B$5*E1989+01_Parametres!$B$6*F1989)/01_Parametres!$B$8)))</x:f>
      </x:c>
      <x:c r="H1989">
        <x:f>IFERROR(VLOOKUP(C1989,02_Referentiels!$A$20:$D$99,3,FALSE),"")</x:f>
      </x:c>
      <x:c r="I1989">
        <x:f>IFERROR(VLOOKUP(B1989,02_Referentiels!$A$5:$C$16,2,FALSE),"")</x:f>
      </x:c>
      <x:c r="J1989">
        <x:f>IF(A1989="","",IF(OR(D1989="",E1989="",F1989=""),1,IF(OR(D1989&lt;0,D1989&gt;3,E1989&lt;0,E1989&gt;3,F1989&lt;0,F1989&gt;3),1,0)))</x:f>
      </x:c>
      <x:c r="K1989">
        <x:f>IF(A1989="","",IF(G1989="",1,0))</x:f>
      </x:c>
      <x:c r="L1989">
        <x:f>IF(A1989="","",IF(COUNTIFS($A$5:$A$2004,A1989,$C$5:$C$2004,C1989)&gt;1,1,0))</x:f>
      </x:c>
    </x:row>
    <x:row r="1990">
      <x:c r="A1990" s="8" t="n"/>
      <x:c r="B1990" s="8" t="n"/>
      <x:c r="C1990" s="8" t="n"/>
      <x:c r="D1990" s="8" t="n"/>
      <x:c r="E1990" s="8" t="n"/>
      <x:c r="F1990" s="8" t="n"/>
      <x:c r="G1990" s="7">
        <x:f>IF(A1990="","",IF(01_Parametres!$B$11="Oui",IF((01_Parametres!$B$4*(D1990&gt;0)+01_Parametres!$B$5*(E1990&gt;0)+01_Parametres!$B$6*(F1990&gt;0))=0,"",(01_Parametres!$B$4*IF(D1990&gt;0,D1990,0)+01_Parametres!$B$5*IF(E1990&gt;0,E1990,0)+01_Parametres!$B$6*IF(F1990&gt;0,F1990,0))/(01_Parametres!$B$4*(D1990&gt;0)+01_Parametres!$B$5*(E1990&gt;0)+01_Parametres!$B$6*(F1990&gt;0))),IF(01_Parametres!$B$8=0,"",(01_Parametres!$B$4*D1990+01_Parametres!$B$5*E1990+01_Parametres!$B$6*F1990)/01_Parametres!$B$8)))</x:f>
      </x:c>
      <x:c r="H1990">
        <x:f>IFERROR(VLOOKUP(C1990,02_Referentiels!$A$20:$D$99,3,FALSE),"")</x:f>
      </x:c>
      <x:c r="I1990">
        <x:f>IFERROR(VLOOKUP(B1990,02_Referentiels!$A$5:$C$16,2,FALSE),"")</x:f>
      </x:c>
      <x:c r="J1990">
        <x:f>IF(A1990="","",IF(OR(D1990="",E1990="",F1990=""),1,IF(OR(D1990&lt;0,D1990&gt;3,E1990&lt;0,E1990&gt;3,F1990&lt;0,F1990&gt;3),1,0)))</x:f>
      </x:c>
      <x:c r="K1990">
        <x:f>IF(A1990="","",IF(G1990="",1,0))</x:f>
      </x:c>
      <x:c r="L1990">
        <x:f>IF(A1990="","",IF(COUNTIFS($A$5:$A$2004,A1990,$C$5:$C$2004,C1990)&gt;1,1,0))</x:f>
      </x:c>
    </x:row>
    <x:row r="1991">
      <x:c r="A1991" s="8" t="n"/>
      <x:c r="B1991" s="8" t="n"/>
      <x:c r="C1991" s="8" t="n"/>
      <x:c r="D1991" s="8" t="n"/>
      <x:c r="E1991" s="8" t="n"/>
      <x:c r="F1991" s="8" t="n"/>
      <x:c r="G1991" s="7">
        <x:f>IF(A1991="","",IF(01_Parametres!$B$11="Oui",IF((01_Parametres!$B$4*(D1991&gt;0)+01_Parametres!$B$5*(E1991&gt;0)+01_Parametres!$B$6*(F1991&gt;0))=0,"",(01_Parametres!$B$4*IF(D1991&gt;0,D1991,0)+01_Parametres!$B$5*IF(E1991&gt;0,E1991,0)+01_Parametres!$B$6*IF(F1991&gt;0,F1991,0))/(01_Parametres!$B$4*(D1991&gt;0)+01_Parametres!$B$5*(E1991&gt;0)+01_Parametres!$B$6*(F1991&gt;0))),IF(01_Parametres!$B$8=0,"",(01_Parametres!$B$4*D1991+01_Parametres!$B$5*E1991+01_Parametres!$B$6*F1991)/01_Parametres!$B$8)))</x:f>
      </x:c>
      <x:c r="H1991">
        <x:f>IFERROR(VLOOKUP(C1991,02_Referentiels!$A$20:$D$99,3,FALSE),"")</x:f>
      </x:c>
      <x:c r="I1991">
        <x:f>IFERROR(VLOOKUP(B1991,02_Referentiels!$A$5:$C$16,2,FALSE),"")</x:f>
      </x:c>
      <x:c r="J1991">
        <x:f>IF(A1991="","",IF(OR(D1991="",E1991="",F1991=""),1,IF(OR(D1991&lt;0,D1991&gt;3,E1991&lt;0,E1991&gt;3,F1991&lt;0,F1991&gt;3),1,0)))</x:f>
      </x:c>
      <x:c r="K1991">
        <x:f>IF(A1991="","",IF(G1991="",1,0))</x:f>
      </x:c>
      <x:c r="L1991">
        <x:f>IF(A1991="","",IF(COUNTIFS($A$5:$A$2004,A1991,$C$5:$C$2004,C1991)&gt;1,1,0))</x:f>
      </x:c>
    </x:row>
    <x:row r="1992">
      <x:c r="A1992" s="8" t="n"/>
      <x:c r="B1992" s="8" t="n"/>
      <x:c r="C1992" s="8" t="n"/>
      <x:c r="D1992" s="8" t="n"/>
      <x:c r="E1992" s="8" t="n"/>
      <x:c r="F1992" s="8" t="n"/>
      <x:c r="G1992" s="7">
        <x:f>IF(A1992="","",IF(01_Parametres!$B$11="Oui",IF((01_Parametres!$B$4*(D1992&gt;0)+01_Parametres!$B$5*(E1992&gt;0)+01_Parametres!$B$6*(F1992&gt;0))=0,"",(01_Parametres!$B$4*IF(D1992&gt;0,D1992,0)+01_Parametres!$B$5*IF(E1992&gt;0,E1992,0)+01_Parametres!$B$6*IF(F1992&gt;0,F1992,0))/(01_Parametres!$B$4*(D1992&gt;0)+01_Parametres!$B$5*(E1992&gt;0)+01_Parametres!$B$6*(F1992&gt;0))),IF(01_Parametres!$B$8=0,"",(01_Parametres!$B$4*D1992+01_Parametres!$B$5*E1992+01_Parametres!$B$6*F1992)/01_Parametres!$B$8)))</x:f>
      </x:c>
      <x:c r="H1992">
        <x:f>IFERROR(VLOOKUP(C1992,02_Referentiels!$A$20:$D$99,3,FALSE),"")</x:f>
      </x:c>
      <x:c r="I1992">
        <x:f>IFERROR(VLOOKUP(B1992,02_Referentiels!$A$5:$C$16,2,FALSE),"")</x:f>
      </x:c>
      <x:c r="J1992">
        <x:f>IF(A1992="","",IF(OR(D1992="",E1992="",F1992=""),1,IF(OR(D1992&lt;0,D1992&gt;3,E1992&lt;0,E1992&gt;3,F1992&lt;0,F1992&gt;3),1,0)))</x:f>
      </x:c>
      <x:c r="K1992">
        <x:f>IF(A1992="","",IF(G1992="",1,0))</x:f>
      </x:c>
      <x:c r="L1992">
        <x:f>IF(A1992="","",IF(COUNTIFS($A$5:$A$2004,A1992,$C$5:$C$2004,C1992)&gt;1,1,0))</x:f>
      </x:c>
    </x:row>
    <x:row r="1993">
      <x:c r="A1993" s="8" t="n"/>
      <x:c r="B1993" s="8" t="n"/>
      <x:c r="C1993" s="8" t="n"/>
      <x:c r="D1993" s="8" t="n"/>
      <x:c r="E1993" s="8" t="n"/>
      <x:c r="F1993" s="8" t="n"/>
      <x:c r="G1993" s="7">
        <x:f>IF(A1993="","",IF(01_Parametres!$B$11="Oui",IF((01_Parametres!$B$4*(D1993&gt;0)+01_Parametres!$B$5*(E1993&gt;0)+01_Parametres!$B$6*(F1993&gt;0))=0,"",(01_Parametres!$B$4*IF(D1993&gt;0,D1993,0)+01_Parametres!$B$5*IF(E1993&gt;0,E1993,0)+01_Parametres!$B$6*IF(F1993&gt;0,F1993,0))/(01_Parametres!$B$4*(D1993&gt;0)+01_Parametres!$B$5*(E1993&gt;0)+01_Parametres!$B$6*(F1993&gt;0))),IF(01_Parametres!$B$8=0,"",(01_Parametres!$B$4*D1993+01_Parametres!$B$5*E1993+01_Parametres!$B$6*F1993)/01_Parametres!$B$8)))</x:f>
      </x:c>
      <x:c r="H1993">
        <x:f>IFERROR(VLOOKUP(C1993,02_Referentiels!$A$20:$D$99,3,FALSE),"")</x:f>
      </x:c>
      <x:c r="I1993">
        <x:f>IFERROR(VLOOKUP(B1993,02_Referentiels!$A$5:$C$16,2,FALSE),"")</x:f>
      </x:c>
      <x:c r="J1993">
        <x:f>IF(A1993="","",IF(OR(D1993="",E1993="",F1993=""),1,IF(OR(D1993&lt;0,D1993&gt;3,E1993&lt;0,E1993&gt;3,F1993&lt;0,F1993&gt;3),1,0)))</x:f>
      </x:c>
      <x:c r="K1993">
        <x:f>IF(A1993="","",IF(G1993="",1,0))</x:f>
      </x:c>
      <x:c r="L1993">
        <x:f>IF(A1993="","",IF(COUNTIFS($A$5:$A$2004,A1993,$C$5:$C$2004,C1993)&gt;1,1,0))</x:f>
      </x:c>
    </x:row>
    <x:row r="1994">
      <x:c r="A1994" s="8" t="n"/>
      <x:c r="B1994" s="8" t="n"/>
      <x:c r="C1994" s="8" t="n"/>
      <x:c r="D1994" s="8" t="n"/>
      <x:c r="E1994" s="8" t="n"/>
      <x:c r="F1994" s="8" t="n"/>
      <x:c r="G1994" s="7">
        <x:f>IF(A1994="","",IF(01_Parametres!$B$11="Oui",IF((01_Parametres!$B$4*(D1994&gt;0)+01_Parametres!$B$5*(E1994&gt;0)+01_Parametres!$B$6*(F1994&gt;0))=0,"",(01_Parametres!$B$4*IF(D1994&gt;0,D1994,0)+01_Parametres!$B$5*IF(E1994&gt;0,E1994,0)+01_Parametres!$B$6*IF(F1994&gt;0,F1994,0))/(01_Parametres!$B$4*(D1994&gt;0)+01_Parametres!$B$5*(E1994&gt;0)+01_Parametres!$B$6*(F1994&gt;0))),IF(01_Parametres!$B$8=0,"",(01_Parametres!$B$4*D1994+01_Parametres!$B$5*E1994+01_Parametres!$B$6*F1994)/01_Parametres!$B$8)))</x:f>
      </x:c>
      <x:c r="H1994">
        <x:f>IFERROR(VLOOKUP(C1994,02_Referentiels!$A$20:$D$99,3,FALSE),"")</x:f>
      </x:c>
      <x:c r="I1994">
        <x:f>IFERROR(VLOOKUP(B1994,02_Referentiels!$A$5:$C$16,2,FALSE),"")</x:f>
      </x:c>
      <x:c r="J1994">
        <x:f>IF(A1994="","",IF(OR(D1994="",E1994="",F1994=""),1,IF(OR(D1994&lt;0,D1994&gt;3,E1994&lt;0,E1994&gt;3,F1994&lt;0,F1994&gt;3),1,0)))</x:f>
      </x:c>
      <x:c r="K1994">
        <x:f>IF(A1994="","",IF(G1994="",1,0))</x:f>
      </x:c>
      <x:c r="L1994">
        <x:f>IF(A1994="","",IF(COUNTIFS($A$5:$A$2004,A1994,$C$5:$C$2004,C1994)&gt;1,1,0))</x:f>
      </x:c>
    </x:row>
    <x:row r="1995">
      <x:c r="A1995" s="8" t="n"/>
      <x:c r="B1995" s="8" t="n"/>
      <x:c r="C1995" s="8" t="n"/>
      <x:c r="D1995" s="8" t="n"/>
      <x:c r="E1995" s="8" t="n"/>
      <x:c r="F1995" s="8" t="n"/>
      <x:c r="G1995" s="7">
        <x:f>IF(A1995="","",IF(01_Parametres!$B$11="Oui",IF((01_Parametres!$B$4*(D1995&gt;0)+01_Parametres!$B$5*(E1995&gt;0)+01_Parametres!$B$6*(F1995&gt;0))=0,"",(01_Parametres!$B$4*IF(D1995&gt;0,D1995,0)+01_Parametres!$B$5*IF(E1995&gt;0,E1995,0)+01_Parametres!$B$6*IF(F1995&gt;0,F1995,0))/(01_Parametres!$B$4*(D1995&gt;0)+01_Parametres!$B$5*(E1995&gt;0)+01_Parametres!$B$6*(F1995&gt;0))),IF(01_Parametres!$B$8=0,"",(01_Parametres!$B$4*D1995+01_Parametres!$B$5*E1995+01_Parametres!$B$6*F1995)/01_Parametres!$B$8)))</x:f>
      </x:c>
      <x:c r="H1995">
        <x:f>IFERROR(VLOOKUP(C1995,02_Referentiels!$A$20:$D$99,3,FALSE),"")</x:f>
      </x:c>
      <x:c r="I1995">
        <x:f>IFERROR(VLOOKUP(B1995,02_Referentiels!$A$5:$C$16,2,FALSE),"")</x:f>
      </x:c>
      <x:c r="J1995">
        <x:f>IF(A1995="","",IF(OR(D1995="",E1995="",F1995=""),1,IF(OR(D1995&lt;0,D1995&gt;3,E1995&lt;0,E1995&gt;3,F1995&lt;0,F1995&gt;3),1,0)))</x:f>
      </x:c>
      <x:c r="K1995">
        <x:f>IF(A1995="","",IF(G1995="",1,0))</x:f>
      </x:c>
      <x:c r="L1995">
        <x:f>IF(A1995="","",IF(COUNTIFS($A$5:$A$2004,A1995,$C$5:$C$2004,C1995)&gt;1,1,0))</x:f>
      </x:c>
    </x:row>
    <x:row r="1996">
      <x:c r="A1996" s="8" t="n"/>
      <x:c r="B1996" s="8" t="n"/>
      <x:c r="C1996" s="8" t="n"/>
      <x:c r="D1996" s="8" t="n"/>
      <x:c r="E1996" s="8" t="n"/>
      <x:c r="F1996" s="8" t="n"/>
      <x:c r="G1996" s="7">
        <x:f>IF(A1996="","",IF(01_Parametres!$B$11="Oui",IF((01_Parametres!$B$4*(D1996&gt;0)+01_Parametres!$B$5*(E1996&gt;0)+01_Parametres!$B$6*(F1996&gt;0))=0,"",(01_Parametres!$B$4*IF(D1996&gt;0,D1996,0)+01_Parametres!$B$5*IF(E1996&gt;0,E1996,0)+01_Parametres!$B$6*IF(F1996&gt;0,F1996,0))/(01_Parametres!$B$4*(D1996&gt;0)+01_Parametres!$B$5*(E1996&gt;0)+01_Parametres!$B$6*(F1996&gt;0))),IF(01_Parametres!$B$8=0,"",(01_Parametres!$B$4*D1996+01_Parametres!$B$5*E1996+01_Parametres!$B$6*F1996)/01_Parametres!$B$8)))</x:f>
      </x:c>
      <x:c r="H1996">
        <x:f>IFERROR(VLOOKUP(C1996,02_Referentiels!$A$20:$D$99,3,FALSE),"")</x:f>
      </x:c>
      <x:c r="I1996">
        <x:f>IFERROR(VLOOKUP(B1996,02_Referentiels!$A$5:$C$16,2,FALSE),"")</x:f>
      </x:c>
      <x:c r="J1996">
        <x:f>IF(A1996="","",IF(OR(D1996="",E1996="",F1996=""),1,IF(OR(D1996&lt;0,D1996&gt;3,E1996&lt;0,E1996&gt;3,F1996&lt;0,F1996&gt;3),1,0)))</x:f>
      </x:c>
      <x:c r="K1996">
        <x:f>IF(A1996="","",IF(G1996="",1,0))</x:f>
      </x:c>
      <x:c r="L1996">
        <x:f>IF(A1996="","",IF(COUNTIFS($A$5:$A$2004,A1996,$C$5:$C$2004,C1996)&gt;1,1,0))</x:f>
      </x:c>
    </x:row>
    <x:row r="1997">
      <x:c r="A1997" s="8" t="n"/>
      <x:c r="B1997" s="8" t="n"/>
      <x:c r="C1997" s="8" t="n"/>
      <x:c r="D1997" s="8" t="n"/>
      <x:c r="E1997" s="8" t="n"/>
      <x:c r="F1997" s="8" t="n"/>
      <x:c r="G1997" s="7">
        <x:f>IF(A1997="","",IF(01_Parametres!$B$11="Oui",IF((01_Parametres!$B$4*(D1997&gt;0)+01_Parametres!$B$5*(E1997&gt;0)+01_Parametres!$B$6*(F1997&gt;0))=0,"",(01_Parametres!$B$4*IF(D1997&gt;0,D1997,0)+01_Parametres!$B$5*IF(E1997&gt;0,E1997,0)+01_Parametres!$B$6*IF(F1997&gt;0,F1997,0))/(01_Parametres!$B$4*(D1997&gt;0)+01_Parametres!$B$5*(E1997&gt;0)+01_Parametres!$B$6*(F1997&gt;0))),IF(01_Parametres!$B$8=0,"",(01_Parametres!$B$4*D1997+01_Parametres!$B$5*E1997+01_Parametres!$B$6*F1997)/01_Parametres!$B$8)))</x:f>
      </x:c>
      <x:c r="H1997">
        <x:f>IFERROR(VLOOKUP(C1997,02_Referentiels!$A$20:$D$99,3,FALSE),"")</x:f>
      </x:c>
      <x:c r="I1997">
        <x:f>IFERROR(VLOOKUP(B1997,02_Referentiels!$A$5:$C$16,2,FALSE),"")</x:f>
      </x:c>
      <x:c r="J1997">
        <x:f>IF(A1997="","",IF(OR(D1997="",E1997="",F1997=""),1,IF(OR(D1997&lt;0,D1997&gt;3,E1997&lt;0,E1997&gt;3,F1997&lt;0,F1997&gt;3),1,0)))</x:f>
      </x:c>
      <x:c r="K1997">
        <x:f>IF(A1997="","",IF(G1997="",1,0))</x:f>
      </x:c>
      <x:c r="L1997">
        <x:f>IF(A1997="","",IF(COUNTIFS($A$5:$A$2004,A1997,$C$5:$C$2004,C1997)&gt;1,1,0))</x:f>
      </x:c>
    </x:row>
    <x:row r="1998">
      <x:c r="A1998" s="8" t="n"/>
      <x:c r="B1998" s="8" t="n"/>
      <x:c r="C1998" s="8" t="n"/>
      <x:c r="D1998" s="8" t="n"/>
      <x:c r="E1998" s="8" t="n"/>
      <x:c r="F1998" s="8" t="n"/>
      <x:c r="G1998" s="7">
        <x:f>IF(A1998="","",IF(01_Parametres!$B$11="Oui",IF((01_Parametres!$B$4*(D1998&gt;0)+01_Parametres!$B$5*(E1998&gt;0)+01_Parametres!$B$6*(F1998&gt;0))=0,"",(01_Parametres!$B$4*IF(D1998&gt;0,D1998,0)+01_Parametres!$B$5*IF(E1998&gt;0,E1998,0)+01_Parametres!$B$6*IF(F1998&gt;0,F1998,0))/(01_Parametres!$B$4*(D1998&gt;0)+01_Parametres!$B$5*(E1998&gt;0)+01_Parametres!$B$6*(F1998&gt;0))),IF(01_Parametres!$B$8=0,"",(01_Parametres!$B$4*D1998+01_Parametres!$B$5*E1998+01_Parametres!$B$6*F1998)/01_Parametres!$B$8)))</x:f>
      </x:c>
      <x:c r="H1998">
        <x:f>IFERROR(VLOOKUP(C1998,02_Referentiels!$A$20:$D$99,3,FALSE),"")</x:f>
      </x:c>
      <x:c r="I1998">
        <x:f>IFERROR(VLOOKUP(B1998,02_Referentiels!$A$5:$C$16,2,FALSE),"")</x:f>
      </x:c>
      <x:c r="J1998">
        <x:f>IF(A1998="","",IF(OR(D1998="",E1998="",F1998=""),1,IF(OR(D1998&lt;0,D1998&gt;3,E1998&lt;0,E1998&gt;3,F1998&lt;0,F1998&gt;3),1,0)))</x:f>
      </x:c>
      <x:c r="K1998">
        <x:f>IF(A1998="","",IF(G1998="",1,0))</x:f>
      </x:c>
      <x:c r="L1998">
        <x:f>IF(A1998="","",IF(COUNTIFS($A$5:$A$2004,A1998,$C$5:$C$2004,C1998)&gt;1,1,0))</x:f>
      </x:c>
    </x:row>
    <x:row r="1999">
      <x:c r="A1999" s="8" t="n"/>
      <x:c r="B1999" s="8" t="n"/>
      <x:c r="C1999" s="8" t="n"/>
      <x:c r="D1999" s="8" t="n"/>
      <x:c r="E1999" s="8" t="n"/>
      <x:c r="F1999" s="8" t="n"/>
      <x:c r="G1999" s="7">
        <x:f>IF(A1999="","",IF(01_Parametres!$B$11="Oui",IF((01_Parametres!$B$4*(D1999&gt;0)+01_Parametres!$B$5*(E1999&gt;0)+01_Parametres!$B$6*(F1999&gt;0))=0,"",(01_Parametres!$B$4*IF(D1999&gt;0,D1999,0)+01_Parametres!$B$5*IF(E1999&gt;0,E1999,0)+01_Parametres!$B$6*IF(F1999&gt;0,F1999,0))/(01_Parametres!$B$4*(D1999&gt;0)+01_Parametres!$B$5*(E1999&gt;0)+01_Parametres!$B$6*(F1999&gt;0))),IF(01_Parametres!$B$8=0,"",(01_Parametres!$B$4*D1999+01_Parametres!$B$5*E1999+01_Parametres!$B$6*F1999)/01_Parametres!$B$8)))</x:f>
      </x:c>
      <x:c r="H1999">
        <x:f>IFERROR(VLOOKUP(C1999,02_Referentiels!$A$20:$D$99,3,FALSE),"")</x:f>
      </x:c>
      <x:c r="I1999">
        <x:f>IFERROR(VLOOKUP(B1999,02_Referentiels!$A$5:$C$16,2,FALSE),"")</x:f>
      </x:c>
      <x:c r="J1999">
        <x:f>IF(A1999="","",IF(OR(D1999="",E1999="",F1999=""),1,IF(OR(D1999&lt;0,D1999&gt;3,E1999&lt;0,E1999&gt;3,F1999&lt;0,F1999&gt;3),1,0)))</x:f>
      </x:c>
      <x:c r="K1999">
        <x:f>IF(A1999="","",IF(G1999="",1,0))</x:f>
      </x:c>
      <x:c r="L1999">
        <x:f>IF(A1999="","",IF(COUNTIFS($A$5:$A$2004,A1999,$C$5:$C$2004,C1999)&gt;1,1,0))</x:f>
      </x:c>
    </x:row>
    <x:row r="2000">
      <x:c r="A2000" s="8" t="n"/>
      <x:c r="B2000" s="8" t="n"/>
      <x:c r="C2000" s="8" t="n"/>
      <x:c r="D2000" s="8" t="n"/>
      <x:c r="E2000" s="8" t="n"/>
      <x:c r="F2000" s="8" t="n"/>
      <x:c r="G2000" s="7">
        <x:f>IF(A2000="","",IF(01_Parametres!$B$11="Oui",IF((01_Parametres!$B$4*(D2000&gt;0)+01_Parametres!$B$5*(E2000&gt;0)+01_Parametres!$B$6*(F2000&gt;0))=0,"",(01_Parametres!$B$4*IF(D2000&gt;0,D2000,0)+01_Parametres!$B$5*IF(E2000&gt;0,E2000,0)+01_Parametres!$B$6*IF(F2000&gt;0,F2000,0))/(01_Parametres!$B$4*(D2000&gt;0)+01_Parametres!$B$5*(E2000&gt;0)+01_Parametres!$B$6*(F2000&gt;0))),IF(01_Parametres!$B$8=0,"",(01_Parametres!$B$4*D2000+01_Parametres!$B$5*E2000+01_Parametres!$B$6*F2000)/01_Parametres!$B$8)))</x:f>
      </x:c>
      <x:c r="H2000">
        <x:f>IFERROR(VLOOKUP(C2000,02_Referentiels!$A$20:$D$99,3,FALSE),"")</x:f>
      </x:c>
      <x:c r="I2000">
        <x:f>IFERROR(VLOOKUP(B2000,02_Referentiels!$A$5:$C$16,2,FALSE),"")</x:f>
      </x:c>
      <x:c r="J2000">
        <x:f>IF(A2000="","",IF(OR(D2000="",E2000="",F2000=""),1,IF(OR(D2000&lt;0,D2000&gt;3,E2000&lt;0,E2000&gt;3,F2000&lt;0,F2000&gt;3),1,0)))</x:f>
      </x:c>
      <x:c r="K2000">
        <x:f>IF(A2000="","",IF(G2000="",1,0))</x:f>
      </x:c>
      <x:c r="L2000">
        <x:f>IF(A2000="","",IF(COUNTIFS($A$5:$A$2004,A2000,$C$5:$C$2004,C2000)&gt;1,1,0))</x:f>
      </x:c>
    </x:row>
    <x:row r="2001">
      <x:c r="A2001" s="8" t="n"/>
      <x:c r="B2001" s="8" t="n"/>
      <x:c r="C2001" s="8" t="n"/>
      <x:c r="D2001" s="8" t="n"/>
      <x:c r="E2001" s="8" t="n"/>
      <x:c r="F2001" s="8" t="n"/>
      <x:c r="G2001" s="7">
        <x:f>IF(A2001="","",IF(01_Parametres!$B$11="Oui",IF((01_Parametres!$B$4*(D2001&gt;0)+01_Parametres!$B$5*(E2001&gt;0)+01_Parametres!$B$6*(F2001&gt;0))=0,"",(01_Parametres!$B$4*IF(D2001&gt;0,D2001,0)+01_Parametres!$B$5*IF(E2001&gt;0,E2001,0)+01_Parametres!$B$6*IF(F2001&gt;0,F2001,0))/(01_Parametres!$B$4*(D2001&gt;0)+01_Parametres!$B$5*(E2001&gt;0)+01_Parametres!$B$6*(F2001&gt;0))),IF(01_Parametres!$B$8=0,"",(01_Parametres!$B$4*D2001+01_Parametres!$B$5*E2001+01_Parametres!$B$6*F2001)/01_Parametres!$B$8)))</x:f>
      </x:c>
      <x:c r="H2001">
        <x:f>IFERROR(VLOOKUP(C2001,02_Referentiels!$A$20:$D$99,3,FALSE),"")</x:f>
      </x:c>
      <x:c r="I2001">
        <x:f>IFERROR(VLOOKUP(B2001,02_Referentiels!$A$5:$C$16,2,FALSE),"")</x:f>
      </x:c>
      <x:c r="J2001">
        <x:f>IF(A2001="","",IF(OR(D2001="",E2001="",F2001=""),1,IF(OR(D2001&lt;0,D2001&gt;3,E2001&lt;0,E2001&gt;3,F2001&lt;0,F2001&gt;3),1,0)))</x:f>
      </x:c>
      <x:c r="K2001">
        <x:f>IF(A2001="","",IF(G2001="",1,0))</x:f>
      </x:c>
      <x:c r="L2001">
        <x:f>IF(A2001="","",IF(COUNTIFS($A$5:$A$2004,A2001,$C$5:$C$2004,C2001)&gt;1,1,0))</x:f>
      </x:c>
    </x:row>
    <x:row r="2002">
      <x:c r="A2002" s="8" t="n"/>
      <x:c r="B2002" s="8" t="n"/>
      <x:c r="C2002" s="8" t="n"/>
      <x:c r="D2002" s="8" t="n"/>
      <x:c r="E2002" s="8" t="n"/>
      <x:c r="F2002" s="8" t="n"/>
      <x:c r="G2002" s="7">
        <x:f>IF(A2002="","",IF(01_Parametres!$B$11="Oui",IF((01_Parametres!$B$4*(D2002&gt;0)+01_Parametres!$B$5*(E2002&gt;0)+01_Parametres!$B$6*(F2002&gt;0))=0,"",(01_Parametres!$B$4*IF(D2002&gt;0,D2002,0)+01_Parametres!$B$5*IF(E2002&gt;0,E2002,0)+01_Parametres!$B$6*IF(F2002&gt;0,F2002,0))/(01_Parametres!$B$4*(D2002&gt;0)+01_Parametres!$B$5*(E2002&gt;0)+01_Parametres!$B$6*(F2002&gt;0))),IF(01_Parametres!$B$8=0,"",(01_Parametres!$B$4*D2002+01_Parametres!$B$5*E2002+01_Parametres!$B$6*F2002)/01_Parametres!$B$8)))</x:f>
      </x:c>
      <x:c r="H2002">
        <x:f>IFERROR(VLOOKUP(C2002,02_Referentiels!$A$20:$D$99,3,FALSE),"")</x:f>
      </x:c>
      <x:c r="I2002">
        <x:f>IFERROR(VLOOKUP(B2002,02_Referentiels!$A$5:$C$16,2,FALSE),"")</x:f>
      </x:c>
      <x:c r="J2002">
        <x:f>IF(A2002="","",IF(OR(D2002="",E2002="",F2002=""),1,IF(OR(D2002&lt;0,D2002&gt;3,E2002&lt;0,E2002&gt;3,F2002&lt;0,F2002&gt;3),1,0)))</x:f>
      </x:c>
      <x:c r="K2002">
        <x:f>IF(A2002="","",IF(G2002="",1,0))</x:f>
      </x:c>
      <x:c r="L2002">
        <x:f>IF(A2002="","",IF(COUNTIFS($A$5:$A$2004,A2002,$C$5:$C$2004,C2002)&gt;1,1,0))</x:f>
      </x:c>
    </x:row>
    <x:row r="2003">
      <x:c r="A2003" s="8" t="n"/>
      <x:c r="B2003" s="8" t="n"/>
      <x:c r="C2003" s="8" t="n"/>
      <x:c r="D2003" s="8" t="n"/>
      <x:c r="E2003" s="8" t="n"/>
      <x:c r="F2003" s="8" t="n"/>
      <x:c r="G2003" s="7">
        <x:f>IF(A2003="","",IF(01_Parametres!$B$11="Oui",IF((01_Parametres!$B$4*(D2003&gt;0)+01_Parametres!$B$5*(E2003&gt;0)+01_Parametres!$B$6*(F2003&gt;0))=0,"",(01_Parametres!$B$4*IF(D2003&gt;0,D2003,0)+01_Parametres!$B$5*IF(E2003&gt;0,E2003,0)+01_Parametres!$B$6*IF(F2003&gt;0,F2003,0))/(01_Parametres!$B$4*(D2003&gt;0)+01_Parametres!$B$5*(E2003&gt;0)+01_Parametres!$B$6*(F2003&gt;0))),IF(01_Parametres!$B$8=0,"",(01_Parametres!$B$4*D2003+01_Parametres!$B$5*E2003+01_Parametres!$B$6*F2003)/01_Parametres!$B$8)))</x:f>
      </x:c>
      <x:c r="H2003">
        <x:f>IFERROR(VLOOKUP(C2003,02_Referentiels!$A$20:$D$99,3,FALSE),"")</x:f>
      </x:c>
      <x:c r="I2003">
        <x:f>IFERROR(VLOOKUP(B2003,02_Referentiels!$A$5:$C$16,2,FALSE),"")</x:f>
      </x:c>
      <x:c r="J2003">
        <x:f>IF(A2003="","",IF(OR(D2003="",E2003="",F2003=""),1,IF(OR(D2003&lt;0,D2003&gt;3,E2003&lt;0,E2003&gt;3,F2003&lt;0,F2003&gt;3),1,0)))</x:f>
      </x:c>
      <x:c r="K2003">
        <x:f>IF(A2003="","",IF(G2003="",1,0))</x:f>
      </x:c>
      <x:c r="L2003">
        <x:f>IF(A2003="","",IF(COUNTIFS($A$5:$A$2004,A2003,$C$5:$C$2004,C2003)&gt;1,1,0))</x:f>
      </x:c>
    </x:row>
    <x:row r="2004">
      <x:c r="A2004" s="8" t="n"/>
      <x:c r="B2004" s="8" t="n"/>
      <x:c r="C2004" s="8" t="n"/>
      <x:c r="D2004" s="8" t="n"/>
      <x:c r="E2004" s="8" t="n"/>
      <x:c r="F2004" s="8" t="n"/>
      <x:c r="G2004" s="7">
        <x:f>IF(A2004="","",IF(01_Parametres!$B$11="Oui",IF((01_Parametres!$B$4*(D2004&gt;0)+01_Parametres!$B$5*(E2004&gt;0)+01_Parametres!$B$6*(F2004&gt;0))=0,"",(01_Parametres!$B$4*IF(D2004&gt;0,D2004,0)+01_Parametres!$B$5*IF(E2004&gt;0,E2004,0)+01_Parametres!$B$6*IF(F2004&gt;0,F2004,0))/(01_Parametres!$B$4*(D2004&gt;0)+01_Parametres!$B$5*(E2004&gt;0)+01_Parametres!$B$6*(F2004&gt;0))),IF(01_Parametres!$B$8=0,"",(01_Parametres!$B$4*D2004+01_Parametres!$B$5*E2004+01_Parametres!$B$6*F2004)/01_Parametres!$B$8)))</x:f>
      </x:c>
      <x:c r="H2004">
        <x:f>IFERROR(VLOOKUP(C2004,02_Referentiels!$A$20:$D$99,3,FALSE),"")</x:f>
      </x:c>
      <x:c r="I2004">
        <x:f>IFERROR(VLOOKUP(B2004,02_Referentiels!$A$5:$C$16,2,FALSE),"")</x:f>
      </x:c>
      <x:c r="J2004">
        <x:f>IF(A2004="","",IF(OR(D2004="",E2004="",F2004=""),1,IF(OR(D2004&lt;0,D2004&gt;3,E2004&lt;0,E2004&gt;3,F2004&lt;0,F2004&gt;3),1,0)))</x:f>
      </x:c>
      <x:c r="K2004">
        <x:f>IF(A2004="","",IF(G2004="",1,0))</x:f>
      </x:c>
      <x:c r="L2004">
        <x:f>IF(A2004="","",IF(COUNTIFS($A$5:$A$2004,A2004,$C$5:$C$2004,C2004)&gt;1,1,0))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4" customWidth="1"/>
    <x:col min="3" max="3" width="14" customWidth="1"/>
    <x:col min="4" max="4" width="16" customWidth="1"/>
    <x:col min="5" max="5" width="14" customWidth="1"/>
    <x:col min="6" max="6" width="16" customWidth="1"/>
    <x:col min="7" max="7" width="14" customWidth="1"/>
    <x:col min="8" max="8" width="18" customWidth="1"/>
  </x:cols>
  <x:sheetData>
    <x:row r="1">
      <x:c r="A1" s="4" t="inlineStr">
        <x:is>
          <x:t xml:space="preserve">Entrées - Dimension genre</x:t>
        </x:is>
      </x:c>
    </x:row>
    <x:row r="2">
      <x:c r="A2" s="3" t="inlineStr">
        <x:is>
          <x:t xml:space="preserve">Codes : YES ; NO ; DEP ; UK.</x:t>
        </x:is>
      </x:c>
    </x:row>
    <x:row r="4" ht="22" customHeight="1">
      <x:c r="A4" s="11" t="inlineStr">
        <x:is>
          <x:t xml:space="preserve">submission_id</x:t>
        </x:is>
      </x:c>
      <x:c r="B4" s="11" t="inlineStr">
        <x:is>
          <x:t xml:space="preserve">sexe</x:t>
        </x:is>
      </x:c>
      <x:c r="C4" s="11" t="inlineStr">
        <x:is>
          <x:t xml:space="preserve">age</x:t>
        </x:is>
      </x:c>
      <x:c r="D4" s="11" t="inlineStr">
        <x:is>
          <x:t xml:space="preserve">urbain_rural</x:t>
        </x:is>
      </x:c>
      <x:c r="E4" s="11" t="inlineStr">
        <x:is>
          <x:t xml:space="preserve">handicap</x:t>
        </x:is>
      </x:c>
      <x:c r="F4" s="11" t="inlineStr">
        <x:is>
          <x:t xml:space="preserve">quintile_riche</x:t>
        </x:is>
      </x:c>
      <x:c r="G4" s="11" t="inlineStr">
        <x:is>
          <x:t xml:space="preserve">vbg</x:t>
        </x:is>
      </x:c>
      <x:c r="H4" s="11" t="inlineStr">
        <x:is>
          <x:t xml:space="preserve">temps_domestique</x:t>
        </x:is>
      </x:c>
    </x:row>
    <x:row r="5">
      <x:c r="A5" s="8" t="n"/>
      <x:c r="B5" s="8" t="n"/>
      <x:c r="C5" s="8" t="n"/>
      <x:c r="D5" s="8" t="n"/>
      <x:c r="E5" s="8" t="n"/>
      <x:c r="F5" s="8" t="n"/>
      <x:c r="G5" s="8" t="n"/>
      <x:c r="H5" s="8" t="n"/>
    </x:row>
    <x:row r="6">
      <x:c r="A6" s="8" t="n"/>
      <x:c r="B6" s="8" t="n"/>
      <x:c r="C6" s="8" t="n"/>
      <x:c r="D6" s="8" t="n"/>
      <x:c r="E6" s="8" t="n"/>
      <x:c r="F6" s="8" t="n"/>
      <x:c r="G6" s="8" t="n"/>
      <x:c r="H6" s="8" t="n"/>
    </x:row>
    <x:row r="7">
      <x:c r="A7" s="8" t="n"/>
      <x:c r="B7" s="8" t="n"/>
      <x:c r="C7" s="8" t="n"/>
      <x:c r="D7" s="8" t="n"/>
      <x:c r="E7" s="8" t="n"/>
      <x:c r="F7" s="8" t="n"/>
      <x:c r="G7" s="8" t="n"/>
      <x:c r="H7" s="8" t="n"/>
    </x:row>
    <x:row r="8">
      <x:c r="A8" s="8" t="n"/>
      <x:c r="B8" s="8" t="n"/>
      <x:c r="C8" s="8" t="n"/>
      <x:c r="D8" s="8" t="n"/>
      <x:c r="E8" s="8" t="n"/>
      <x:c r="F8" s="8" t="n"/>
      <x:c r="G8" s="8" t="n"/>
      <x:c r="H8" s="8" t="n"/>
    </x:row>
    <x:row r="9">
      <x:c r="A9" s="8" t="n"/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8" t="n"/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8" t="n"/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8" t="n"/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8" t="n"/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8" t="n"/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8" t="n"/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8" t="n"/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8" t="n"/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8" t="n"/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8" t="n"/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8" t="n"/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8" t="n"/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8" t="n"/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8" t="n"/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8" t="n"/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8" t="n"/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8" t="n"/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8" t="n"/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8" t="n"/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8" t="n"/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8" t="n"/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8" t="n"/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8" t="n"/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8" t="n"/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8" t="n"/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8" t="n"/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8" t="n"/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8" t="n"/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8" t="n"/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8" t="n"/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8" t="n"/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8" t="n"/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8" t="n"/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8" t="n"/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8" t="n"/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8" t="n"/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8" t="n"/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8" t="n"/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8" t="n"/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8" t="n"/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8" t="n"/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8" t="n"/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8" t="n"/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8" t="n"/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8" t="n"/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8" t="n"/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8" t="n"/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8" t="n"/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8" t="n"/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8" t="n"/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8" t="n"/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8" t="n"/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8" t="n"/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8" t="n"/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8" t="n"/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8" t="n"/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8" t="n"/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8" t="n"/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8" t="n"/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8" t="n"/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8" t="n"/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8" t="n"/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8" t="n"/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8" t="n"/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8" t="n"/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8" t="n"/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8" t="n"/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8" t="n"/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8" t="n"/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8" t="n"/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8" t="n"/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8" t="n"/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8" t="n"/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8" t="n"/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8" t="n"/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8" t="n"/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8" t="n"/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8" t="n"/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8" t="n"/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8" t="n"/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8" t="n"/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8" t="n"/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8" t="n"/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8" t="n"/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8" t="n"/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8" t="n"/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8" t="n"/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8" t="n"/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8" t="n"/>
      <x:c r="B98" s="8" t="n"/>
      <x:c r="C98" s="8" t="n"/>
      <x:c r="D98" s="8" t="n"/>
      <x:c r="E98" s="8" t="n"/>
      <x:c r="F98" s="8" t="n"/>
      <x:c r="G98" s="8" t="n"/>
      <x:c r="H98" s="8" t="n"/>
    </x:row>
    <x:row r="99">
      <x:c r="A99" s="8" t="n"/>
      <x:c r="B99" s="8" t="n"/>
      <x:c r="C99" s="8" t="n"/>
      <x:c r="D99" s="8" t="n"/>
      <x:c r="E99" s="8" t="n"/>
      <x:c r="F99" s="8" t="n"/>
      <x:c r="G99" s="8" t="n"/>
      <x:c r="H99" s="8" t="n"/>
    </x:row>
    <x:row r="100">
      <x:c r="A100" s="8" t="n"/>
      <x:c r="B100" s="8" t="n"/>
      <x:c r="C100" s="8" t="n"/>
      <x:c r="D100" s="8" t="n"/>
      <x:c r="E100" s="8" t="n"/>
      <x:c r="F100" s="8" t="n"/>
      <x:c r="G100" s="8" t="n"/>
      <x:c r="H100" s="8" t="n"/>
    </x:row>
    <x:row r="101">
      <x:c r="A101" s="8" t="n"/>
      <x:c r="B101" s="8" t="n"/>
      <x:c r="C101" s="8" t="n"/>
      <x:c r="D101" s="8" t="n"/>
      <x:c r="E101" s="8" t="n"/>
      <x:c r="F101" s="8" t="n"/>
      <x:c r="G101" s="8" t="n"/>
      <x:c r="H101" s="8" t="n"/>
    </x:row>
    <x:row r="102">
      <x:c r="A102" s="8" t="n"/>
      <x:c r="B102" s="8" t="n"/>
      <x:c r="C102" s="8" t="n"/>
      <x:c r="D102" s="8" t="n"/>
      <x:c r="E102" s="8" t="n"/>
      <x:c r="F102" s="8" t="n"/>
      <x:c r="G102" s="8" t="n"/>
      <x:c r="H102" s="8" t="n"/>
    </x:row>
    <x:row r="103">
      <x:c r="A103" s="8" t="n"/>
      <x:c r="B103" s="8" t="n"/>
      <x:c r="C103" s="8" t="n"/>
      <x:c r="D103" s="8" t="n"/>
      <x:c r="E103" s="8" t="n"/>
      <x:c r="F103" s="8" t="n"/>
      <x:c r="G103" s="8" t="n"/>
      <x:c r="H103" s="8" t="n"/>
    </x:row>
    <x:row r="104">
      <x:c r="A104" s="8" t="n"/>
      <x:c r="B104" s="8" t="n"/>
      <x:c r="C104" s="8" t="n"/>
      <x:c r="D104" s="8" t="n"/>
      <x:c r="E104" s="8" t="n"/>
      <x:c r="F104" s="8" t="n"/>
      <x:c r="G104" s="8" t="n"/>
      <x:c r="H104" s="8" t="n"/>
    </x:row>
    <x:row r="105">
      <x:c r="A105" s="8" t="n"/>
      <x:c r="B105" s="8" t="n"/>
      <x:c r="C105" s="8" t="n"/>
      <x:c r="D105" s="8" t="n"/>
      <x:c r="E105" s="8" t="n"/>
      <x:c r="F105" s="8" t="n"/>
      <x:c r="G105" s="8" t="n"/>
      <x:c r="H105" s="8" t="n"/>
    </x:row>
    <x:row r="106">
      <x:c r="A106" s="8" t="n"/>
      <x:c r="B106" s="8" t="n"/>
      <x:c r="C106" s="8" t="n"/>
      <x:c r="D106" s="8" t="n"/>
      <x:c r="E106" s="8" t="n"/>
      <x:c r="F106" s="8" t="n"/>
      <x:c r="G106" s="8" t="n"/>
      <x:c r="H106" s="8" t="n"/>
    </x:row>
    <x:row r="107">
      <x:c r="A107" s="8" t="n"/>
      <x:c r="B107" s="8" t="n"/>
      <x:c r="C107" s="8" t="n"/>
      <x:c r="D107" s="8" t="n"/>
      <x:c r="E107" s="8" t="n"/>
      <x:c r="F107" s="8" t="n"/>
      <x:c r="G107" s="8" t="n"/>
      <x:c r="H107" s="8" t="n"/>
    </x:row>
    <x:row r="108">
      <x:c r="A108" s="8" t="n"/>
      <x:c r="B108" s="8" t="n"/>
      <x:c r="C108" s="8" t="n"/>
      <x:c r="D108" s="8" t="n"/>
      <x:c r="E108" s="8" t="n"/>
      <x:c r="F108" s="8" t="n"/>
      <x:c r="G108" s="8" t="n"/>
      <x:c r="H108" s="8" t="n"/>
    </x:row>
    <x:row r="109">
      <x:c r="A109" s="8" t="n"/>
      <x:c r="B109" s="8" t="n"/>
      <x:c r="C109" s="8" t="n"/>
      <x:c r="D109" s="8" t="n"/>
      <x:c r="E109" s="8" t="n"/>
      <x:c r="F109" s="8" t="n"/>
      <x:c r="G109" s="8" t="n"/>
      <x:c r="H109" s="8" t="n"/>
    </x:row>
    <x:row r="110">
      <x:c r="A110" s="8" t="n"/>
      <x:c r="B110" s="8" t="n"/>
      <x:c r="C110" s="8" t="n"/>
      <x:c r="D110" s="8" t="n"/>
      <x:c r="E110" s="8" t="n"/>
      <x:c r="F110" s="8" t="n"/>
      <x:c r="G110" s="8" t="n"/>
      <x:c r="H110" s="8" t="n"/>
    </x:row>
    <x:row r="111">
      <x:c r="A111" s="8" t="n"/>
      <x:c r="B111" s="8" t="n"/>
      <x:c r="C111" s="8" t="n"/>
      <x:c r="D111" s="8" t="n"/>
      <x:c r="E111" s="8" t="n"/>
      <x:c r="F111" s="8" t="n"/>
      <x:c r="G111" s="8" t="n"/>
      <x:c r="H111" s="8" t="n"/>
    </x:row>
    <x:row r="112">
      <x:c r="A112" s="8" t="n"/>
      <x:c r="B112" s="8" t="n"/>
      <x:c r="C112" s="8" t="n"/>
      <x:c r="D112" s="8" t="n"/>
      <x:c r="E112" s="8" t="n"/>
      <x:c r="F112" s="8" t="n"/>
      <x:c r="G112" s="8" t="n"/>
      <x:c r="H112" s="8" t="n"/>
    </x:row>
    <x:row r="113">
      <x:c r="A113" s="8" t="n"/>
      <x:c r="B113" s="8" t="n"/>
      <x:c r="C113" s="8" t="n"/>
      <x:c r="D113" s="8" t="n"/>
      <x:c r="E113" s="8" t="n"/>
      <x:c r="F113" s="8" t="n"/>
      <x:c r="G113" s="8" t="n"/>
      <x:c r="H113" s="8" t="n"/>
    </x:row>
    <x:row r="114">
      <x:c r="A114" s="8" t="n"/>
      <x:c r="B114" s="8" t="n"/>
      <x:c r="C114" s="8" t="n"/>
      <x:c r="D114" s="8" t="n"/>
      <x:c r="E114" s="8" t="n"/>
      <x:c r="F114" s="8" t="n"/>
      <x:c r="G114" s="8" t="n"/>
      <x:c r="H114" s="8" t="n"/>
    </x:row>
    <x:row r="115">
      <x:c r="A115" s="8" t="n"/>
      <x:c r="B115" s="8" t="n"/>
      <x:c r="C115" s="8" t="n"/>
      <x:c r="D115" s="8" t="n"/>
      <x:c r="E115" s="8" t="n"/>
      <x:c r="F115" s="8" t="n"/>
      <x:c r="G115" s="8" t="n"/>
      <x:c r="H115" s="8" t="n"/>
    </x:row>
    <x:row r="116">
      <x:c r="A116" s="8" t="n"/>
      <x:c r="B116" s="8" t="n"/>
      <x:c r="C116" s="8" t="n"/>
      <x:c r="D116" s="8" t="n"/>
      <x:c r="E116" s="8" t="n"/>
      <x:c r="F116" s="8" t="n"/>
      <x:c r="G116" s="8" t="n"/>
      <x:c r="H116" s="8" t="n"/>
    </x:row>
    <x:row r="117">
      <x:c r="A117" s="8" t="n"/>
      <x:c r="B117" s="8" t="n"/>
      <x:c r="C117" s="8" t="n"/>
      <x:c r="D117" s="8" t="n"/>
      <x:c r="E117" s="8" t="n"/>
      <x:c r="F117" s="8" t="n"/>
      <x:c r="G117" s="8" t="n"/>
      <x:c r="H117" s="8" t="n"/>
    </x:row>
    <x:row r="118">
      <x:c r="A118" s="8" t="n"/>
      <x:c r="B118" s="8" t="n"/>
      <x:c r="C118" s="8" t="n"/>
      <x:c r="D118" s="8" t="n"/>
      <x:c r="E118" s="8" t="n"/>
      <x:c r="F118" s="8" t="n"/>
      <x:c r="G118" s="8" t="n"/>
      <x:c r="H118" s="8" t="n"/>
    </x:row>
    <x:row r="119">
      <x:c r="A119" s="8" t="n"/>
      <x:c r="B119" s="8" t="n"/>
      <x:c r="C119" s="8" t="n"/>
      <x:c r="D119" s="8" t="n"/>
      <x:c r="E119" s="8" t="n"/>
      <x:c r="F119" s="8" t="n"/>
      <x:c r="G119" s="8" t="n"/>
      <x:c r="H119" s="8" t="n"/>
    </x:row>
    <x:row r="120">
      <x:c r="A120" s="8" t="n"/>
      <x:c r="B120" s="8" t="n"/>
      <x:c r="C120" s="8" t="n"/>
      <x:c r="D120" s="8" t="n"/>
      <x:c r="E120" s="8" t="n"/>
      <x:c r="F120" s="8" t="n"/>
      <x:c r="G120" s="8" t="n"/>
      <x:c r="H120" s="8" t="n"/>
    </x:row>
    <x:row r="121">
      <x:c r="A121" s="8" t="n"/>
      <x:c r="B121" s="8" t="n"/>
      <x:c r="C121" s="8" t="n"/>
      <x:c r="D121" s="8" t="n"/>
      <x:c r="E121" s="8" t="n"/>
      <x:c r="F121" s="8" t="n"/>
      <x:c r="G121" s="8" t="n"/>
      <x:c r="H121" s="8" t="n"/>
    </x:row>
    <x:row r="122">
      <x:c r="A122" s="8" t="n"/>
      <x:c r="B122" s="8" t="n"/>
      <x:c r="C122" s="8" t="n"/>
      <x:c r="D122" s="8" t="n"/>
      <x:c r="E122" s="8" t="n"/>
      <x:c r="F122" s="8" t="n"/>
      <x:c r="G122" s="8" t="n"/>
      <x:c r="H122" s="8" t="n"/>
    </x:row>
    <x:row r="123">
      <x:c r="A123" s="8" t="n"/>
      <x:c r="B123" s="8" t="n"/>
      <x:c r="C123" s="8" t="n"/>
      <x:c r="D123" s="8" t="n"/>
      <x:c r="E123" s="8" t="n"/>
      <x:c r="F123" s="8" t="n"/>
      <x:c r="G123" s="8" t="n"/>
      <x:c r="H123" s="8" t="n"/>
    </x:row>
    <x:row r="124">
      <x:c r="A124" s="8" t="n"/>
      <x:c r="B124" s="8" t="n"/>
      <x:c r="C124" s="8" t="n"/>
      <x:c r="D124" s="8" t="n"/>
      <x:c r="E124" s="8" t="n"/>
      <x:c r="F124" s="8" t="n"/>
      <x:c r="G124" s="8" t="n"/>
      <x:c r="H124" s="8" t="n"/>
    </x:row>
    <x:row r="125">
      <x:c r="A125" s="8" t="n"/>
      <x:c r="B125" s="8" t="n"/>
      <x:c r="C125" s="8" t="n"/>
      <x:c r="D125" s="8" t="n"/>
      <x:c r="E125" s="8" t="n"/>
      <x:c r="F125" s="8" t="n"/>
      <x:c r="G125" s="8" t="n"/>
      <x:c r="H125" s="8" t="n"/>
    </x:row>
    <x:row r="126">
      <x:c r="A126" s="8" t="n"/>
      <x:c r="B126" s="8" t="n"/>
      <x:c r="C126" s="8" t="n"/>
      <x:c r="D126" s="8" t="n"/>
      <x:c r="E126" s="8" t="n"/>
      <x:c r="F126" s="8" t="n"/>
      <x:c r="G126" s="8" t="n"/>
      <x:c r="H126" s="8" t="n"/>
    </x:row>
    <x:row r="127">
      <x:c r="A127" s="8" t="n"/>
      <x:c r="B127" s="8" t="n"/>
      <x:c r="C127" s="8" t="n"/>
      <x:c r="D127" s="8" t="n"/>
      <x:c r="E127" s="8" t="n"/>
      <x:c r="F127" s="8" t="n"/>
      <x:c r="G127" s="8" t="n"/>
      <x:c r="H127" s="8" t="n"/>
    </x:row>
    <x:row r="128">
      <x:c r="A128" s="8" t="n"/>
      <x:c r="B128" s="8" t="n"/>
      <x:c r="C128" s="8" t="n"/>
      <x:c r="D128" s="8" t="n"/>
      <x:c r="E128" s="8" t="n"/>
      <x:c r="F128" s="8" t="n"/>
      <x:c r="G128" s="8" t="n"/>
      <x:c r="H128" s="8" t="n"/>
    </x:row>
    <x:row r="129">
      <x:c r="A129" s="8" t="n"/>
      <x:c r="B129" s="8" t="n"/>
      <x:c r="C129" s="8" t="n"/>
      <x:c r="D129" s="8" t="n"/>
      <x:c r="E129" s="8" t="n"/>
      <x:c r="F129" s="8" t="n"/>
      <x:c r="G129" s="8" t="n"/>
      <x:c r="H129" s="8" t="n"/>
    </x:row>
    <x:row r="130">
      <x:c r="A130" s="8" t="n"/>
      <x:c r="B130" s="8" t="n"/>
      <x:c r="C130" s="8" t="n"/>
      <x:c r="D130" s="8" t="n"/>
      <x:c r="E130" s="8" t="n"/>
      <x:c r="F130" s="8" t="n"/>
      <x:c r="G130" s="8" t="n"/>
      <x:c r="H130" s="8" t="n"/>
    </x:row>
    <x:row r="131">
      <x:c r="A131" s="8" t="n"/>
      <x:c r="B131" s="8" t="n"/>
      <x:c r="C131" s="8" t="n"/>
      <x:c r="D131" s="8" t="n"/>
      <x:c r="E131" s="8" t="n"/>
      <x:c r="F131" s="8" t="n"/>
      <x:c r="G131" s="8" t="n"/>
      <x:c r="H131" s="8" t="n"/>
    </x:row>
    <x:row r="132">
      <x:c r="A132" s="8" t="n"/>
      <x:c r="B132" s="8" t="n"/>
      <x:c r="C132" s="8" t="n"/>
      <x:c r="D132" s="8" t="n"/>
      <x:c r="E132" s="8" t="n"/>
      <x:c r="F132" s="8" t="n"/>
      <x:c r="G132" s="8" t="n"/>
      <x:c r="H132" s="8" t="n"/>
    </x:row>
    <x:row r="133">
      <x:c r="A133" s="8" t="n"/>
      <x:c r="B133" s="8" t="n"/>
      <x:c r="C133" s="8" t="n"/>
      <x:c r="D133" s="8" t="n"/>
      <x:c r="E133" s="8" t="n"/>
      <x:c r="F133" s="8" t="n"/>
      <x:c r="G133" s="8" t="n"/>
      <x:c r="H133" s="8" t="n"/>
    </x:row>
    <x:row r="134">
      <x:c r="A134" s="8" t="n"/>
      <x:c r="B134" s="8" t="n"/>
      <x:c r="C134" s="8" t="n"/>
      <x:c r="D134" s="8" t="n"/>
      <x:c r="E134" s="8" t="n"/>
      <x:c r="F134" s="8" t="n"/>
      <x:c r="G134" s="8" t="n"/>
      <x:c r="H134" s="8" t="n"/>
    </x:row>
    <x:row r="135">
      <x:c r="A135" s="8" t="n"/>
      <x:c r="B135" s="8" t="n"/>
      <x:c r="C135" s="8" t="n"/>
      <x:c r="D135" s="8" t="n"/>
      <x:c r="E135" s="8" t="n"/>
      <x:c r="F135" s="8" t="n"/>
      <x:c r="G135" s="8" t="n"/>
      <x:c r="H135" s="8" t="n"/>
    </x:row>
    <x:row r="136">
      <x:c r="A136" s="8" t="n"/>
      <x:c r="B136" s="8" t="n"/>
      <x:c r="C136" s="8" t="n"/>
      <x:c r="D136" s="8" t="n"/>
      <x:c r="E136" s="8" t="n"/>
      <x:c r="F136" s="8" t="n"/>
      <x:c r="G136" s="8" t="n"/>
      <x:c r="H136" s="8" t="n"/>
    </x:row>
    <x:row r="137">
      <x:c r="A137" s="8" t="n"/>
      <x:c r="B137" s="8" t="n"/>
      <x:c r="C137" s="8" t="n"/>
      <x:c r="D137" s="8" t="n"/>
      <x:c r="E137" s="8" t="n"/>
      <x:c r="F137" s="8" t="n"/>
      <x:c r="G137" s="8" t="n"/>
      <x:c r="H137" s="8" t="n"/>
    </x:row>
    <x:row r="138">
      <x:c r="A138" s="8" t="n"/>
      <x:c r="B138" s="8" t="n"/>
      <x:c r="C138" s="8" t="n"/>
      <x:c r="D138" s="8" t="n"/>
      <x:c r="E138" s="8" t="n"/>
      <x:c r="F138" s="8" t="n"/>
      <x:c r="G138" s="8" t="n"/>
      <x:c r="H138" s="8" t="n"/>
    </x:row>
    <x:row r="139">
      <x:c r="A139" s="8" t="n"/>
      <x:c r="B139" s="8" t="n"/>
      <x:c r="C139" s="8" t="n"/>
      <x:c r="D139" s="8" t="n"/>
      <x:c r="E139" s="8" t="n"/>
      <x:c r="F139" s="8" t="n"/>
      <x:c r="G139" s="8" t="n"/>
      <x:c r="H139" s="8" t="n"/>
    </x:row>
    <x:row r="140">
      <x:c r="A140" s="8" t="n"/>
      <x:c r="B140" s="8" t="n"/>
      <x:c r="C140" s="8" t="n"/>
      <x:c r="D140" s="8" t="n"/>
      <x:c r="E140" s="8" t="n"/>
      <x:c r="F140" s="8" t="n"/>
      <x:c r="G140" s="8" t="n"/>
      <x:c r="H140" s="8" t="n"/>
    </x:row>
    <x:row r="141">
      <x:c r="A141" s="8" t="n"/>
      <x:c r="B141" s="8" t="n"/>
      <x:c r="C141" s="8" t="n"/>
      <x:c r="D141" s="8" t="n"/>
      <x:c r="E141" s="8" t="n"/>
      <x:c r="F141" s="8" t="n"/>
      <x:c r="G141" s="8" t="n"/>
      <x:c r="H141" s="8" t="n"/>
    </x:row>
    <x:row r="142">
      <x:c r="A142" s="8" t="n"/>
      <x:c r="B142" s="8" t="n"/>
      <x:c r="C142" s="8" t="n"/>
      <x:c r="D142" s="8" t="n"/>
      <x:c r="E142" s="8" t="n"/>
      <x:c r="F142" s="8" t="n"/>
      <x:c r="G142" s="8" t="n"/>
      <x:c r="H142" s="8" t="n"/>
    </x:row>
    <x:row r="143">
      <x:c r="A143" s="8" t="n"/>
      <x:c r="B143" s="8" t="n"/>
      <x:c r="C143" s="8" t="n"/>
      <x:c r="D143" s="8" t="n"/>
      <x:c r="E143" s="8" t="n"/>
      <x:c r="F143" s="8" t="n"/>
      <x:c r="G143" s="8" t="n"/>
      <x:c r="H143" s="8" t="n"/>
    </x:row>
    <x:row r="144">
      <x:c r="A144" s="8" t="n"/>
      <x:c r="B144" s="8" t="n"/>
      <x:c r="C144" s="8" t="n"/>
      <x:c r="D144" s="8" t="n"/>
      <x:c r="E144" s="8" t="n"/>
      <x:c r="F144" s="8" t="n"/>
      <x:c r="G144" s="8" t="n"/>
      <x:c r="H144" s="8" t="n"/>
    </x:row>
    <x:row r="145">
      <x:c r="A145" s="8" t="n"/>
      <x:c r="B145" s="8" t="n"/>
      <x:c r="C145" s="8" t="n"/>
      <x:c r="D145" s="8" t="n"/>
      <x:c r="E145" s="8" t="n"/>
      <x:c r="F145" s="8" t="n"/>
      <x:c r="G145" s="8" t="n"/>
      <x:c r="H145" s="8" t="n"/>
    </x:row>
    <x:row r="146">
      <x:c r="A146" s="8" t="n"/>
      <x:c r="B146" s="8" t="n"/>
      <x:c r="C146" s="8" t="n"/>
      <x:c r="D146" s="8" t="n"/>
      <x:c r="E146" s="8" t="n"/>
      <x:c r="F146" s="8" t="n"/>
      <x:c r="G146" s="8" t="n"/>
      <x:c r="H146" s="8" t="n"/>
    </x:row>
    <x:row r="147">
      <x:c r="A147" s="8" t="n"/>
      <x:c r="B147" s="8" t="n"/>
      <x:c r="C147" s="8" t="n"/>
      <x:c r="D147" s="8" t="n"/>
      <x:c r="E147" s="8" t="n"/>
      <x:c r="F147" s="8" t="n"/>
      <x:c r="G147" s="8" t="n"/>
      <x:c r="H147" s="8" t="n"/>
    </x:row>
    <x:row r="148">
      <x:c r="A148" s="8" t="n"/>
      <x:c r="B148" s="8" t="n"/>
      <x:c r="C148" s="8" t="n"/>
      <x:c r="D148" s="8" t="n"/>
      <x:c r="E148" s="8" t="n"/>
      <x:c r="F148" s="8" t="n"/>
      <x:c r="G148" s="8" t="n"/>
      <x:c r="H148" s="8" t="n"/>
    </x:row>
    <x:row r="149">
      <x:c r="A149" s="8" t="n"/>
      <x:c r="B149" s="8" t="n"/>
      <x:c r="C149" s="8" t="n"/>
      <x:c r="D149" s="8" t="n"/>
      <x:c r="E149" s="8" t="n"/>
      <x:c r="F149" s="8" t="n"/>
      <x:c r="G149" s="8" t="n"/>
      <x:c r="H149" s="8" t="n"/>
    </x:row>
    <x:row r="150">
      <x:c r="A150" s="8" t="n"/>
      <x:c r="B150" s="8" t="n"/>
      <x:c r="C150" s="8" t="n"/>
      <x:c r="D150" s="8" t="n"/>
      <x:c r="E150" s="8" t="n"/>
      <x:c r="F150" s="8" t="n"/>
      <x:c r="G150" s="8" t="n"/>
      <x:c r="H150" s="8" t="n"/>
    </x:row>
    <x:row r="151">
      <x:c r="A151" s="8" t="n"/>
      <x:c r="B151" s="8" t="n"/>
      <x:c r="C151" s="8" t="n"/>
      <x:c r="D151" s="8" t="n"/>
      <x:c r="E151" s="8" t="n"/>
      <x:c r="F151" s="8" t="n"/>
      <x:c r="G151" s="8" t="n"/>
      <x:c r="H151" s="8" t="n"/>
    </x:row>
    <x:row r="152">
      <x:c r="A152" s="8" t="n"/>
      <x:c r="B152" s="8" t="n"/>
      <x:c r="C152" s="8" t="n"/>
      <x:c r="D152" s="8" t="n"/>
      <x:c r="E152" s="8" t="n"/>
      <x:c r="F152" s="8" t="n"/>
      <x:c r="G152" s="8" t="n"/>
      <x:c r="H152" s="8" t="n"/>
    </x:row>
    <x:row r="153">
      <x:c r="A153" s="8" t="n"/>
      <x:c r="B153" s="8" t="n"/>
      <x:c r="C153" s="8" t="n"/>
      <x:c r="D153" s="8" t="n"/>
      <x:c r="E153" s="8" t="n"/>
      <x:c r="F153" s="8" t="n"/>
      <x:c r="G153" s="8" t="n"/>
      <x:c r="H153" s="8" t="n"/>
    </x:row>
    <x:row r="154">
      <x:c r="A154" s="8" t="n"/>
      <x:c r="B154" s="8" t="n"/>
      <x:c r="C154" s="8" t="n"/>
      <x:c r="D154" s="8" t="n"/>
      <x:c r="E154" s="8" t="n"/>
      <x:c r="F154" s="8" t="n"/>
      <x:c r="G154" s="8" t="n"/>
      <x:c r="H154" s="8" t="n"/>
    </x:row>
    <x:row r="155">
      <x:c r="A155" s="8" t="n"/>
      <x:c r="B155" s="8" t="n"/>
      <x:c r="C155" s="8" t="n"/>
      <x:c r="D155" s="8" t="n"/>
      <x:c r="E155" s="8" t="n"/>
      <x:c r="F155" s="8" t="n"/>
      <x:c r="G155" s="8" t="n"/>
      <x:c r="H155" s="8" t="n"/>
    </x:row>
    <x:row r="156">
      <x:c r="A156" s="8" t="n"/>
      <x:c r="B156" s="8" t="n"/>
      <x:c r="C156" s="8" t="n"/>
      <x:c r="D156" s="8" t="n"/>
      <x:c r="E156" s="8" t="n"/>
      <x:c r="F156" s="8" t="n"/>
      <x:c r="G156" s="8" t="n"/>
      <x:c r="H156" s="8" t="n"/>
    </x:row>
    <x:row r="157">
      <x:c r="A157" s="8" t="n"/>
      <x:c r="B157" s="8" t="n"/>
      <x:c r="C157" s="8" t="n"/>
      <x:c r="D157" s="8" t="n"/>
      <x:c r="E157" s="8" t="n"/>
      <x:c r="F157" s="8" t="n"/>
      <x:c r="G157" s="8" t="n"/>
      <x:c r="H157" s="8" t="n"/>
    </x:row>
    <x:row r="158">
      <x:c r="A158" s="8" t="n"/>
      <x:c r="B158" s="8" t="n"/>
      <x:c r="C158" s="8" t="n"/>
      <x:c r="D158" s="8" t="n"/>
      <x:c r="E158" s="8" t="n"/>
      <x:c r="F158" s="8" t="n"/>
      <x:c r="G158" s="8" t="n"/>
      <x:c r="H158" s="8" t="n"/>
    </x:row>
    <x:row r="159">
      <x:c r="A159" s="8" t="n"/>
      <x:c r="B159" s="8" t="n"/>
      <x:c r="C159" s="8" t="n"/>
      <x:c r="D159" s="8" t="n"/>
      <x:c r="E159" s="8" t="n"/>
      <x:c r="F159" s="8" t="n"/>
      <x:c r="G159" s="8" t="n"/>
      <x:c r="H159" s="8" t="n"/>
    </x:row>
    <x:row r="160">
      <x:c r="A160" s="8" t="n"/>
      <x:c r="B160" s="8" t="n"/>
      <x:c r="C160" s="8" t="n"/>
      <x:c r="D160" s="8" t="n"/>
      <x:c r="E160" s="8" t="n"/>
      <x:c r="F160" s="8" t="n"/>
      <x:c r="G160" s="8" t="n"/>
      <x:c r="H160" s="8" t="n"/>
    </x:row>
    <x:row r="161">
      <x:c r="A161" s="8" t="n"/>
      <x:c r="B161" s="8" t="n"/>
      <x:c r="C161" s="8" t="n"/>
      <x:c r="D161" s="8" t="n"/>
      <x:c r="E161" s="8" t="n"/>
      <x:c r="F161" s="8" t="n"/>
      <x:c r="G161" s="8" t="n"/>
      <x:c r="H161" s="8" t="n"/>
    </x:row>
    <x:row r="162">
      <x:c r="A162" s="8" t="n"/>
      <x:c r="B162" s="8" t="n"/>
      <x:c r="C162" s="8" t="n"/>
      <x:c r="D162" s="8" t="n"/>
      <x:c r="E162" s="8" t="n"/>
      <x:c r="F162" s="8" t="n"/>
      <x:c r="G162" s="8" t="n"/>
      <x:c r="H162" s="8" t="n"/>
    </x:row>
    <x:row r="163">
      <x:c r="A163" s="8" t="n"/>
      <x:c r="B163" s="8" t="n"/>
      <x:c r="C163" s="8" t="n"/>
      <x:c r="D163" s="8" t="n"/>
      <x:c r="E163" s="8" t="n"/>
      <x:c r="F163" s="8" t="n"/>
      <x:c r="G163" s="8" t="n"/>
      <x:c r="H163" s="8" t="n"/>
    </x:row>
    <x:row r="164">
      <x:c r="A164" s="8" t="n"/>
      <x:c r="B164" s="8" t="n"/>
      <x:c r="C164" s="8" t="n"/>
      <x:c r="D164" s="8" t="n"/>
      <x:c r="E164" s="8" t="n"/>
      <x:c r="F164" s="8" t="n"/>
      <x:c r="G164" s="8" t="n"/>
      <x:c r="H164" s="8" t="n"/>
    </x:row>
    <x:row r="165">
      <x:c r="A165" s="8" t="n"/>
      <x:c r="B165" s="8" t="n"/>
      <x:c r="C165" s="8" t="n"/>
      <x:c r="D165" s="8" t="n"/>
      <x:c r="E165" s="8" t="n"/>
      <x:c r="F165" s="8" t="n"/>
      <x:c r="G165" s="8" t="n"/>
      <x:c r="H165" s="8" t="n"/>
    </x:row>
    <x:row r="166">
      <x:c r="A166" s="8" t="n"/>
      <x:c r="B166" s="8" t="n"/>
      <x:c r="C166" s="8" t="n"/>
      <x:c r="D166" s="8" t="n"/>
      <x:c r="E166" s="8" t="n"/>
      <x:c r="F166" s="8" t="n"/>
      <x:c r="G166" s="8" t="n"/>
      <x:c r="H166" s="8" t="n"/>
    </x:row>
    <x:row r="167">
      <x:c r="A167" s="8" t="n"/>
      <x:c r="B167" s="8" t="n"/>
      <x:c r="C167" s="8" t="n"/>
      <x:c r="D167" s="8" t="n"/>
      <x:c r="E167" s="8" t="n"/>
      <x:c r="F167" s="8" t="n"/>
      <x:c r="G167" s="8" t="n"/>
      <x:c r="H167" s="8" t="n"/>
    </x:row>
    <x:row r="168">
      <x:c r="A168" s="8" t="n"/>
      <x:c r="B168" s="8" t="n"/>
      <x:c r="C168" s="8" t="n"/>
      <x:c r="D168" s="8" t="n"/>
      <x:c r="E168" s="8" t="n"/>
      <x:c r="F168" s="8" t="n"/>
      <x:c r="G168" s="8" t="n"/>
      <x:c r="H168" s="8" t="n"/>
    </x:row>
    <x:row r="169">
      <x:c r="A169" s="8" t="n"/>
      <x:c r="B169" s="8" t="n"/>
      <x:c r="C169" s="8" t="n"/>
      <x:c r="D169" s="8" t="n"/>
      <x:c r="E169" s="8" t="n"/>
      <x:c r="F169" s="8" t="n"/>
      <x:c r="G169" s="8" t="n"/>
      <x:c r="H169" s="8" t="n"/>
    </x:row>
    <x:row r="170">
      <x:c r="A170" s="8" t="n"/>
      <x:c r="B170" s="8" t="n"/>
      <x:c r="C170" s="8" t="n"/>
      <x:c r="D170" s="8" t="n"/>
      <x:c r="E170" s="8" t="n"/>
      <x:c r="F170" s="8" t="n"/>
      <x:c r="G170" s="8" t="n"/>
      <x:c r="H170" s="8" t="n"/>
    </x:row>
    <x:row r="171">
      <x:c r="A171" s="8" t="n"/>
      <x:c r="B171" s="8" t="n"/>
      <x:c r="C171" s="8" t="n"/>
      <x:c r="D171" s="8" t="n"/>
      <x:c r="E171" s="8" t="n"/>
      <x:c r="F171" s="8" t="n"/>
      <x:c r="G171" s="8" t="n"/>
      <x:c r="H171" s="8" t="n"/>
    </x:row>
    <x:row r="172">
      <x:c r="A172" s="8" t="n"/>
      <x:c r="B172" s="8" t="n"/>
      <x:c r="C172" s="8" t="n"/>
      <x:c r="D172" s="8" t="n"/>
      <x:c r="E172" s="8" t="n"/>
      <x:c r="F172" s="8" t="n"/>
      <x:c r="G172" s="8" t="n"/>
      <x:c r="H172" s="8" t="n"/>
    </x:row>
    <x:row r="173">
      <x:c r="A173" s="8" t="n"/>
      <x:c r="B173" s="8" t="n"/>
      <x:c r="C173" s="8" t="n"/>
      <x:c r="D173" s="8" t="n"/>
      <x:c r="E173" s="8" t="n"/>
      <x:c r="F173" s="8" t="n"/>
      <x:c r="G173" s="8" t="n"/>
      <x:c r="H173" s="8" t="n"/>
    </x:row>
    <x:row r="174">
      <x:c r="A174" s="8" t="n"/>
      <x:c r="B174" s="8" t="n"/>
      <x:c r="C174" s="8" t="n"/>
      <x:c r="D174" s="8" t="n"/>
      <x:c r="E174" s="8" t="n"/>
      <x:c r="F174" s="8" t="n"/>
      <x:c r="G174" s="8" t="n"/>
      <x:c r="H174" s="8" t="n"/>
    </x:row>
    <x:row r="175">
      <x:c r="A175" s="8" t="n"/>
      <x:c r="B175" s="8" t="n"/>
      <x:c r="C175" s="8" t="n"/>
      <x:c r="D175" s="8" t="n"/>
      <x:c r="E175" s="8" t="n"/>
      <x:c r="F175" s="8" t="n"/>
      <x:c r="G175" s="8" t="n"/>
      <x:c r="H175" s="8" t="n"/>
    </x:row>
    <x:row r="176">
      <x:c r="A176" s="8" t="n"/>
      <x:c r="B176" s="8" t="n"/>
      <x:c r="C176" s="8" t="n"/>
      <x:c r="D176" s="8" t="n"/>
      <x:c r="E176" s="8" t="n"/>
      <x:c r="F176" s="8" t="n"/>
      <x:c r="G176" s="8" t="n"/>
      <x:c r="H176" s="8" t="n"/>
    </x:row>
    <x:row r="177">
      <x:c r="A177" s="8" t="n"/>
      <x:c r="B177" s="8" t="n"/>
      <x:c r="C177" s="8" t="n"/>
      <x:c r="D177" s="8" t="n"/>
      <x:c r="E177" s="8" t="n"/>
      <x:c r="F177" s="8" t="n"/>
      <x:c r="G177" s="8" t="n"/>
      <x:c r="H177" s="8" t="n"/>
    </x:row>
    <x:row r="178">
      <x:c r="A178" s="8" t="n"/>
      <x:c r="B178" s="8" t="n"/>
      <x:c r="C178" s="8" t="n"/>
      <x:c r="D178" s="8" t="n"/>
      <x:c r="E178" s="8" t="n"/>
      <x:c r="F178" s="8" t="n"/>
      <x:c r="G178" s="8" t="n"/>
      <x:c r="H178" s="8" t="n"/>
    </x:row>
    <x:row r="179">
      <x:c r="A179" s="8" t="n"/>
      <x:c r="B179" s="8" t="n"/>
      <x:c r="C179" s="8" t="n"/>
      <x:c r="D179" s="8" t="n"/>
      <x:c r="E179" s="8" t="n"/>
      <x:c r="F179" s="8" t="n"/>
      <x:c r="G179" s="8" t="n"/>
      <x:c r="H179" s="8" t="n"/>
    </x:row>
    <x:row r="180">
      <x:c r="A180" s="8" t="n"/>
      <x:c r="B180" s="8" t="n"/>
      <x:c r="C180" s="8" t="n"/>
      <x:c r="D180" s="8" t="n"/>
      <x:c r="E180" s="8" t="n"/>
      <x:c r="F180" s="8" t="n"/>
      <x:c r="G180" s="8" t="n"/>
      <x:c r="H180" s="8" t="n"/>
    </x:row>
    <x:row r="181">
      <x:c r="A181" s="8" t="n"/>
      <x:c r="B181" s="8" t="n"/>
      <x:c r="C181" s="8" t="n"/>
      <x:c r="D181" s="8" t="n"/>
      <x:c r="E181" s="8" t="n"/>
      <x:c r="F181" s="8" t="n"/>
      <x:c r="G181" s="8" t="n"/>
      <x:c r="H181" s="8" t="n"/>
    </x:row>
    <x:row r="182">
      <x:c r="A182" s="8" t="n"/>
      <x:c r="B182" s="8" t="n"/>
      <x:c r="C182" s="8" t="n"/>
      <x:c r="D182" s="8" t="n"/>
      <x:c r="E182" s="8" t="n"/>
      <x:c r="F182" s="8" t="n"/>
      <x:c r="G182" s="8" t="n"/>
      <x:c r="H182" s="8" t="n"/>
    </x:row>
    <x:row r="183">
      <x:c r="A183" s="8" t="n"/>
      <x:c r="B183" s="8" t="n"/>
      <x:c r="C183" s="8" t="n"/>
      <x:c r="D183" s="8" t="n"/>
      <x:c r="E183" s="8" t="n"/>
      <x:c r="F183" s="8" t="n"/>
      <x:c r="G183" s="8" t="n"/>
      <x:c r="H183" s="8" t="n"/>
    </x:row>
    <x:row r="184">
      <x:c r="A184" s="8" t="n"/>
      <x:c r="B184" s="8" t="n"/>
      <x:c r="C184" s="8" t="n"/>
      <x:c r="D184" s="8" t="n"/>
      <x:c r="E184" s="8" t="n"/>
      <x:c r="F184" s="8" t="n"/>
      <x:c r="G184" s="8" t="n"/>
      <x:c r="H184" s="8" t="n"/>
    </x:row>
    <x:row r="185">
      <x:c r="A185" s="8" t="n"/>
      <x:c r="B185" s="8" t="n"/>
      <x:c r="C185" s="8" t="n"/>
      <x:c r="D185" s="8" t="n"/>
      <x:c r="E185" s="8" t="n"/>
      <x:c r="F185" s="8" t="n"/>
      <x:c r="G185" s="8" t="n"/>
      <x:c r="H185" s="8" t="n"/>
    </x:row>
    <x:row r="186">
      <x:c r="A186" s="8" t="n"/>
      <x:c r="B186" s="8" t="n"/>
      <x:c r="C186" s="8" t="n"/>
      <x:c r="D186" s="8" t="n"/>
      <x:c r="E186" s="8" t="n"/>
      <x:c r="F186" s="8" t="n"/>
      <x:c r="G186" s="8" t="n"/>
      <x:c r="H186" s="8" t="n"/>
    </x:row>
    <x:row r="187">
      <x:c r="A187" s="8" t="n"/>
      <x:c r="B187" s="8" t="n"/>
      <x:c r="C187" s="8" t="n"/>
      <x:c r="D187" s="8" t="n"/>
      <x:c r="E187" s="8" t="n"/>
      <x:c r="F187" s="8" t="n"/>
      <x:c r="G187" s="8" t="n"/>
      <x:c r="H187" s="8" t="n"/>
    </x:row>
    <x:row r="188">
      <x:c r="A188" s="8" t="n"/>
      <x:c r="B188" s="8" t="n"/>
      <x:c r="C188" s="8" t="n"/>
      <x:c r="D188" s="8" t="n"/>
      <x:c r="E188" s="8" t="n"/>
      <x:c r="F188" s="8" t="n"/>
      <x:c r="G188" s="8" t="n"/>
      <x:c r="H188" s="8" t="n"/>
    </x:row>
    <x:row r="189">
      <x:c r="A189" s="8" t="n"/>
      <x:c r="B189" s="8" t="n"/>
      <x:c r="C189" s="8" t="n"/>
      <x:c r="D189" s="8" t="n"/>
      <x:c r="E189" s="8" t="n"/>
      <x:c r="F189" s="8" t="n"/>
      <x:c r="G189" s="8" t="n"/>
      <x:c r="H189" s="8" t="n"/>
    </x:row>
    <x:row r="190">
      <x:c r="A190" s="8" t="n"/>
      <x:c r="B190" s="8" t="n"/>
      <x:c r="C190" s="8" t="n"/>
      <x:c r="D190" s="8" t="n"/>
      <x:c r="E190" s="8" t="n"/>
      <x:c r="F190" s="8" t="n"/>
      <x:c r="G190" s="8" t="n"/>
      <x:c r="H190" s="8" t="n"/>
    </x:row>
    <x:row r="191">
      <x:c r="A191" s="8" t="n"/>
      <x:c r="B191" s="8" t="n"/>
      <x:c r="C191" s="8" t="n"/>
      <x:c r="D191" s="8" t="n"/>
      <x:c r="E191" s="8" t="n"/>
      <x:c r="F191" s="8" t="n"/>
      <x:c r="G191" s="8" t="n"/>
      <x:c r="H191" s="8" t="n"/>
    </x:row>
    <x:row r="192">
      <x:c r="A192" s="8" t="n"/>
      <x:c r="B192" s="8" t="n"/>
      <x:c r="C192" s="8" t="n"/>
      <x:c r="D192" s="8" t="n"/>
      <x:c r="E192" s="8" t="n"/>
      <x:c r="F192" s="8" t="n"/>
      <x:c r="G192" s="8" t="n"/>
      <x:c r="H192" s="8" t="n"/>
    </x:row>
    <x:row r="193">
      <x:c r="A193" s="8" t="n"/>
      <x:c r="B193" s="8" t="n"/>
      <x:c r="C193" s="8" t="n"/>
      <x:c r="D193" s="8" t="n"/>
      <x:c r="E193" s="8" t="n"/>
      <x:c r="F193" s="8" t="n"/>
      <x:c r="G193" s="8" t="n"/>
      <x:c r="H193" s="8" t="n"/>
    </x:row>
    <x:row r="194">
      <x:c r="A194" s="8" t="n"/>
      <x:c r="B194" s="8" t="n"/>
      <x:c r="C194" s="8" t="n"/>
      <x:c r="D194" s="8" t="n"/>
      <x:c r="E194" s="8" t="n"/>
      <x:c r="F194" s="8" t="n"/>
      <x:c r="G194" s="8" t="n"/>
      <x:c r="H194" s="8" t="n"/>
    </x:row>
    <x:row r="195">
      <x:c r="A195" s="8" t="n"/>
      <x:c r="B195" s="8" t="n"/>
      <x:c r="C195" s="8" t="n"/>
      <x:c r="D195" s="8" t="n"/>
      <x:c r="E195" s="8" t="n"/>
      <x:c r="F195" s="8" t="n"/>
      <x:c r="G195" s="8" t="n"/>
      <x:c r="H195" s="8" t="n"/>
    </x:row>
    <x:row r="196">
      <x:c r="A196" s="8" t="n"/>
      <x:c r="B196" s="8" t="n"/>
      <x:c r="C196" s="8" t="n"/>
      <x:c r="D196" s="8" t="n"/>
      <x:c r="E196" s="8" t="n"/>
      <x:c r="F196" s="8" t="n"/>
      <x:c r="G196" s="8" t="n"/>
      <x:c r="H196" s="8" t="n"/>
    </x:row>
    <x:row r="197">
      <x:c r="A197" s="8" t="n"/>
      <x:c r="B197" s="8" t="n"/>
      <x:c r="C197" s="8" t="n"/>
      <x:c r="D197" s="8" t="n"/>
      <x:c r="E197" s="8" t="n"/>
      <x:c r="F197" s="8" t="n"/>
      <x:c r="G197" s="8" t="n"/>
      <x:c r="H197" s="8" t="n"/>
    </x:row>
    <x:row r="198">
      <x:c r="A198" s="8" t="n"/>
      <x:c r="B198" s="8" t="n"/>
      <x:c r="C198" s="8" t="n"/>
      <x:c r="D198" s="8" t="n"/>
      <x:c r="E198" s="8" t="n"/>
      <x:c r="F198" s="8" t="n"/>
      <x:c r="G198" s="8" t="n"/>
      <x:c r="H198" s="8" t="n"/>
    </x:row>
    <x:row r="199">
      <x:c r="A199" s="8" t="n"/>
      <x:c r="B199" s="8" t="n"/>
      <x:c r="C199" s="8" t="n"/>
      <x:c r="D199" s="8" t="n"/>
      <x:c r="E199" s="8" t="n"/>
      <x:c r="F199" s="8" t="n"/>
      <x:c r="G199" s="8" t="n"/>
      <x:c r="H199" s="8" t="n"/>
    </x:row>
    <x:row r="200">
      <x:c r="A200" s="8" t="n"/>
      <x:c r="B200" s="8" t="n"/>
      <x:c r="C200" s="8" t="n"/>
      <x:c r="D200" s="8" t="n"/>
      <x:c r="E200" s="8" t="n"/>
      <x:c r="F200" s="8" t="n"/>
      <x:c r="G200" s="8" t="n"/>
      <x:c r="H200" s="8" t="n"/>
    </x:row>
    <x:row r="201">
      <x:c r="A201" s="8" t="n"/>
      <x:c r="B201" s="8" t="n"/>
      <x:c r="C201" s="8" t="n"/>
      <x:c r="D201" s="8" t="n"/>
      <x:c r="E201" s="8" t="n"/>
      <x:c r="F201" s="8" t="n"/>
      <x:c r="G201" s="8" t="n"/>
      <x:c r="H201" s="8" t="n"/>
    </x:row>
    <x:row r="202">
      <x:c r="A202" s="8" t="n"/>
      <x:c r="B202" s="8" t="n"/>
      <x:c r="C202" s="8" t="n"/>
      <x:c r="D202" s="8" t="n"/>
      <x:c r="E202" s="8" t="n"/>
      <x:c r="F202" s="8" t="n"/>
      <x:c r="G202" s="8" t="n"/>
      <x:c r="H202" s="8" t="n"/>
    </x:row>
    <x:row r="203">
      <x:c r="A203" s="8" t="n"/>
      <x:c r="B203" s="8" t="n"/>
      <x:c r="C203" s="8" t="n"/>
      <x:c r="D203" s="8" t="n"/>
      <x:c r="E203" s="8" t="n"/>
      <x:c r="F203" s="8" t="n"/>
      <x:c r="G203" s="8" t="n"/>
      <x:c r="H203" s="8" t="n"/>
    </x:row>
    <x:row r="204">
      <x:c r="A204" s="8" t="n"/>
      <x:c r="B204" s="8" t="n"/>
      <x:c r="C204" s="8" t="n"/>
      <x:c r="D204" s="8" t="n"/>
      <x:c r="E204" s="8" t="n"/>
      <x:c r="F204" s="8" t="n"/>
      <x:c r="G204" s="8" t="n"/>
      <x:c r="H204" s="8" t="n"/>
    </x:row>
    <x:row r="205">
      <x:c r="A205" s="8" t="n"/>
      <x:c r="B205" s="8" t="n"/>
      <x:c r="C205" s="8" t="n"/>
      <x:c r="D205" s="8" t="n"/>
      <x:c r="E205" s="8" t="n"/>
      <x:c r="F205" s="8" t="n"/>
      <x:c r="G205" s="8" t="n"/>
      <x:c r="H205" s="8" t="n"/>
    </x:row>
    <x:row r="206">
      <x:c r="A206" s="8" t="n"/>
      <x:c r="B206" s="8" t="n"/>
      <x:c r="C206" s="8" t="n"/>
      <x:c r="D206" s="8" t="n"/>
      <x:c r="E206" s="8" t="n"/>
      <x:c r="F206" s="8" t="n"/>
      <x:c r="G206" s="8" t="n"/>
      <x:c r="H206" s="8" t="n"/>
    </x:row>
    <x:row r="207">
      <x:c r="A207" s="8" t="n"/>
      <x:c r="B207" s="8" t="n"/>
      <x:c r="C207" s="8" t="n"/>
      <x:c r="D207" s="8" t="n"/>
      <x:c r="E207" s="8" t="n"/>
      <x:c r="F207" s="8" t="n"/>
      <x:c r="G207" s="8" t="n"/>
      <x:c r="H207" s="8" t="n"/>
    </x:row>
    <x:row r="208">
      <x:c r="A208" s="8" t="n"/>
      <x:c r="B208" s="8" t="n"/>
      <x:c r="C208" s="8" t="n"/>
      <x:c r="D208" s="8" t="n"/>
      <x:c r="E208" s="8" t="n"/>
      <x:c r="F208" s="8" t="n"/>
      <x:c r="G208" s="8" t="n"/>
      <x:c r="H208" s="8" t="n"/>
    </x:row>
    <x:row r="209">
      <x:c r="A209" s="8" t="n"/>
      <x:c r="B209" s="8" t="n"/>
      <x:c r="C209" s="8" t="n"/>
      <x:c r="D209" s="8" t="n"/>
      <x:c r="E209" s="8" t="n"/>
      <x:c r="F209" s="8" t="n"/>
      <x:c r="G209" s="8" t="n"/>
      <x:c r="H209" s="8" t="n"/>
    </x:row>
    <x:row r="210">
      <x:c r="A210" s="8" t="n"/>
      <x:c r="B210" s="8" t="n"/>
      <x:c r="C210" s="8" t="n"/>
      <x:c r="D210" s="8" t="n"/>
      <x:c r="E210" s="8" t="n"/>
      <x:c r="F210" s="8" t="n"/>
      <x:c r="G210" s="8" t="n"/>
      <x:c r="H210" s="8" t="n"/>
    </x:row>
    <x:row r="211">
      <x:c r="A211" s="8" t="n"/>
      <x:c r="B211" s="8" t="n"/>
      <x:c r="C211" s="8" t="n"/>
      <x:c r="D211" s="8" t="n"/>
      <x:c r="E211" s="8" t="n"/>
      <x:c r="F211" s="8" t="n"/>
      <x:c r="G211" s="8" t="n"/>
      <x:c r="H211" s="8" t="n"/>
    </x:row>
    <x:row r="212">
      <x:c r="A212" s="8" t="n"/>
      <x:c r="B212" s="8" t="n"/>
      <x:c r="C212" s="8" t="n"/>
      <x:c r="D212" s="8" t="n"/>
      <x:c r="E212" s="8" t="n"/>
      <x:c r="F212" s="8" t="n"/>
      <x:c r="G212" s="8" t="n"/>
      <x:c r="H212" s="8" t="n"/>
    </x:row>
    <x:row r="213">
      <x:c r="A213" s="8" t="n"/>
      <x:c r="B213" s="8" t="n"/>
      <x:c r="C213" s="8" t="n"/>
      <x:c r="D213" s="8" t="n"/>
      <x:c r="E213" s="8" t="n"/>
      <x:c r="F213" s="8" t="n"/>
      <x:c r="G213" s="8" t="n"/>
      <x:c r="H213" s="8" t="n"/>
    </x:row>
    <x:row r="214">
      <x:c r="A214" s="8" t="n"/>
      <x:c r="B214" s="8" t="n"/>
      <x:c r="C214" s="8" t="n"/>
      <x:c r="D214" s="8" t="n"/>
      <x:c r="E214" s="8" t="n"/>
      <x:c r="F214" s="8" t="n"/>
      <x:c r="G214" s="8" t="n"/>
      <x:c r="H214" s="8" t="n"/>
    </x:row>
    <x:row r="215">
      <x:c r="A215" s="8" t="n"/>
      <x:c r="B215" s="8" t="n"/>
      <x:c r="C215" s="8" t="n"/>
      <x:c r="D215" s="8" t="n"/>
      <x:c r="E215" s="8" t="n"/>
      <x:c r="F215" s="8" t="n"/>
      <x:c r="G215" s="8" t="n"/>
      <x:c r="H215" s="8" t="n"/>
    </x:row>
    <x:row r="216">
      <x:c r="A216" s="8" t="n"/>
      <x:c r="B216" s="8" t="n"/>
      <x:c r="C216" s="8" t="n"/>
      <x:c r="D216" s="8" t="n"/>
      <x:c r="E216" s="8" t="n"/>
      <x:c r="F216" s="8" t="n"/>
      <x:c r="G216" s="8" t="n"/>
      <x:c r="H216" s="8" t="n"/>
    </x:row>
    <x:row r="217">
      <x:c r="A217" s="8" t="n"/>
      <x:c r="B217" s="8" t="n"/>
      <x:c r="C217" s="8" t="n"/>
      <x:c r="D217" s="8" t="n"/>
      <x:c r="E217" s="8" t="n"/>
      <x:c r="F217" s="8" t="n"/>
      <x:c r="G217" s="8" t="n"/>
      <x:c r="H217" s="8" t="n"/>
    </x:row>
    <x:row r="218">
      <x:c r="A218" s="8" t="n"/>
      <x:c r="B218" s="8" t="n"/>
      <x:c r="C218" s="8" t="n"/>
      <x:c r="D218" s="8" t="n"/>
      <x:c r="E218" s="8" t="n"/>
      <x:c r="F218" s="8" t="n"/>
      <x:c r="G218" s="8" t="n"/>
      <x:c r="H218" s="8" t="n"/>
    </x:row>
    <x:row r="219">
      <x:c r="A219" s="8" t="n"/>
      <x:c r="B219" s="8" t="n"/>
      <x:c r="C219" s="8" t="n"/>
      <x:c r="D219" s="8" t="n"/>
      <x:c r="E219" s="8" t="n"/>
      <x:c r="F219" s="8" t="n"/>
      <x:c r="G219" s="8" t="n"/>
      <x:c r="H219" s="8" t="n"/>
    </x:row>
    <x:row r="220">
      <x:c r="A220" s="8" t="n"/>
      <x:c r="B220" s="8" t="n"/>
      <x:c r="C220" s="8" t="n"/>
      <x:c r="D220" s="8" t="n"/>
      <x:c r="E220" s="8" t="n"/>
      <x:c r="F220" s="8" t="n"/>
      <x:c r="G220" s="8" t="n"/>
      <x:c r="H220" s="8" t="n"/>
    </x:row>
    <x:row r="221">
      <x:c r="A221" s="8" t="n"/>
      <x:c r="B221" s="8" t="n"/>
      <x:c r="C221" s="8" t="n"/>
      <x:c r="D221" s="8" t="n"/>
      <x:c r="E221" s="8" t="n"/>
      <x:c r="F221" s="8" t="n"/>
      <x:c r="G221" s="8" t="n"/>
      <x:c r="H221" s="8" t="n"/>
    </x:row>
    <x:row r="222">
      <x:c r="A222" s="8" t="n"/>
      <x:c r="B222" s="8" t="n"/>
      <x:c r="C222" s="8" t="n"/>
      <x:c r="D222" s="8" t="n"/>
      <x:c r="E222" s="8" t="n"/>
      <x:c r="F222" s="8" t="n"/>
      <x:c r="G222" s="8" t="n"/>
      <x:c r="H222" s="8" t="n"/>
    </x:row>
    <x:row r="223">
      <x:c r="A223" s="8" t="n"/>
      <x:c r="B223" s="8" t="n"/>
      <x:c r="C223" s="8" t="n"/>
      <x:c r="D223" s="8" t="n"/>
      <x:c r="E223" s="8" t="n"/>
      <x:c r="F223" s="8" t="n"/>
      <x:c r="G223" s="8" t="n"/>
      <x:c r="H223" s="8" t="n"/>
    </x:row>
    <x:row r="224">
      <x:c r="A224" s="8" t="n"/>
      <x:c r="B224" s="8" t="n"/>
      <x:c r="C224" s="8" t="n"/>
      <x:c r="D224" s="8" t="n"/>
      <x:c r="E224" s="8" t="n"/>
      <x:c r="F224" s="8" t="n"/>
      <x:c r="G224" s="8" t="n"/>
      <x:c r="H224" s="8" t="n"/>
    </x:row>
    <x:row r="225">
      <x:c r="A225" s="8" t="n"/>
      <x:c r="B225" s="8" t="n"/>
      <x:c r="C225" s="8" t="n"/>
      <x:c r="D225" s="8" t="n"/>
      <x:c r="E225" s="8" t="n"/>
      <x:c r="F225" s="8" t="n"/>
      <x:c r="G225" s="8" t="n"/>
      <x:c r="H225" s="8" t="n"/>
    </x:row>
    <x:row r="226">
      <x:c r="A226" s="8" t="n"/>
      <x:c r="B226" s="8" t="n"/>
      <x:c r="C226" s="8" t="n"/>
      <x:c r="D226" s="8" t="n"/>
      <x:c r="E226" s="8" t="n"/>
      <x:c r="F226" s="8" t="n"/>
      <x:c r="G226" s="8" t="n"/>
      <x:c r="H226" s="8" t="n"/>
    </x:row>
    <x:row r="227">
      <x:c r="A227" s="8" t="n"/>
      <x:c r="B227" s="8" t="n"/>
      <x:c r="C227" s="8" t="n"/>
      <x:c r="D227" s="8" t="n"/>
      <x:c r="E227" s="8" t="n"/>
      <x:c r="F227" s="8" t="n"/>
      <x:c r="G227" s="8" t="n"/>
      <x:c r="H227" s="8" t="n"/>
    </x:row>
    <x:row r="228">
      <x:c r="A228" s="8" t="n"/>
      <x:c r="B228" s="8" t="n"/>
      <x:c r="C228" s="8" t="n"/>
      <x:c r="D228" s="8" t="n"/>
      <x:c r="E228" s="8" t="n"/>
      <x:c r="F228" s="8" t="n"/>
      <x:c r="G228" s="8" t="n"/>
      <x:c r="H228" s="8" t="n"/>
    </x:row>
    <x:row r="229">
      <x:c r="A229" s="8" t="n"/>
      <x:c r="B229" s="8" t="n"/>
      <x:c r="C229" s="8" t="n"/>
      <x:c r="D229" s="8" t="n"/>
      <x:c r="E229" s="8" t="n"/>
      <x:c r="F229" s="8" t="n"/>
      <x:c r="G229" s="8" t="n"/>
      <x:c r="H229" s="8" t="n"/>
    </x:row>
    <x:row r="230">
      <x:c r="A230" s="8" t="n"/>
      <x:c r="B230" s="8" t="n"/>
      <x:c r="C230" s="8" t="n"/>
      <x:c r="D230" s="8" t="n"/>
      <x:c r="E230" s="8" t="n"/>
      <x:c r="F230" s="8" t="n"/>
      <x:c r="G230" s="8" t="n"/>
      <x:c r="H230" s="8" t="n"/>
    </x:row>
    <x:row r="231">
      <x:c r="A231" s="8" t="n"/>
      <x:c r="B231" s="8" t="n"/>
      <x:c r="C231" s="8" t="n"/>
      <x:c r="D231" s="8" t="n"/>
      <x:c r="E231" s="8" t="n"/>
      <x:c r="F231" s="8" t="n"/>
      <x:c r="G231" s="8" t="n"/>
      <x:c r="H231" s="8" t="n"/>
    </x:row>
    <x:row r="232">
      <x:c r="A232" s="8" t="n"/>
      <x:c r="B232" s="8" t="n"/>
      <x:c r="C232" s="8" t="n"/>
      <x:c r="D232" s="8" t="n"/>
      <x:c r="E232" s="8" t="n"/>
      <x:c r="F232" s="8" t="n"/>
      <x:c r="G232" s="8" t="n"/>
      <x:c r="H232" s="8" t="n"/>
    </x:row>
    <x:row r="233">
      <x:c r="A233" s="8" t="n"/>
      <x:c r="B233" s="8" t="n"/>
      <x:c r="C233" s="8" t="n"/>
      <x:c r="D233" s="8" t="n"/>
      <x:c r="E233" s="8" t="n"/>
      <x:c r="F233" s="8" t="n"/>
      <x:c r="G233" s="8" t="n"/>
      <x:c r="H233" s="8" t="n"/>
    </x:row>
    <x:row r="234">
      <x:c r="A234" s="8" t="n"/>
      <x:c r="B234" s="8" t="n"/>
      <x:c r="C234" s="8" t="n"/>
      <x:c r="D234" s="8" t="n"/>
      <x:c r="E234" s="8" t="n"/>
      <x:c r="F234" s="8" t="n"/>
      <x:c r="G234" s="8" t="n"/>
      <x:c r="H234" s="8" t="n"/>
    </x:row>
    <x:row r="235">
      <x:c r="A235" s="8" t="n"/>
      <x:c r="B235" s="8" t="n"/>
      <x:c r="C235" s="8" t="n"/>
      <x:c r="D235" s="8" t="n"/>
      <x:c r="E235" s="8" t="n"/>
      <x:c r="F235" s="8" t="n"/>
      <x:c r="G235" s="8" t="n"/>
      <x:c r="H235" s="8" t="n"/>
    </x:row>
    <x:row r="236">
      <x:c r="A236" s="8" t="n"/>
      <x:c r="B236" s="8" t="n"/>
      <x:c r="C236" s="8" t="n"/>
      <x:c r="D236" s="8" t="n"/>
      <x:c r="E236" s="8" t="n"/>
      <x:c r="F236" s="8" t="n"/>
      <x:c r="G236" s="8" t="n"/>
      <x:c r="H236" s="8" t="n"/>
    </x:row>
    <x:row r="237">
      <x:c r="A237" s="8" t="n"/>
      <x:c r="B237" s="8" t="n"/>
      <x:c r="C237" s="8" t="n"/>
      <x:c r="D237" s="8" t="n"/>
      <x:c r="E237" s="8" t="n"/>
      <x:c r="F237" s="8" t="n"/>
      <x:c r="G237" s="8" t="n"/>
      <x:c r="H237" s="8" t="n"/>
    </x:row>
    <x:row r="238">
      <x:c r="A238" s="8" t="n"/>
      <x:c r="B238" s="8" t="n"/>
      <x:c r="C238" s="8" t="n"/>
      <x:c r="D238" s="8" t="n"/>
      <x:c r="E238" s="8" t="n"/>
      <x:c r="F238" s="8" t="n"/>
      <x:c r="G238" s="8" t="n"/>
      <x:c r="H238" s="8" t="n"/>
    </x:row>
    <x:row r="239">
      <x:c r="A239" s="8" t="n"/>
      <x:c r="B239" s="8" t="n"/>
      <x:c r="C239" s="8" t="n"/>
      <x:c r="D239" s="8" t="n"/>
      <x:c r="E239" s="8" t="n"/>
      <x:c r="F239" s="8" t="n"/>
      <x:c r="G239" s="8" t="n"/>
      <x:c r="H239" s="8" t="n"/>
    </x:row>
    <x:row r="240">
      <x:c r="A240" s="8" t="n"/>
      <x:c r="B240" s="8" t="n"/>
      <x:c r="C240" s="8" t="n"/>
      <x:c r="D240" s="8" t="n"/>
      <x:c r="E240" s="8" t="n"/>
      <x:c r="F240" s="8" t="n"/>
      <x:c r="G240" s="8" t="n"/>
      <x:c r="H240" s="8" t="n"/>
    </x:row>
    <x:row r="241">
      <x:c r="A241" s="8" t="n"/>
      <x:c r="B241" s="8" t="n"/>
      <x:c r="C241" s="8" t="n"/>
      <x:c r="D241" s="8" t="n"/>
      <x:c r="E241" s="8" t="n"/>
      <x:c r="F241" s="8" t="n"/>
      <x:c r="G241" s="8" t="n"/>
      <x:c r="H241" s="8" t="n"/>
    </x:row>
    <x:row r="242">
      <x:c r="A242" s="8" t="n"/>
      <x:c r="B242" s="8" t="n"/>
      <x:c r="C242" s="8" t="n"/>
      <x:c r="D242" s="8" t="n"/>
      <x:c r="E242" s="8" t="n"/>
      <x:c r="F242" s="8" t="n"/>
      <x:c r="G242" s="8" t="n"/>
      <x:c r="H242" s="8" t="n"/>
    </x:row>
    <x:row r="243">
      <x:c r="A243" s="8" t="n"/>
      <x:c r="B243" s="8" t="n"/>
      <x:c r="C243" s="8" t="n"/>
      <x:c r="D243" s="8" t="n"/>
      <x:c r="E243" s="8" t="n"/>
      <x:c r="F243" s="8" t="n"/>
      <x:c r="G243" s="8" t="n"/>
      <x:c r="H243" s="8" t="n"/>
    </x:row>
    <x:row r="244">
      <x:c r="A244" s="8" t="n"/>
      <x:c r="B244" s="8" t="n"/>
      <x:c r="C244" s="8" t="n"/>
      <x:c r="D244" s="8" t="n"/>
      <x:c r="E244" s="8" t="n"/>
      <x:c r="F244" s="8" t="n"/>
      <x:c r="G244" s="8" t="n"/>
      <x:c r="H244" s="8" t="n"/>
    </x:row>
    <x:row r="245">
      <x:c r="A245" s="8" t="n"/>
      <x:c r="B245" s="8" t="n"/>
      <x:c r="C245" s="8" t="n"/>
      <x:c r="D245" s="8" t="n"/>
      <x:c r="E245" s="8" t="n"/>
      <x:c r="F245" s="8" t="n"/>
      <x:c r="G245" s="8" t="n"/>
      <x:c r="H245" s="8" t="n"/>
    </x:row>
    <x:row r="246">
      <x:c r="A246" s="8" t="n"/>
      <x:c r="B246" s="8" t="n"/>
      <x:c r="C246" s="8" t="n"/>
      <x:c r="D246" s="8" t="n"/>
      <x:c r="E246" s="8" t="n"/>
      <x:c r="F246" s="8" t="n"/>
      <x:c r="G246" s="8" t="n"/>
      <x:c r="H246" s="8" t="n"/>
    </x:row>
    <x:row r="247">
      <x:c r="A247" s="8" t="n"/>
      <x:c r="B247" s="8" t="n"/>
      <x:c r="C247" s="8" t="n"/>
      <x:c r="D247" s="8" t="n"/>
      <x:c r="E247" s="8" t="n"/>
      <x:c r="F247" s="8" t="n"/>
      <x:c r="G247" s="8" t="n"/>
      <x:c r="H247" s="8" t="n"/>
    </x:row>
    <x:row r="248">
      <x:c r="A248" s="8" t="n"/>
      <x:c r="B248" s="8" t="n"/>
      <x:c r="C248" s="8" t="n"/>
      <x:c r="D248" s="8" t="n"/>
      <x:c r="E248" s="8" t="n"/>
      <x:c r="F248" s="8" t="n"/>
      <x:c r="G248" s="8" t="n"/>
      <x:c r="H248" s="8" t="n"/>
    </x:row>
    <x:row r="249">
      <x:c r="A249" s="8" t="n"/>
      <x:c r="B249" s="8" t="n"/>
      <x:c r="C249" s="8" t="n"/>
      <x:c r="D249" s="8" t="n"/>
      <x:c r="E249" s="8" t="n"/>
      <x:c r="F249" s="8" t="n"/>
      <x:c r="G249" s="8" t="n"/>
      <x:c r="H249" s="8" t="n"/>
    </x:row>
    <x:row r="250">
      <x:c r="A250" s="8" t="n"/>
      <x:c r="B250" s="8" t="n"/>
      <x:c r="C250" s="8" t="n"/>
      <x:c r="D250" s="8" t="n"/>
      <x:c r="E250" s="8" t="n"/>
      <x:c r="F250" s="8" t="n"/>
      <x:c r="G250" s="8" t="n"/>
      <x:c r="H250" s="8" t="n"/>
    </x:row>
    <x:row r="251">
      <x:c r="A251" s="8" t="n"/>
      <x:c r="B251" s="8" t="n"/>
      <x:c r="C251" s="8" t="n"/>
      <x:c r="D251" s="8" t="n"/>
      <x:c r="E251" s="8" t="n"/>
      <x:c r="F251" s="8" t="n"/>
      <x:c r="G251" s="8" t="n"/>
      <x:c r="H251" s="8" t="n"/>
    </x:row>
    <x:row r="252">
      <x:c r="A252" s="8" t="n"/>
      <x:c r="B252" s="8" t="n"/>
      <x:c r="C252" s="8" t="n"/>
      <x:c r="D252" s="8" t="n"/>
      <x:c r="E252" s="8" t="n"/>
      <x:c r="F252" s="8" t="n"/>
      <x:c r="G252" s="8" t="n"/>
      <x:c r="H252" s="8" t="n"/>
    </x:row>
    <x:row r="253">
      <x:c r="A253" s="8" t="n"/>
      <x:c r="B253" s="8" t="n"/>
      <x:c r="C253" s="8" t="n"/>
      <x:c r="D253" s="8" t="n"/>
      <x:c r="E253" s="8" t="n"/>
      <x:c r="F253" s="8" t="n"/>
      <x:c r="G253" s="8" t="n"/>
      <x:c r="H253" s="8" t="n"/>
    </x:row>
    <x:row r="254">
      <x:c r="A254" s="8" t="n"/>
      <x:c r="B254" s="8" t="n"/>
      <x:c r="C254" s="8" t="n"/>
      <x:c r="D254" s="8" t="n"/>
      <x:c r="E254" s="8" t="n"/>
      <x:c r="F254" s="8" t="n"/>
      <x:c r="G254" s="8" t="n"/>
      <x:c r="H254" s="8" t="n"/>
    </x:row>
    <x:row r="255">
      <x:c r="A255" s="8" t="n"/>
      <x:c r="B255" s="8" t="n"/>
      <x:c r="C255" s="8" t="n"/>
      <x:c r="D255" s="8" t="n"/>
      <x:c r="E255" s="8" t="n"/>
      <x:c r="F255" s="8" t="n"/>
      <x:c r="G255" s="8" t="n"/>
      <x:c r="H255" s="8" t="n"/>
    </x:row>
    <x:row r="256">
      <x:c r="A256" s="8" t="n"/>
      <x:c r="B256" s="8" t="n"/>
      <x:c r="C256" s="8" t="n"/>
      <x:c r="D256" s="8" t="n"/>
      <x:c r="E256" s="8" t="n"/>
      <x:c r="F256" s="8" t="n"/>
      <x:c r="G256" s="8" t="n"/>
      <x:c r="H256" s="8" t="n"/>
    </x:row>
    <x:row r="257">
      <x:c r="A257" s="8" t="n"/>
      <x:c r="B257" s="8" t="n"/>
      <x:c r="C257" s="8" t="n"/>
      <x:c r="D257" s="8" t="n"/>
      <x:c r="E257" s="8" t="n"/>
      <x:c r="F257" s="8" t="n"/>
      <x:c r="G257" s="8" t="n"/>
      <x:c r="H257" s="8" t="n"/>
    </x:row>
    <x:row r="258">
      <x:c r="A258" s="8" t="n"/>
      <x:c r="B258" s="8" t="n"/>
      <x:c r="C258" s="8" t="n"/>
      <x:c r="D258" s="8" t="n"/>
      <x:c r="E258" s="8" t="n"/>
      <x:c r="F258" s="8" t="n"/>
      <x:c r="G258" s="8" t="n"/>
      <x:c r="H258" s="8" t="n"/>
    </x:row>
    <x:row r="259">
      <x:c r="A259" s="8" t="n"/>
      <x:c r="B259" s="8" t="n"/>
      <x:c r="C259" s="8" t="n"/>
      <x:c r="D259" s="8" t="n"/>
      <x:c r="E259" s="8" t="n"/>
      <x:c r="F259" s="8" t="n"/>
      <x:c r="G259" s="8" t="n"/>
      <x:c r="H259" s="8" t="n"/>
    </x:row>
    <x:row r="260">
      <x:c r="A260" s="8" t="n"/>
      <x:c r="B260" s="8" t="n"/>
      <x:c r="C260" s="8" t="n"/>
      <x:c r="D260" s="8" t="n"/>
      <x:c r="E260" s="8" t="n"/>
      <x:c r="F260" s="8" t="n"/>
      <x:c r="G260" s="8" t="n"/>
      <x:c r="H260" s="8" t="n"/>
    </x:row>
    <x:row r="261">
      <x:c r="A261" s="8" t="n"/>
      <x:c r="B261" s="8" t="n"/>
      <x:c r="C261" s="8" t="n"/>
      <x:c r="D261" s="8" t="n"/>
      <x:c r="E261" s="8" t="n"/>
      <x:c r="F261" s="8" t="n"/>
      <x:c r="G261" s="8" t="n"/>
      <x:c r="H261" s="8" t="n"/>
    </x:row>
    <x:row r="262">
      <x:c r="A262" s="8" t="n"/>
      <x:c r="B262" s="8" t="n"/>
      <x:c r="C262" s="8" t="n"/>
      <x:c r="D262" s="8" t="n"/>
      <x:c r="E262" s="8" t="n"/>
      <x:c r="F262" s="8" t="n"/>
      <x:c r="G262" s="8" t="n"/>
      <x:c r="H262" s="8" t="n"/>
    </x:row>
    <x:row r="263">
      <x:c r="A263" s="8" t="n"/>
      <x:c r="B263" s="8" t="n"/>
      <x:c r="C263" s="8" t="n"/>
      <x:c r="D263" s="8" t="n"/>
      <x:c r="E263" s="8" t="n"/>
      <x:c r="F263" s="8" t="n"/>
      <x:c r="G263" s="8" t="n"/>
      <x:c r="H263" s="8" t="n"/>
    </x:row>
    <x:row r="264">
      <x:c r="A264" s="8" t="n"/>
      <x:c r="B264" s="8" t="n"/>
      <x:c r="C264" s="8" t="n"/>
      <x:c r="D264" s="8" t="n"/>
      <x:c r="E264" s="8" t="n"/>
      <x:c r="F264" s="8" t="n"/>
      <x:c r="G264" s="8" t="n"/>
      <x:c r="H264" s="8" t="n"/>
    </x:row>
    <x:row r="265">
      <x:c r="A265" s="8" t="n"/>
      <x:c r="B265" s="8" t="n"/>
      <x:c r="C265" s="8" t="n"/>
      <x:c r="D265" s="8" t="n"/>
      <x:c r="E265" s="8" t="n"/>
      <x:c r="F265" s="8" t="n"/>
      <x:c r="G265" s="8" t="n"/>
      <x:c r="H265" s="8" t="n"/>
    </x:row>
    <x:row r="266">
      <x:c r="A266" s="8" t="n"/>
      <x:c r="B266" s="8" t="n"/>
      <x:c r="C266" s="8" t="n"/>
      <x:c r="D266" s="8" t="n"/>
      <x:c r="E266" s="8" t="n"/>
      <x:c r="F266" s="8" t="n"/>
      <x:c r="G266" s="8" t="n"/>
      <x:c r="H266" s="8" t="n"/>
    </x:row>
    <x:row r="267">
      <x:c r="A267" s="8" t="n"/>
      <x:c r="B267" s="8" t="n"/>
      <x:c r="C267" s="8" t="n"/>
      <x:c r="D267" s="8" t="n"/>
      <x:c r="E267" s="8" t="n"/>
      <x:c r="F267" s="8" t="n"/>
      <x:c r="G267" s="8" t="n"/>
      <x:c r="H267" s="8" t="n"/>
    </x:row>
    <x:row r="268">
      <x:c r="A268" s="8" t="n"/>
      <x:c r="B268" s="8" t="n"/>
      <x:c r="C268" s="8" t="n"/>
      <x:c r="D268" s="8" t="n"/>
      <x:c r="E268" s="8" t="n"/>
      <x:c r="F268" s="8" t="n"/>
      <x:c r="G268" s="8" t="n"/>
      <x:c r="H268" s="8" t="n"/>
    </x:row>
    <x:row r="269">
      <x:c r="A269" s="8" t="n"/>
      <x:c r="B269" s="8" t="n"/>
      <x:c r="C269" s="8" t="n"/>
      <x:c r="D269" s="8" t="n"/>
      <x:c r="E269" s="8" t="n"/>
      <x:c r="F269" s="8" t="n"/>
      <x:c r="G269" s="8" t="n"/>
      <x:c r="H269" s="8" t="n"/>
    </x:row>
    <x:row r="270">
      <x:c r="A270" s="8" t="n"/>
      <x:c r="B270" s="8" t="n"/>
      <x:c r="C270" s="8" t="n"/>
      <x:c r="D270" s="8" t="n"/>
      <x:c r="E270" s="8" t="n"/>
      <x:c r="F270" s="8" t="n"/>
      <x:c r="G270" s="8" t="n"/>
      <x:c r="H270" s="8" t="n"/>
    </x:row>
    <x:row r="271">
      <x:c r="A271" s="8" t="n"/>
      <x:c r="B271" s="8" t="n"/>
      <x:c r="C271" s="8" t="n"/>
      <x:c r="D271" s="8" t="n"/>
      <x:c r="E271" s="8" t="n"/>
      <x:c r="F271" s="8" t="n"/>
      <x:c r="G271" s="8" t="n"/>
      <x:c r="H271" s="8" t="n"/>
    </x:row>
    <x:row r="272">
      <x:c r="A272" s="8" t="n"/>
      <x:c r="B272" s="8" t="n"/>
      <x:c r="C272" s="8" t="n"/>
      <x:c r="D272" s="8" t="n"/>
      <x:c r="E272" s="8" t="n"/>
      <x:c r="F272" s="8" t="n"/>
      <x:c r="G272" s="8" t="n"/>
      <x:c r="H272" s="8" t="n"/>
    </x:row>
    <x:row r="273">
      <x:c r="A273" s="8" t="n"/>
      <x:c r="B273" s="8" t="n"/>
      <x:c r="C273" s="8" t="n"/>
      <x:c r="D273" s="8" t="n"/>
      <x:c r="E273" s="8" t="n"/>
      <x:c r="F273" s="8" t="n"/>
      <x:c r="G273" s="8" t="n"/>
      <x:c r="H273" s="8" t="n"/>
    </x:row>
    <x:row r="274">
      <x:c r="A274" s="8" t="n"/>
      <x:c r="B274" s="8" t="n"/>
      <x:c r="C274" s="8" t="n"/>
      <x:c r="D274" s="8" t="n"/>
      <x:c r="E274" s="8" t="n"/>
      <x:c r="F274" s="8" t="n"/>
      <x:c r="G274" s="8" t="n"/>
      <x:c r="H274" s="8" t="n"/>
    </x:row>
    <x:row r="275">
      <x:c r="A275" s="8" t="n"/>
      <x:c r="B275" s="8" t="n"/>
      <x:c r="C275" s="8" t="n"/>
      <x:c r="D275" s="8" t="n"/>
      <x:c r="E275" s="8" t="n"/>
      <x:c r="F275" s="8" t="n"/>
      <x:c r="G275" s="8" t="n"/>
      <x:c r="H275" s="8" t="n"/>
    </x:row>
    <x:row r="276">
      <x:c r="A276" s="8" t="n"/>
      <x:c r="B276" s="8" t="n"/>
      <x:c r="C276" s="8" t="n"/>
      <x:c r="D276" s="8" t="n"/>
      <x:c r="E276" s="8" t="n"/>
      <x:c r="F276" s="8" t="n"/>
      <x:c r="G276" s="8" t="n"/>
      <x:c r="H276" s="8" t="n"/>
    </x:row>
    <x:row r="277">
      <x:c r="A277" s="8" t="n"/>
      <x:c r="B277" s="8" t="n"/>
      <x:c r="C277" s="8" t="n"/>
      <x:c r="D277" s="8" t="n"/>
      <x:c r="E277" s="8" t="n"/>
      <x:c r="F277" s="8" t="n"/>
      <x:c r="G277" s="8" t="n"/>
      <x:c r="H277" s="8" t="n"/>
    </x:row>
    <x:row r="278">
      <x:c r="A278" s="8" t="n"/>
      <x:c r="B278" s="8" t="n"/>
      <x:c r="C278" s="8" t="n"/>
      <x:c r="D278" s="8" t="n"/>
      <x:c r="E278" s="8" t="n"/>
      <x:c r="F278" s="8" t="n"/>
      <x:c r="G278" s="8" t="n"/>
      <x:c r="H278" s="8" t="n"/>
    </x:row>
    <x:row r="279">
      <x:c r="A279" s="8" t="n"/>
      <x:c r="B279" s="8" t="n"/>
      <x:c r="C279" s="8" t="n"/>
      <x:c r="D279" s="8" t="n"/>
      <x:c r="E279" s="8" t="n"/>
      <x:c r="F279" s="8" t="n"/>
      <x:c r="G279" s="8" t="n"/>
      <x:c r="H279" s="8" t="n"/>
    </x:row>
    <x:row r="280">
      <x:c r="A280" s="8" t="n"/>
      <x:c r="B280" s="8" t="n"/>
      <x:c r="C280" s="8" t="n"/>
      <x:c r="D280" s="8" t="n"/>
      <x:c r="E280" s="8" t="n"/>
      <x:c r="F280" s="8" t="n"/>
      <x:c r="G280" s="8" t="n"/>
      <x:c r="H280" s="8" t="n"/>
    </x:row>
    <x:row r="281">
      <x:c r="A281" s="8" t="n"/>
      <x:c r="B281" s="8" t="n"/>
      <x:c r="C281" s="8" t="n"/>
      <x:c r="D281" s="8" t="n"/>
      <x:c r="E281" s="8" t="n"/>
      <x:c r="F281" s="8" t="n"/>
      <x:c r="G281" s="8" t="n"/>
      <x:c r="H281" s="8" t="n"/>
    </x:row>
    <x:row r="282">
      <x:c r="A282" s="8" t="n"/>
      <x:c r="B282" s="8" t="n"/>
      <x:c r="C282" s="8" t="n"/>
      <x:c r="D282" s="8" t="n"/>
      <x:c r="E282" s="8" t="n"/>
      <x:c r="F282" s="8" t="n"/>
      <x:c r="G282" s="8" t="n"/>
      <x:c r="H282" s="8" t="n"/>
    </x:row>
    <x:row r="283">
      <x:c r="A283" s="8" t="n"/>
      <x:c r="B283" s="8" t="n"/>
      <x:c r="C283" s="8" t="n"/>
      <x:c r="D283" s="8" t="n"/>
      <x:c r="E283" s="8" t="n"/>
      <x:c r="F283" s="8" t="n"/>
      <x:c r="G283" s="8" t="n"/>
      <x:c r="H283" s="8" t="n"/>
    </x:row>
    <x:row r="284">
      <x:c r="A284" s="8" t="n"/>
      <x:c r="B284" s="8" t="n"/>
      <x:c r="C284" s="8" t="n"/>
      <x:c r="D284" s="8" t="n"/>
      <x:c r="E284" s="8" t="n"/>
      <x:c r="F284" s="8" t="n"/>
      <x:c r="G284" s="8" t="n"/>
      <x:c r="H284" s="8" t="n"/>
    </x:row>
    <x:row r="285">
      <x:c r="A285" s="8" t="n"/>
      <x:c r="B285" s="8" t="n"/>
      <x:c r="C285" s="8" t="n"/>
      <x:c r="D285" s="8" t="n"/>
      <x:c r="E285" s="8" t="n"/>
      <x:c r="F285" s="8" t="n"/>
      <x:c r="G285" s="8" t="n"/>
      <x:c r="H285" s="8" t="n"/>
    </x:row>
    <x:row r="286">
      <x:c r="A286" s="8" t="n"/>
      <x:c r="B286" s="8" t="n"/>
      <x:c r="C286" s="8" t="n"/>
      <x:c r="D286" s="8" t="n"/>
      <x:c r="E286" s="8" t="n"/>
      <x:c r="F286" s="8" t="n"/>
      <x:c r="G286" s="8" t="n"/>
      <x:c r="H286" s="8" t="n"/>
    </x:row>
    <x:row r="287">
      <x:c r="A287" s="8" t="n"/>
      <x:c r="B287" s="8" t="n"/>
      <x:c r="C287" s="8" t="n"/>
      <x:c r="D287" s="8" t="n"/>
      <x:c r="E287" s="8" t="n"/>
      <x:c r="F287" s="8" t="n"/>
      <x:c r="G287" s="8" t="n"/>
      <x:c r="H287" s="8" t="n"/>
    </x:row>
    <x:row r="288">
      <x:c r="A288" s="8" t="n"/>
      <x:c r="B288" s="8" t="n"/>
      <x:c r="C288" s="8" t="n"/>
      <x:c r="D288" s="8" t="n"/>
      <x:c r="E288" s="8" t="n"/>
      <x:c r="F288" s="8" t="n"/>
      <x:c r="G288" s="8" t="n"/>
      <x:c r="H288" s="8" t="n"/>
    </x:row>
    <x:row r="289">
      <x:c r="A289" s="8" t="n"/>
      <x:c r="B289" s="8" t="n"/>
      <x:c r="C289" s="8" t="n"/>
      <x:c r="D289" s="8" t="n"/>
      <x:c r="E289" s="8" t="n"/>
      <x:c r="F289" s="8" t="n"/>
      <x:c r="G289" s="8" t="n"/>
      <x:c r="H289" s="8" t="n"/>
    </x:row>
    <x:row r="290">
      <x:c r="A290" s="8" t="n"/>
      <x:c r="B290" s="8" t="n"/>
      <x:c r="C290" s="8" t="n"/>
      <x:c r="D290" s="8" t="n"/>
      <x:c r="E290" s="8" t="n"/>
      <x:c r="F290" s="8" t="n"/>
      <x:c r="G290" s="8" t="n"/>
      <x:c r="H290" s="8" t="n"/>
    </x:row>
    <x:row r="291">
      <x:c r="A291" s="8" t="n"/>
      <x:c r="B291" s="8" t="n"/>
      <x:c r="C291" s="8" t="n"/>
      <x:c r="D291" s="8" t="n"/>
      <x:c r="E291" s="8" t="n"/>
      <x:c r="F291" s="8" t="n"/>
      <x:c r="G291" s="8" t="n"/>
      <x:c r="H291" s="8" t="n"/>
    </x:row>
    <x:row r="292">
      <x:c r="A292" s="8" t="n"/>
      <x:c r="B292" s="8" t="n"/>
      <x:c r="C292" s="8" t="n"/>
      <x:c r="D292" s="8" t="n"/>
      <x:c r="E292" s="8" t="n"/>
      <x:c r="F292" s="8" t="n"/>
      <x:c r="G292" s="8" t="n"/>
      <x:c r="H292" s="8" t="n"/>
    </x:row>
    <x:row r="293">
      <x:c r="A293" s="8" t="n"/>
      <x:c r="B293" s="8" t="n"/>
      <x:c r="C293" s="8" t="n"/>
      <x:c r="D293" s="8" t="n"/>
      <x:c r="E293" s="8" t="n"/>
      <x:c r="F293" s="8" t="n"/>
      <x:c r="G293" s="8" t="n"/>
      <x:c r="H293" s="8" t="n"/>
    </x:row>
    <x:row r="294">
      <x:c r="A294" s="8" t="n"/>
      <x:c r="B294" s="8" t="n"/>
      <x:c r="C294" s="8" t="n"/>
      <x:c r="D294" s="8" t="n"/>
      <x:c r="E294" s="8" t="n"/>
      <x:c r="F294" s="8" t="n"/>
      <x:c r="G294" s="8" t="n"/>
      <x:c r="H294" s="8" t="n"/>
    </x:row>
    <x:row r="295">
      <x:c r="A295" s="8" t="n"/>
      <x:c r="B295" s="8" t="n"/>
      <x:c r="C295" s="8" t="n"/>
      <x:c r="D295" s="8" t="n"/>
      <x:c r="E295" s="8" t="n"/>
      <x:c r="F295" s="8" t="n"/>
      <x:c r="G295" s="8" t="n"/>
      <x:c r="H295" s="8" t="n"/>
    </x:row>
    <x:row r="296">
      <x:c r="A296" s="8" t="n"/>
      <x:c r="B296" s="8" t="n"/>
      <x:c r="C296" s="8" t="n"/>
      <x:c r="D296" s="8" t="n"/>
      <x:c r="E296" s="8" t="n"/>
      <x:c r="F296" s="8" t="n"/>
      <x:c r="G296" s="8" t="n"/>
      <x:c r="H296" s="8" t="n"/>
    </x:row>
    <x:row r="297">
      <x:c r="A297" s="8" t="n"/>
      <x:c r="B297" s="8" t="n"/>
      <x:c r="C297" s="8" t="n"/>
      <x:c r="D297" s="8" t="n"/>
      <x:c r="E297" s="8" t="n"/>
      <x:c r="F297" s="8" t="n"/>
      <x:c r="G297" s="8" t="n"/>
      <x:c r="H297" s="8" t="n"/>
    </x:row>
    <x:row r="298">
      <x:c r="A298" s="8" t="n"/>
      <x:c r="B298" s="8" t="n"/>
      <x:c r="C298" s="8" t="n"/>
      <x:c r="D298" s="8" t="n"/>
      <x:c r="E298" s="8" t="n"/>
      <x:c r="F298" s="8" t="n"/>
      <x:c r="G298" s="8" t="n"/>
      <x:c r="H298" s="8" t="n"/>
    </x:row>
    <x:row r="299">
      <x:c r="A299" s="8" t="n"/>
      <x:c r="B299" s="8" t="n"/>
      <x:c r="C299" s="8" t="n"/>
      <x:c r="D299" s="8" t="n"/>
      <x:c r="E299" s="8" t="n"/>
      <x:c r="F299" s="8" t="n"/>
      <x:c r="G299" s="8" t="n"/>
      <x:c r="H299" s="8" t="n"/>
    </x:row>
    <x:row r="300">
      <x:c r="A300" s="8" t="n"/>
      <x:c r="B300" s="8" t="n"/>
      <x:c r="C300" s="8" t="n"/>
      <x:c r="D300" s="8" t="n"/>
      <x:c r="E300" s="8" t="n"/>
      <x:c r="F300" s="8" t="n"/>
      <x:c r="G300" s="8" t="n"/>
      <x:c r="H300" s="8" t="n"/>
    </x:row>
    <x:row r="301">
      <x:c r="A301" s="8" t="n"/>
      <x:c r="B301" s="8" t="n"/>
      <x:c r="C301" s="8" t="n"/>
      <x:c r="D301" s="8" t="n"/>
      <x:c r="E301" s="8" t="n"/>
      <x:c r="F301" s="8" t="n"/>
      <x:c r="G301" s="8" t="n"/>
      <x:c r="H301" s="8" t="n"/>
    </x:row>
    <x:row r="302">
      <x:c r="A302" s="8" t="n"/>
      <x:c r="B302" s="8" t="n"/>
      <x:c r="C302" s="8" t="n"/>
      <x:c r="D302" s="8" t="n"/>
      <x:c r="E302" s="8" t="n"/>
      <x:c r="F302" s="8" t="n"/>
      <x:c r="G302" s="8" t="n"/>
      <x:c r="H302" s="8" t="n"/>
    </x:row>
    <x:row r="303">
      <x:c r="A303" s="8" t="n"/>
      <x:c r="B303" s="8" t="n"/>
      <x:c r="C303" s="8" t="n"/>
      <x:c r="D303" s="8" t="n"/>
      <x:c r="E303" s="8" t="n"/>
      <x:c r="F303" s="8" t="n"/>
      <x:c r="G303" s="8" t="n"/>
      <x:c r="H303" s="8" t="n"/>
    </x:row>
    <x:row r="304">
      <x:c r="A304" s="8" t="n"/>
      <x:c r="B304" s="8" t="n"/>
      <x:c r="C304" s="8" t="n"/>
      <x:c r="D304" s="8" t="n"/>
      <x:c r="E304" s="8" t="n"/>
      <x:c r="F304" s="8" t="n"/>
      <x:c r="G304" s="8" t="n"/>
      <x:c r="H304" s="8" t="n"/>
    </x:row>
    <x:row r="305">
      <x:c r="A305" s="8" t="n"/>
      <x:c r="B305" s="8" t="n"/>
      <x:c r="C305" s="8" t="n"/>
      <x:c r="D305" s="8" t="n"/>
      <x:c r="E305" s="8" t="n"/>
      <x:c r="F305" s="8" t="n"/>
      <x:c r="G305" s="8" t="n"/>
      <x:c r="H305" s="8" t="n"/>
    </x:row>
    <x:row r="306">
      <x:c r="A306" s="8" t="n"/>
      <x:c r="B306" s="8" t="n"/>
      <x:c r="C306" s="8" t="n"/>
      <x:c r="D306" s="8" t="n"/>
      <x:c r="E306" s="8" t="n"/>
      <x:c r="F306" s="8" t="n"/>
      <x:c r="G306" s="8" t="n"/>
      <x:c r="H306" s="8" t="n"/>
    </x:row>
    <x:row r="307">
      <x:c r="A307" s="8" t="n"/>
      <x:c r="B307" s="8" t="n"/>
      <x:c r="C307" s="8" t="n"/>
      <x:c r="D307" s="8" t="n"/>
      <x:c r="E307" s="8" t="n"/>
      <x:c r="F307" s="8" t="n"/>
      <x:c r="G307" s="8" t="n"/>
      <x:c r="H307" s="8" t="n"/>
    </x:row>
    <x:row r="308">
      <x:c r="A308" s="8" t="n"/>
      <x:c r="B308" s="8" t="n"/>
      <x:c r="C308" s="8" t="n"/>
      <x:c r="D308" s="8" t="n"/>
      <x:c r="E308" s="8" t="n"/>
      <x:c r="F308" s="8" t="n"/>
      <x:c r="G308" s="8" t="n"/>
      <x:c r="H308" s="8" t="n"/>
    </x:row>
    <x:row r="309">
      <x:c r="A309" s="8" t="n"/>
      <x:c r="B309" s="8" t="n"/>
      <x:c r="C309" s="8" t="n"/>
      <x:c r="D309" s="8" t="n"/>
      <x:c r="E309" s="8" t="n"/>
      <x:c r="F309" s="8" t="n"/>
      <x:c r="G309" s="8" t="n"/>
      <x:c r="H309" s="8" t="n"/>
    </x:row>
    <x:row r="310">
      <x:c r="A310" s="8" t="n"/>
      <x:c r="B310" s="8" t="n"/>
      <x:c r="C310" s="8" t="n"/>
      <x:c r="D310" s="8" t="n"/>
      <x:c r="E310" s="8" t="n"/>
      <x:c r="F310" s="8" t="n"/>
      <x:c r="G310" s="8" t="n"/>
      <x:c r="H310" s="8" t="n"/>
    </x:row>
    <x:row r="311">
      <x:c r="A311" s="8" t="n"/>
      <x:c r="B311" s="8" t="n"/>
      <x:c r="C311" s="8" t="n"/>
      <x:c r="D311" s="8" t="n"/>
      <x:c r="E311" s="8" t="n"/>
      <x:c r="F311" s="8" t="n"/>
      <x:c r="G311" s="8" t="n"/>
      <x:c r="H311" s="8" t="n"/>
    </x:row>
    <x:row r="312">
      <x:c r="A312" s="8" t="n"/>
      <x:c r="B312" s="8" t="n"/>
      <x:c r="C312" s="8" t="n"/>
      <x:c r="D312" s="8" t="n"/>
      <x:c r="E312" s="8" t="n"/>
      <x:c r="F312" s="8" t="n"/>
      <x:c r="G312" s="8" t="n"/>
      <x:c r="H312" s="8" t="n"/>
    </x:row>
    <x:row r="313">
      <x:c r="A313" s="8" t="n"/>
      <x:c r="B313" s="8" t="n"/>
      <x:c r="C313" s="8" t="n"/>
      <x:c r="D313" s="8" t="n"/>
      <x:c r="E313" s="8" t="n"/>
      <x:c r="F313" s="8" t="n"/>
      <x:c r="G313" s="8" t="n"/>
      <x:c r="H313" s="8" t="n"/>
    </x:row>
    <x:row r="314">
      <x:c r="A314" s="8" t="n"/>
      <x:c r="B314" s="8" t="n"/>
      <x:c r="C314" s="8" t="n"/>
      <x:c r="D314" s="8" t="n"/>
      <x:c r="E314" s="8" t="n"/>
      <x:c r="F314" s="8" t="n"/>
      <x:c r="G314" s="8" t="n"/>
      <x:c r="H314" s="8" t="n"/>
    </x:row>
    <x:row r="315">
      <x:c r="A315" s="8" t="n"/>
      <x:c r="B315" s="8" t="n"/>
      <x:c r="C315" s="8" t="n"/>
      <x:c r="D315" s="8" t="n"/>
      <x:c r="E315" s="8" t="n"/>
      <x:c r="F315" s="8" t="n"/>
      <x:c r="G315" s="8" t="n"/>
      <x:c r="H315" s="8" t="n"/>
    </x:row>
    <x:row r="316">
      <x:c r="A316" s="8" t="n"/>
      <x:c r="B316" s="8" t="n"/>
      <x:c r="C316" s="8" t="n"/>
      <x:c r="D316" s="8" t="n"/>
      <x:c r="E316" s="8" t="n"/>
      <x:c r="F316" s="8" t="n"/>
      <x:c r="G316" s="8" t="n"/>
      <x:c r="H316" s="8" t="n"/>
    </x:row>
    <x:row r="317">
      <x:c r="A317" s="8" t="n"/>
      <x:c r="B317" s="8" t="n"/>
      <x:c r="C317" s="8" t="n"/>
      <x:c r="D317" s="8" t="n"/>
      <x:c r="E317" s="8" t="n"/>
      <x:c r="F317" s="8" t="n"/>
      <x:c r="G317" s="8" t="n"/>
      <x:c r="H317" s="8" t="n"/>
    </x:row>
    <x:row r="318">
      <x:c r="A318" s="8" t="n"/>
      <x:c r="B318" s="8" t="n"/>
      <x:c r="C318" s="8" t="n"/>
      <x:c r="D318" s="8" t="n"/>
      <x:c r="E318" s="8" t="n"/>
      <x:c r="F318" s="8" t="n"/>
      <x:c r="G318" s="8" t="n"/>
      <x:c r="H318" s="8" t="n"/>
    </x:row>
    <x:row r="319">
      <x:c r="A319" s="8" t="n"/>
      <x:c r="B319" s="8" t="n"/>
      <x:c r="C319" s="8" t="n"/>
      <x:c r="D319" s="8" t="n"/>
      <x:c r="E319" s="8" t="n"/>
      <x:c r="F319" s="8" t="n"/>
      <x:c r="G319" s="8" t="n"/>
      <x:c r="H319" s="8" t="n"/>
    </x:row>
    <x:row r="320">
      <x:c r="A320" s="8" t="n"/>
      <x:c r="B320" s="8" t="n"/>
      <x:c r="C320" s="8" t="n"/>
      <x:c r="D320" s="8" t="n"/>
      <x:c r="E320" s="8" t="n"/>
      <x:c r="F320" s="8" t="n"/>
      <x:c r="G320" s="8" t="n"/>
      <x:c r="H320" s="8" t="n"/>
    </x:row>
    <x:row r="321">
      <x:c r="A321" s="8" t="n"/>
      <x:c r="B321" s="8" t="n"/>
      <x:c r="C321" s="8" t="n"/>
      <x:c r="D321" s="8" t="n"/>
      <x:c r="E321" s="8" t="n"/>
      <x:c r="F321" s="8" t="n"/>
      <x:c r="G321" s="8" t="n"/>
      <x:c r="H321" s="8" t="n"/>
    </x:row>
    <x:row r="322">
      <x:c r="A322" s="8" t="n"/>
      <x:c r="B322" s="8" t="n"/>
      <x:c r="C322" s="8" t="n"/>
      <x:c r="D322" s="8" t="n"/>
      <x:c r="E322" s="8" t="n"/>
      <x:c r="F322" s="8" t="n"/>
      <x:c r="G322" s="8" t="n"/>
      <x:c r="H322" s="8" t="n"/>
    </x:row>
    <x:row r="323">
      <x:c r="A323" s="8" t="n"/>
      <x:c r="B323" s="8" t="n"/>
      <x:c r="C323" s="8" t="n"/>
      <x:c r="D323" s="8" t="n"/>
      <x:c r="E323" s="8" t="n"/>
      <x:c r="F323" s="8" t="n"/>
      <x:c r="G323" s="8" t="n"/>
      <x:c r="H323" s="8" t="n"/>
    </x:row>
    <x:row r="324">
      <x:c r="A324" s="8" t="n"/>
      <x:c r="B324" s="8" t="n"/>
      <x:c r="C324" s="8" t="n"/>
      <x:c r="D324" s="8" t="n"/>
      <x:c r="E324" s="8" t="n"/>
      <x:c r="F324" s="8" t="n"/>
      <x:c r="G324" s="8" t="n"/>
      <x:c r="H324" s="8" t="n"/>
    </x:row>
    <x:row r="325">
      <x:c r="A325" s="8" t="n"/>
      <x:c r="B325" s="8" t="n"/>
      <x:c r="C325" s="8" t="n"/>
      <x:c r="D325" s="8" t="n"/>
      <x:c r="E325" s="8" t="n"/>
      <x:c r="F325" s="8" t="n"/>
      <x:c r="G325" s="8" t="n"/>
      <x:c r="H325" s="8" t="n"/>
    </x:row>
    <x:row r="326">
      <x:c r="A326" s="8" t="n"/>
      <x:c r="B326" s="8" t="n"/>
      <x:c r="C326" s="8" t="n"/>
      <x:c r="D326" s="8" t="n"/>
      <x:c r="E326" s="8" t="n"/>
      <x:c r="F326" s="8" t="n"/>
      <x:c r="G326" s="8" t="n"/>
      <x:c r="H326" s="8" t="n"/>
    </x:row>
    <x:row r="327">
      <x:c r="A327" s="8" t="n"/>
      <x:c r="B327" s="8" t="n"/>
      <x:c r="C327" s="8" t="n"/>
      <x:c r="D327" s="8" t="n"/>
      <x:c r="E327" s="8" t="n"/>
      <x:c r="F327" s="8" t="n"/>
      <x:c r="G327" s="8" t="n"/>
      <x:c r="H327" s="8" t="n"/>
    </x:row>
    <x:row r="328">
      <x:c r="A328" s="8" t="n"/>
      <x:c r="B328" s="8" t="n"/>
      <x:c r="C328" s="8" t="n"/>
      <x:c r="D328" s="8" t="n"/>
      <x:c r="E328" s="8" t="n"/>
      <x:c r="F328" s="8" t="n"/>
      <x:c r="G328" s="8" t="n"/>
      <x:c r="H328" s="8" t="n"/>
    </x:row>
    <x:row r="329">
      <x:c r="A329" s="8" t="n"/>
      <x:c r="B329" s="8" t="n"/>
      <x:c r="C329" s="8" t="n"/>
      <x:c r="D329" s="8" t="n"/>
      <x:c r="E329" s="8" t="n"/>
      <x:c r="F329" s="8" t="n"/>
      <x:c r="G329" s="8" t="n"/>
      <x:c r="H329" s="8" t="n"/>
    </x:row>
    <x:row r="330">
      <x:c r="A330" s="8" t="n"/>
      <x:c r="B330" s="8" t="n"/>
      <x:c r="C330" s="8" t="n"/>
      <x:c r="D330" s="8" t="n"/>
      <x:c r="E330" s="8" t="n"/>
      <x:c r="F330" s="8" t="n"/>
      <x:c r="G330" s="8" t="n"/>
      <x:c r="H330" s="8" t="n"/>
    </x:row>
    <x:row r="331">
      <x:c r="A331" s="8" t="n"/>
      <x:c r="B331" s="8" t="n"/>
      <x:c r="C331" s="8" t="n"/>
      <x:c r="D331" s="8" t="n"/>
      <x:c r="E331" s="8" t="n"/>
      <x:c r="F331" s="8" t="n"/>
      <x:c r="G331" s="8" t="n"/>
      <x:c r="H331" s="8" t="n"/>
    </x:row>
    <x:row r="332">
      <x:c r="A332" s="8" t="n"/>
      <x:c r="B332" s="8" t="n"/>
      <x:c r="C332" s="8" t="n"/>
      <x:c r="D332" s="8" t="n"/>
      <x:c r="E332" s="8" t="n"/>
      <x:c r="F332" s="8" t="n"/>
      <x:c r="G332" s="8" t="n"/>
      <x:c r="H332" s="8" t="n"/>
    </x:row>
    <x:row r="333">
      <x:c r="A333" s="8" t="n"/>
      <x:c r="B333" s="8" t="n"/>
      <x:c r="C333" s="8" t="n"/>
      <x:c r="D333" s="8" t="n"/>
      <x:c r="E333" s="8" t="n"/>
      <x:c r="F333" s="8" t="n"/>
      <x:c r="G333" s="8" t="n"/>
      <x:c r="H333" s="8" t="n"/>
    </x:row>
    <x:row r="334">
      <x:c r="A334" s="8" t="n"/>
      <x:c r="B334" s="8" t="n"/>
      <x:c r="C334" s="8" t="n"/>
      <x:c r="D334" s="8" t="n"/>
      <x:c r="E334" s="8" t="n"/>
      <x:c r="F334" s="8" t="n"/>
      <x:c r="G334" s="8" t="n"/>
      <x:c r="H334" s="8" t="n"/>
    </x:row>
    <x:row r="335">
      <x:c r="A335" s="8" t="n"/>
      <x:c r="B335" s="8" t="n"/>
      <x:c r="C335" s="8" t="n"/>
      <x:c r="D335" s="8" t="n"/>
      <x:c r="E335" s="8" t="n"/>
      <x:c r="F335" s="8" t="n"/>
      <x:c r="G335" s="8" t="n"/>
      <x:c r="H335" s="8" t="n"/>
    </x:row>
    <x:row r="336">
      <x:c r="A336" s="8" t="n"/>
      <x:c r="B336" s="8" t="n"/>
      <x:c r="C336" s="8" t="n"/>
      <x:c r="D336" s="8" t="n"/>
      <x:c r="E336" s="8" t="n"/>
      <x:c r="F336" s="8" t="n"/>
      <x:c r="G336" s="8" t="n"/>
      <x:c r="H336" s="8" t="n"/>
    </x:row>
    <x:row r="337">
      <x:c r="A337" s="8" t="n"/>
      <x:c r="B337" s="8" t="n"/>
      <x:c r="C337" s="8" t="n"/>
      <x:c r="D337" s="8" t="n"/>
      <x:c r="E337" s="8" t="n"/>
      <x:c r="F337" s="8" t="n"/>
      <x:c r="G337" s="8" t="n"/>
      <x:c r="H337" s="8" t="n"/>
    </x:row>
    <x:row r="338">
      <x:c r="A338" s="8" t="n"/>
      <x:c r="B338" s="8" t="n"/>
      <x:c r="C338" s="8" t="n"/>
      <x:c r="D338" s="8" t="n"/>
      <x:c r="E338" s="8" t="n"/>
      <x:c r="F338" s="8" t="n"/>
      <x:c r="G338" s="8" t="n"/>
      <x:c r="H338" s="8" t="n"/>
    </x:row>
    <x:row r="339">
      <x:c r="A339" s="8" t="n"/>
      <x:c r="B339" s="8" t="n"/>
      <x:c r="C339" s="8" t="n"/>
      <x:c r="D339" s="8" t="n"/>
      <x:c r="E339" s="8" t="n"/>
      <x:c r="F339" s="8" t="n"/>
      <x:c r="G339" s="8" t="n"/>
      <x:c r="H339" s="8" t="n"/>
    </x:row>
    <x:row r="340">
      <x:c r="A340" s="8" t="n"/>
      <x:c r="B340" s="8" t="n"/>
      <x:c r="C340" s="8" t="n"/>
      <x:c r="D340" s="8" t="n"/>
      <x:c r="E340" s="8" t="n"/>
      <x:c r="F340" s="8" t="n"/>
      <x:c r="G340" s="8" t="n"/>
      <x:c r="H340" s="8" t="n"/>
    </x:row>
    <x:row r="341">
      <x:c r="A341" s="8" t="n"/>
      <x:c r="B341" s="8" t="n"/>
      <x:c r="C341" s="8" t="n"/>
      <x:c r="D341" s="8" t="n"/>
      <x:c r="E341" s="8" t="n"/>
      <x:c r="F341" s="8" t="n"/>
      <x:c r="G341" s="8" t="n"/>
      <x:c r="H341" s="8" t="n"/>
    </x:row>
    <x:row r="342">
      <x:c r="A342" s="8" t="n"/>
      <x:c r="B342" s="8" t="n"/>
      <x:c r="C342" s="8" t="n"/>
      <x:c r="D342" s="8" t="n"/>
      <x:c r="E342" s="8" t="n"/>
      <x:c r="F342" s="8" t="n"/>
      <x:c r="G342" s="8" t="n"/>
      <x:c r="H342" s="8" t="n"/>
    </x:row>
    <x:row r="343">
      <x:c r="A343" s="8" t="n"/>
      <x:c r="B343" s="8" t="n"/>
      <x:c r="C343" s="8" t="n"/>
      <x:c r="D343" s="8" t="n"/>
      <x:c r="E343" s="8" t="n"/>
      <x:c r="F343" s="8" t="n"/>
      <x:c r="G343" s="8" t="n"/>
      <x:c r="H343" s="8" t="n"/>
    </x:row>
    <x:row r="344">
      <x:c r="A344" s="8" t="n"/>
      <x:c r="B344" s="8" t="n"/>
      <x:c r="C344" s="8" t="n"/>
      <x:c r="D344" s="8" t="n"/>
      <x:c r="E344" s="8" t="n"/>
      <x:c r="F344" s="8" t="n"/>
      <x:c r="G344" s="8" t="n"/>
      <x:c r="H344" s="8" t="n"/>
    </x:row>
    <x:row r="345">
      <x:c r="A345" s="8" t="n"/>
      <x:c r="B345" s="8" t="n"/>
      <x:c r="C345" s="8" t="n"/>
      <x:c r="D345" s="8" t="n"/>
      <x:c r="E345" s="8" t="n"/>
      <x:c r="F345" s="8" t="n"/>
      <x:c r="G345" s="8" t="n"/>
      <x:c r="H345" s="8" t="n"/>
    </x:row>
    <x:row r="346">
      <x:c r="A346" s="8" t="n"/>
      <x:c r="B346" s="8" t="n"/>
      <x:c r="C346" s="8" t="n"/>
      <x:c r="D346" s="8" t="n"/>
      <x:c r="E346" s="8" t="n"/>
      <x:c r="F346" s="8" t="n"/>
      <x:c r="G346" s="8" t="n"/>
      <x:c r="H346" s="8" t="n"/>
    </x:row>
    <x:row r="347">
      <x:c r="A347" s="8" t="n"/>
      <x:c r="B347" s="8" t="n"/>
      <x:c r="C347" s="8" t="n"/>
      <x:c r="D347" s="8" t="n"/>
      <x:c r="E347" s="8" t="n"/>
      <x:c r="F347" s="8" t="n"/>
      <x:c r="G347" s="8" t="n"/>
      <x:c r="H347" s="8" t="n"/>
    </x:row>
    <x:row r="348">
      <x:c r="A348" s="8" t="n"/>
      <x:c r="B348" s="8" t="n"/>
      <x:c r="C348" s="8" t="n"/>
      <x:c r="D348" s="8" t="n"/>
      <x:c r="E348" s="8" t="n"/>
      <x:c r="F348" s="8" t="n"/>
      <x:c r="G348" s="8" t="n"/>
      <x:c r="H348" s="8" t="n"/>
    </x:row>
    <x:row r="349">
      <x:c r="A349" s="8" t="n"/>
      <x:c r="B349" s="8" t="n"/>
      <x:c r="C349" s="8" t="n"/>
      <x:c r="D349" s="8" t="n"/>
      <x:c r="E349" s="8" t="n"/>
      <x:c r="F349" s="8" t="n"/>
      <x:c r="G349" s="8" t="n"/>
      <x:c r="H349" s="8" t="n"/>
    </x:row>
    <x:row r="350">
      <x:c r="A350" s="8" t="n"/>
      <x:c r="B350" s="8" t="n"/>
      <x:c r="C350" s="8" t="n"/>
      <x:c r="D350" s="8" t="n"/>
      <x:c r="E350" s="8" t="n"/>
      <x:c r="F350" s="8" t="n"/>
      <x:c r="G350" s="8" t="n"/>
      <x:c r="H350" s="8" t="n"/>
    </x:row>
    <x:row r="351">
      <x:c r="A351" s="8" t="n"/>
      <x:c r="B351" s="8" t="n"/>
      <x:c r="C351" s="8" t="n"/>
      <x:c r="D351" s="8" t="n"/>
      <x:c r="E351" s="8" t="n"/>
      <x:c r="F351" s="8" t="n"/>
      <x:c r="G351" s="8" t="n"/>
      <x:c r="H351" s="8" t="n"/>
    </x:row>
    <x:row r="352">
      <x:c r="A352" s="8" t="n"/>
      <x:c r="B352" s="8" t="n"/>
      <x:c r="C352" s="8" t="n"/>
      <x:c r="D352" s="8" t="n"/>
      <x:c r="E352" s="8" t="n"/>
      <x:c r="F352" s="8" t="n"/>
      <x:c r="G352" s="8" t="n"/>
      <x:c r="H352" s="8" t="n"/>
    </x:row>
    <x:row r="353">
      <x:c r="A353" s="8" t="n"/>
      <x:c r="B353" s="8" t="n"/>
      <x:c r="C353" s="8" t="n"/>
      <x:c r="D353" s="8" t="n"/>
      <x:c r="E353" s="8" t="n"/>
      <x:c r="F353" s="8" t="n"/>
      <x:c r="G353" s="8" t="n"/>
      <x:c r="H353" s="8" t="n"/>
    </x:row>
    <x:row r="354">
      <x:c r="A354" s="8" t="n"/>
      <x:c r="B354" s="8" t="n"/>
      <x:c r="C354" s="8" t="n"/>
      <x:c r="D354" s="8" t="n"/>
      <x:c r="E354" s="8" t="n"/>
      <x:c r="F354" s="8" t="n"/>
      <x:c r="G354" s="8" t="n"/>
      <x:c r="H354" s="8" t="n"/>
    </x:row>
    <x:row r="355">
      <x:c r="A355" s="8" t="n"/>
      <x:c r="B355" s="8" t="n"/>
      <x:c r="C355" s="8" t="n"/>
      <x:c r="D355" s="8" t="n"/>
      <x:c r="E355" s="8" t="n"/>
      <x:c r="F355" s="8" t="n"/>
      <x:c r="G355" s="8" t="n"/>
      <x:c r="H355" s="8" t="n"/>
    </x:row>
    <x:row r="356">
      <x:c r="A356" s="8" t="n"/>
      <x:c r="B356" s="8" t="n"/>
      <x:c r="C356" s="8" t="n"/>
      <x:c r="D356" s="8" t="n"/>
      <x:c r="E356" s="8" t="n"/>
      <x:c r="F356" s="8" t="n"/>
      <x:c r="G356" s="8" t="n"/>
      <x:c r="H356" s="8" t="n"/>
    </x:row>
    <x:row r="357">
      <x:c r="A357" s="8" t="n"/>
      <x:c r="B357" s="8" t="n"/>
      <x:c r="C357" s="8" t="n"/>
      <x:c r="D357" s="8" t="n"/>
      <x:c r="E357" s="8" t="n"/>
      <x:c r="F357" s="8" t="n"/>
      <x:c r="G357" s="8" t="n"/>
      <x:c r="H357" s="8" t="n"/>
    </x:row>
    <x:row r="358">
      <x:c r="A358" s="8" t="n"/>
      <x:c r="B358" s="8" t="n"/>
      <x:c r="C358" s="8" t="n"/>
      <x:c r="D358" s="8" t="n"/>
      <x:c r="E358" s="8" t="n"/>
      <x:c r="F358" s="8" t="n"/>
      <x:c r="G358" s="8" t="n"/>
      <x:c r="H358" s="8" t="n"/>
    </x:row>
    <x:row r="359">
      <x:c r="A359" s="8" t="n"/>
      <x:c r="B359" s="8" t="n"/>
      <x:c r="C359" s="8" t="n"/>
      <x:c r="D359" s="8" t="n"/>
      <x:c r="E359" s="8" t="n"/>
      <x:c r="F359" s="8" t="n"/>
      <x:c r="G359" s="8" t="n"/>
      <x:c r="H359" s="8" t="n"/>
    </x:row>
    <x:row r="360">
      <x:c r="A360" s="8" t="n"/>
      <x:c r="B360" s="8" t="n"/>
      <x:c r="C360" s="8" t="n"/>
      <x:c r="D360" s="8" t="n"/>
      <x:c r="E360" s="8" t="n"/>
      <x:c r="F360" s="8" t="n"/>
      <x:c r="G360" s="8" t="n"/>
      <x:c r="H360" s="8" t="n"/>
    </x:row>
    <x:row r="361">
      <x:c r="A361" s="8" t="n"/>
      <x:c r="B361" s="8" t="n"/>
      <x:c r="C361" s="8" t="n"/>
      <x:c r="D361" s="8" t="n"/>
      <x:c r="E361" s="8" t="n"/>
      <x:c r="F361" s="8" t="n"/>
      <x:c r="G361" s="8" t="n"/>
      <x:c r="H361" s="8" t="n"/>
    </x:row>
    <x:row r="362">
      <x:c r="A362" s="8" t="n"/>
      <x:c r="B362" s="8" t="n"/>
      <x:c r="C362" s="8" t="n"/>
      <x:c r="D362" s="8" t="n"/>
      <x:c r="E362" s="8" t="n"/>
      <x:c r="F362" s="8" t="n"/>
      <x:c r="G362" s="8" t="n"/>
      <x:c r="H362" s="8" t="n"/>
    </x:row>
    <x:row r="363">
      <x:c r="A363" s="8" t="n"/>
      <x:c r="B363" s="8" t="n"/>
      <x:c r="C363" s="8" t="n"/>
      <x:c r="D363" s="8" t="n"/>
      <x:c r="E363" s="8" t="n"/>
      <x:c r="F363" s="8" t="n"/>
      <x:c r="G363" s="8" t="n"/>
      <x:c r="H363" s="8" t="n"/>
    </x:row>
    <x:row r="364">
      <x:c r="A364" s="8" t="n"/>
      <x:c r="B364" s="8" t="n"/>
      <x:c r="C364" s="8" t="n"/>
      <x:c r="D364" s="8" t="n"/>
      <x:c r="E364" s="8" t="n"/>
      <x:c r="F364" s="8" t="n"/>
      <x:c r="G364" s="8" t="n"/>
      <x:c r="H364" s="8" t="n"/>
    </x:row>
    <x:row r="365">
      <x:c r="A365" s="8" t="n"/>
      <x:c r="B365" s="8" t="n"/>
      <x:c r="C365" s="8" t="n"/>
      <x:c r="D365" s="8" t="n"/>
      <x:c r="E365" s="8" t="n"/>
      <x:c r="F365" s="8" t="n"/>
      <x:c r="G365" s="8" t="n"/>
      <x:c r="H365" s="8" t="n"/>
    </x:row>
    <x:row r="366">
      <x:c r="A366" s="8" t="n"/>
      <x:c r="B366" s="8" t="n"/>
      <x:c r="C366" s="8" t="n"/>
      <x:c r="D366" s="8" t="n"/>
      <x:c r="E366" s="8" t="n"/>
      <x:c r="F366" s="8" t="n"/>
      <x:c r="G366" s="8" t="n"/>
      <x:c r="H366" s="8" t="n"/>
    </x:row>
    <x:row r="367">
      <x:c r="A367" s="8" t="n"/>
      <x:c r="B367" s="8" t="n"/>
      <x:c r="C367" s="8" t="n"/>
      <x:c r="D367" s="8" t="n"/>
      <x:c r="E367" s="8" t="n"/>
      <x:c r="F367" s="8" t="n"/>
      <x:c r="G367" s="8" t="n"/>
      <x:c r="H367" s="8" t="n"/>
    </x:row>
    <x:row r="368">
      <x:c r="A368" s="8" t="n"/>
      <x:c r="B368" s="8" t="n"/>
      <x:c r="C368" s="8" t="n"/>
      <x:c r="D368" s="8" t="n"/>
      <x:c r="E368" s="8" t="n"/>
      <x:c r="F368" s="8" t="n"/>
      <x:c r="G368" s="8" t="n"/>
      <x:c r="H368" s="8" t="n"/>
    </x:row>
    <x:row r="369">
      <x:c r="A369" s="8" t="n"/>
      <x:c r="B369" s="8" t="n"/>
      <x:c r="C369" s="8" t="n"/>
      <x:c r="D369" s="8" t="n"/>
      <x:c r="E369" s="8" t="n"/>
      <x:c r="F369" s="8" t="n"/>
      <x:c r="G369" s="8" t="n"/>
      <x:c r="H369" s="8" t="n"/>
    </x:row>
    <x:row r="370">
      <x:c r="A370" s="8" t="n"/>
      <x:c r="B370" s="8" t="n"/>
      <x:c r="C370" s="8" t="n"/>
      <x:c r="D370" s="8" t="n"/>
      <x:c r="E370" s="8" t="n"/>
      <x:c r="F370" s="8" t="n"/>
      <x:c r="G370" s="8" t="n"/>
      <x:c r="H370" s="8" t="n"/>
    </x:row>
    <x:row r="371">
      <x:c r="A371" s="8" t="n"/>
      <x:c r="B371" s="8" t="n"/>
      <x:c r="C371" s="8" t="n"/>
      <x:c r="D371" s="8" t="n"/>
      <x:c r="E371" s="8" t="n"/>
      <x:c r="F371" s="8" t="n"/>
      <x:c r="G371" s="8" t="n"/>
      <x:c r="H371" s="8" t="n"/>
    </x:row>
    <x:row r="372">
      <x:c r="A372" s="8" t="n"/>
      <x:c r="B372" s="8" t="n"/>
      <x:c r="C372" s="8" t="n"/>
      <x:c r="D372" s="8" t="n"/>
      <x:c r="E372" s="8" t="n"/>
      <x:c r="F372" s="8" t="n"/>
      <x:c r="G372" s="8" t="n"/>
      <x:c r="H372" s="8" t="n"/>
    </x:row>
    <x:row r="373">
      <x:c r="A373" s="8" t="n"/>
      <x:c r="B373" s="8" t="n"/>
      <x:c r="C373" s="8" t="n"/>
      <x:c r="D373" s="8" t="n"/>
      <x:c r="E373" s="8" t="n"/>
      <x:c r="F373" s="8" t="n"/>
      <x:c r="G373" s="8" t="n"/>
      <x:c r="H373" s="8" t="n"/>
    </x:row>
    <x:row r="374">
      <x:c r="A374" s="8" t="n"/>
      <x:c r="B374" s="8" t="n"/>
      <x:c r="C374" s="8" t="n"/>
      <x:c r="D374" s="8" t="n"/>
      <x:c r="E374" s="8" t="n"/>
      <x:c r="F374" s="8" t="n"/>
      <x:c r="G374" s="8" t="n"/>
      <x:c r="H374" s="8" t="n"/>
    </x:row>
    <x:row r="375">
      <x:c r="A375" s="8" t="n"/>
      <x:c r="B375" s="8" t="n"/>
      <x:c r="C375" s="8" t="n"/>
      <x:c r="D375" s="8" t="n"/>
      <x:c r="E375" s="8" t="n"/>
      <x:c r="F375" s="8" t="n"/>
      <x:c r="G375" s="8" t="n"/>
      <x:c r="H375" s="8" t="n"/>
    </x:row>
    <x:row r="376">
      <x:c r="A376" s="8" t="n"/>
      <x:c r="B376" s="8" t="n"/>
      <x:c r="C376" s="8" t="n"/>
      <x:c r="D376" s="8" t="n"/>
      <x:c r="E376" s="8" t="n"/>
      <x:c r="F376" s="8" t="n"/>
      <x:c r="G376" s="8" t="n"/>
      <x:c r="H376" s="8" t="n"/>
    </x:row>
    <x:row r="377">
      <x:c r="A377" s="8" t="n"/>
      <x:c r="B377" s="8" t="n"/>
      <x:c r="C377" s="8" t="n"/>
      <x:c r="D377" s="8" t="n"/>
      <x:c r="E377" s="8" t="n"/>
      <x:c r="F377" s="8" t="n"/>
      <x:c r="G377" s="8" t="n"/>
      <x:c r="H377" s="8" t="n"/>
    </x:row>
    <x:row r="378">
      <x:c r="A378" s="8" t="n"/>
      <x:c r="B378" s="8" t="n"/>
      <x:c r="C378" s="8" t="n"/>
      <x:c r="D378" s="8" t="n"/>
      <x:c r="E378" s="8" t="n"/>
      <x:c r="F378" s="8" t="n"/>
      <x:c r="G378" s="8" t="n"/>
      <x:c r="H378" s="8" t="n"/>
    </x:row>
    <x:row r="379">
      <x:c r="A379" s="8" t="n"/>
      <x:c r="B379" s="8" t="n"/>
      <x:c r="C379" s="8" t="n"/>
      <x:c r="D379" s="8" t="n"/>
      <x:c r="E379" s="8" t="n"/>
      <x:c r="F379" s="8" t="n"/>
      <x:c r="G379" s="8" t="n"/>
      <x:c r="H379" s="8" t="n"/>
    </x:row>
    <x:row r="380">
      <x:c r="A380" s="8" t="n"/>
      <x:c r="B380" s="8" t="n"/>
      <x:c r="C380" s="8" t="n"/>
      <x:c r="D380" s="8" t="n"/>
      <x:c r="E380" s="8" t="n"/>
      <x:c r="F380" s="8" t="n"/>
      <x:c r="G380" s="8" t="n"/>
      <x:c r="H380" s="8" t="n"/>
    </x:row>
    <x:row r="381">
      <x:c r="A381" s="8" t="n"/>
      <x:c r="B381" s="8" t="n"/>
      <x:c r="C381" s="8" t="n"/>
      <x:c r="D381" s="8" t="n"/>
      <x:c r="E381" s="8" t="n"/>
      <x:c r="F381" s="8" t="n"/>
      <x:c r="G381" s="8" t="n"/>
      <x:c r="H381" s="8" t="n"/>
    </x:row>
    <x:row r="382">
      <x:c r="A382" s="8" t="n"/>
      <x:c r="B382" s="8" t="n"/>
      <x:c r="C382" s="8" t="n"/>
      <x:c r="D382" s="8" t="n"/>
      <x:c r="E382" s="8" t="n"/>
      <x:c r="F382" s="8" t="n"/>
      <x:c r="G382" s="8" t="n"/>
      <x:c r="H382" s="8" t="n"/>
    </x:row>
    <x:row r="383">
      <x:c r="A383" s="8" t="n"/>
      <x:c r="B383" s="8" t="n"/>
      <x:c r="C383" s="8" t="n"/>
      <x:c r="D383" s="8" t="n"/>
      <x:c r="E383" s="8" t="n"/>
      <x:c r="F383" s="8" t="n"/>
      <x:c r="G383" s="8" t="n"/>
      <x:c r="H383" s="8" t="n"/>
    </x:row>
    <x:row r="384">
      <x:c r="A384" s="8" t="n"/>
      <x:c r="B384" s="8" t="n"/>
      <x:c r="C384" s="8" t="n"/>
      <x:c r="D384" s="8" t="n"/>
      <x:c r="E384" s="8" t="n"/>
      <x:c r="F384" s="8" t="n"/>
      <x:c r="G384" s="8" t="n"/>
      <x:c r="H384" s="8" t="n"/>
    </x:row>
    <x:row r="385">
      <x:c r="A385" s="8" t="n"/>
      <x:c r="B385" s="8" t="n"/>
      <x:c r="C385" s="8" t="n"/>
      <x:c r="D385" s="8" t="n"/>
      <x:c r="E385" s="8" t="n"/>
      <x:c r="F385" s="8" t="n"/>
      <x:c r="G385" s="8" t="n"/>
      <x:c r="H385" s="8" t="n"/>
    </x:row>
    <x:row r="386">
      <x:c r="A386" s="8" t="n"/>
      <x:c r="B386" s="8" t="n"/>
      <x:c r="C386" s="8" t="n"/>
      <x:c r="D386" s="8" t="n"/>
      <x:c r="E386" s="8" t="n"/>
      <x:c r="F386" s="8" t="n"/>
      <x:c r="G386" s="8" t="n"/>
      <x:c r="H386" s="8" t="n"/>
    </x:row>
    <x:row r="387">
      <x:c r="A387" s="8" t="n"/>
      <x:c r="B387" s="8" t="n"/>
      <x:c r="C387" s="8" t="n"/>
      <x:c r="D387" s="8" t="n"/>
      <x:c r="E387" s="8" t="n"/>
      <x:c r="F387" s="8" t="n"/>
      <x:c r="G387" s="8" t="n"/>
      <x:c r="H387" s="8" t="n"/>
    </x:row>
    <x:row r="388">
      <x:c r="A388" s="8" t="n"/>
      <x:c r="B388" s="8" t="n"/>
      <x:c r="C388" s="8" t="n"/>
      <x:c r="D388" s="8" t="n"/>
      <x:c r="E388" s="8" t="n"/>
      <x:c r="F388" s="8" t="n"/>
      <x:c r="G388" s="8" t="n"/>
      <x:c r="H388" s="8" t="n"/>
    </x:row>
    <x:row r="389">
      <x:c r="A389" s="8" t="n"/>
      <x:c r="B389" s="8" t="n"/>
      <x:c r="C389" s="8" t="n"/>
      <x:c r="D389" s="8" t="n"/>
      <x:c r="E389" s="8" t="n"/>
      <x:c r="F389" s="8" t="n"/>
      <x:c r="G389" s="8" t="n"/>
      <x:c r="H389" s="8" t="n"/>
    </x:row>
    <x:row r="390">
      <x:c r="A390" s="8" t="n"/>
      <x:c r="B390" s="8" t="n"/>
      <x:c r="C390" s="8" t="n"/>
      <x:c r="D390" s="8" t="n"/>
      <x:c r="E390" s="8" t="n"/>
      <x:c r="F390" s="8" t="n"/>
      <x:c r="G390" s="8" t="n"/>
      <x:c r="H390" s="8" t="n"/>
    </x:row>
    <x:row r="391">
      <x:c r="A391" s="8" t="n"/>
      <x:c r="B391" s="8" t="n"/>
      <x:c r="C391" s="8" t="n"/>
      <x:c r="D391" s="8" t="n"/>
      <x:c r="E391" s="8" t="n"/>
      <x:c r="F391" s="8" t="n"/>
      <x:c r="G391" s="8" t="n"/>
      <x:c r="H391" s="8" t="n"/>
    </x:row>
    <x:row r="392">
      <x:c r="A392" s="8" t="n"/>
      <x:c r="B392" s="8" t="n"/>
      <x:c r="C392" s="8" t="n"/>
      <x:c r="D392" s="8" t="n"/>
      <x:c r="E392" s="8" t="n"/>
      <x:c r="F392" s="8" t="n"/>
      <x:c r="G392" s="8" t="n"/>
      <x:c r="H392" s="8" t="n"/>
    </x:row>
    <x:row r="393">
      <x:c r="A393" s="8" t="n"/>
      <x:c r="B393" s="8" t="n"/>
      <x:c r="C393" s="8" t="n"/>
      <x:c r="D393" s="8" t="n"/>
      <x:c r="E393" s="8" t="n"/>
      <x:c r="F393" s="8" t="n"/>
      <x:c r="G393" s="8" t="n"/>
      <x:c r="H393" s="8" t="n"/>
    </x:row>
    <x:row r="394">
      <x:c r="A394" s="8" t="n"/>
      <x:c r="B394" s="8" t="n"/>
      <x:c r="C394" s="8" t="n"/>
      <x:c r="D394" s="8" t="n"/>
      <x:c r="E394" s="8" t="n"/>
      <x:c r="F394" s="8" t="n"/>
      <x:c r="G394" s="8" t="n"/>
      <x:c r="H394" s="8" t="n"/>
    </x:row>
    <x:row r="395">
      <x:c r="A395" s="8" t="n"/>
      <x:c r="B395" s="8" t="n"/>
      <x:c r="C395" s="8" t="n"/>
      <x:c r="D395" s="8" t="n"/>
      <x:c r="E395" s="8" t="n"/>
      <x:c r="F395" s="8" t="n"/>
      <x:c r="G395" s="8" t="n"/>
      <x:c r="H395" s="8" t="n"/>
    </x:row>
    <x:row r="396">
      <x:c r="A396" s="8" t="n"/>
      <x:c r="B396" s="8" t="n"/>
      <x:c r="C396" s="8" t="n"/>
      <x:c r="D396" s="8" t="n"/>
      <x:c r="E396" s="8" t="n"/>
      <x:c r="F396" s="8" t="n"/>
      <x:c r="G396" s="8" t="n"/>
      <x:c r="H396" s="8" t="n"/>
    </x:row>
    <x:row r="397">
      <x:c r="A397" s="8" t="n"/>
      <x:c r="B397" s="8" t="n"/>
      <x:c r="C397" s="8" t="n"/>
      <x:c r="D397" s="8" t="n"/>
      <x:c r="E397" s="8" t="n"/>
      <x:c r="F397" s="8" t="n"/>
      <x:c r="G397" s="8" t="n"/>
      <x:c r="H397" s="8" t="n"/>
    </x:row>
    <x:row r="398">
      <x:c r="A398" s="8" t="n"/>
      <x:c r="B398" s="8" t="n"/>
      <x:c r="C398" s="8" t="n"/>
      <x:c r="D398" s="8" t="n"/>
      <x:c r="E398" s="8" t="n"/>
      <x:c r="F398" s="8" t="n"/>
      <x:c r="G398" s="8" t="n"/>
      <x:c r="H398" s="8" t="n"/>
    </x:row>
    <x:row r="399">
      <x:c r="A399" s="8" t="n"/>
      <x:c r="B399" s="8" t="n"/>
      <x:c r="C399" s="8" t="n"/>
      <x:c r="D399" s="8" t="n"/>
      <x:c r="E399" s="8" t="n"/>
      <x:c r="F399" s="8" t="n"/>
      <x:c r="G399" s="8" t="n"/>
      <x:c r="H399" s="8" t="n"/>
    </x:row>
    <x:row r="400">
      <x:c r="A400" s="8" t="n"/>
      <x:c r="B400" s="8" t="n"/>
      <x:c r="C400" s="8" t="n"/>
      <x:c r="D400" s="8" t="n"/>
      <x:c r="E400" s="8" t="n"/>
      <x:c r="F400" s="8" t="n"/>
      <x:c r="G400" s="8" t="n"/>
      <x:c r="H400" s="8" t="n"/>
    </x:row>
    <x:row r="401">
      <x:c r="A401" s="8" t="n"/>
      <x:c r="B401" s="8" t="n"/>
      <x:c r="C401" s="8" t="n"/>
      <x:c r="D401" s="8" t="n"/>
      <x:c r="E401" s="8" t="n"/>
      <x:c r="F401" s="8" t="n"/>
      <x:c r="G401" s="8" t="n"/>
      <x:c r="H401" s="8" t="n"/>
    </x:row>
    <x:row r="402">
      <x:c r="A402" s="8" t="n"/>
      <x:c r="B402" s="8" t="n"/>
      <x:c r="C402" s="8" t="n"/>
      <x:c r="D402" s="8" t="n"/>
      <x:c r="E402" s="8" t="n"/>
      <x:c r="F402" s="8" t="n"/>
      <x:c r="G402" s="8" t="n"/>
      <x:c r="H402" s="8" t="n"/>
    </x:row>
    <x:row r="403">
      <x:c r="A403" s="8" t="n"/>
      <x:c r="B403" s="8" t="n"/>
      <x:c r="C403" s="8" t="n"/>
      <x:c r="D403" s="8" t="n"/>
      <x:c r="E403" s="8" t="n"/>
      <x:c r="F403" s="8" t="n"/>
      <x:c r="G403" s="8" t="n"/>
      <x:c r="H403" s="8" t="n"/>
    </x:row>
    <x:row r="404">
      <x:c r="A404" s="8" t="n"/>
      <x:c r="B404" s="8" t="n"/>
      <x:c r="C404" s="8" t="n"/>
      <x:c r="D404" s="8" t="n"/>
      <x:c r="E404" s="8" t="n"/>
      <x:c r="F404" s="8" t="n"/>
      <x:c r="G404" s="8" t="n"/>
      <x:c r="H404" s="8" t="n"/>
    </x:row>
    <x:row r="405">
      <x:c r="A405" s="8" t="n"/>
      <x:c r="B405" s="8" t="n"/>
      <x:c r="C405" s="8" t="n"/>
      <x:c r="D405" s="8" t="n"/>
      <x:c r="E405" s="8" t="n"/>
      <x:c r="F405" s="8" t="n"/>
      <x:c r="G405" s="8" t="n"/>
      <x:c r="H405" s="8" t="n"/>
    </x:row>
    <x:row r="406">
      <x:c r="A406" s="8" t="n"/>
      <x:c r="B406" s="8" t="n"/>
      <x:c r="C406" s="8" t="n"/>
      <x:c r="D406" s="8" t="n"/>
      <x:c r="E406" s="8" t="n"/>
      <x:c r="F406" s="8" t="n"/>
      <x:c r="G406" s="8" t="n"/>
      <x:c r="H406" s="8" t="n"/>
    </x:row>
    <x:row r="407">
      <x:c r="A407" s="8" t="n"/>
      <x:c r="B407" s="8" t="n"/>
      <x:c r="C407" s="8" t="n"/>
      <x:c r="D407" s="8" t="n"/>
      <x:c r="E407" s="8" t="n"/>
      <x:c r="F407" s="8" t="n"/>
      <x:c r="G407" s="8" t="n"/>
      <x:c r="H407" s="8" t="n"/>
    </x:row>
    <x:row r="408">
      <x:c r="A408" s="8" t="n"/>
      <x:c r="B408" s="8" t="n"/>
      <x:c r="C408" s="8" t="n"/>
      <x:c r="D408" s="8" t="n"/>
      <x:c r="E408" s="8" t="n"/>
      <x:c r="F408" s="8" t="n"/>
      <x:c r="G408" s="8" t="n"/>
      <x:c r="H408" s="8" t="n"/>
    </x:row>
    <x:row r="409">
      <x:c r="A409" s="8" t="n"/>
      <x:c r="B409" s="8" t="n"/>
      <x:c r="C409" s="8" t="n"/>
      <x:c r="D409" s="8" t="n"/>
      <x:c r="E409" s="8" t="n"/>
      <x:c r="F409" s="8" t="n"/>
      <x:c r="G409" s="8" t="n"/>
      <x:c r="H409" s="8" t="n"/>
    </x:row>
    <x:row r="410">
      <x:c r="A410" s="8" t="n"/>
      <x:c r="B410" s="8" t="n"/>
      <x:c r="C410" s="8" t="n"/>
      <x:c r="D410" s="8" t="n"/>
      <x:c r="E410" s="8" t="n"/>
      <x:c r="F410" s="8" t="n"/>
      <x:c r="G410" s="8" t="n"/>
      <x:c r="H410" s="8" t="n"/>
    </x:row>
    <x:row r="411">
      <x:c r="A411" s="8" t="n"/>
      <x:c r="B411" s="8" t="n"/>
      <x:c r="C411" s="8" t="n"/>
      <x:c r="D411" s="8" t="n"/>
      <x:c r="E411" s="8" t="n"/>
      <x:c r="F411" s="8" t="n"/>
      <x:c r="G411" s="8" t="n"/>
      <x:c r="H411" s="8" t="n"/>
    </x:row>
    <x:row r="412">
      <x:c r="A412" s="8" t="n"/>
      <x:c r="B412" s="8" t="n"/>
      <x:c r="C412" s="8" t="n"/>
      <x:c r="D412" s="8" t="n"/>
      <x:c r="E412" s="8" t="n"/>
      <x:c r="F412" s="8" t="n"/>
      <x:c r="G412" s="8" t="n"/>
      <x:c r="H412" s="8" t="n"/>
    </x:row>
    <x:row r="413">
      <x:c r="A413" s="8" t="n"/>
      <x:c r="B413" s="8" t="n"/>
      <x:c r="C413" s="8" t="n"/>
      <x:c r="D413" s="8" t="n"/>
      <x:c r="E413" s="8" t="n"/>
      <x:c r="F413" s="8" t="n"/>
      <x:c r="G413" s="8" t="n"/>
      <x:c r="H413" s="8" t="n"/>
    </x:row>
    <x:row r="414">
      <x:c r="A414" s="8" t="n"/>
      <x:c r="B414" s="8" t="n"/>
      <x:c r="C414" s="8" t="n"/>
      <x:c r="D414" s="8" t="n"/>
      <x:c r="E414" s="8" t="n"/>
      <x:c r="F414" s="8" t="n"/>
      <x:c r="G414" s="8" t="n"/>
      <x:c r="H414" s="8" t="n"/>
    </x:row>
    <x:row r="415">
      <x:c r="A415" s="8" t="n"/>
      <x:c r="B415" s="8" t="n"/>
      <x:c r="C415" s="8" t="n"/>
      <x:c r="D415" s="8" t="n"/>
      <x:c r="E415" s="8" t="n"/>
      <x:c r="F415" s="8" t="n"/>
      <x:c r="G415" s="8" t="n"/>
      <x:c r="H415" s="8" t="n"/>
    </x:row>
    <x:row r="416">
      <x:c r="A416" s="8" t="n"/>
      <x:c r="B416" s="8" t="n"/>
      <x:c r="C416" s="8" t="n"/>
      <x:c r="D416" s="8" t="n"/>
      <x:c r="E416" s="8" t="n"/>
      <x:c r="F416" s="8" t="n"/>
      <x:c r="G416" s="8" t="n"/>
      <x:c r="H416" s="8" t="n"/>
    </x:row>
    <x:row r="417">
      <x:c r="A417" s="8" t="n"/>
      <x:c r="B417" s="8" t="n"/>
      <x:c r="C417" s="8" t="n"/>
      <x:c r="D417" s="8" t="n"/>
      <x:c r="E417" s="8" t="n"/>
      <x:c r="F417" s="8" t="n"/>
      <x:c r="G417" s="8" t="n"/>
      <x:c r="H417" s="8" t="n"/>
    </x:row>
    <x:row r="418">
      <x:c r="A418" s="8" t="n"/>
      <x:c r="B418" s="8" t="n"/>
      <x:c r="C418" s="8" t="n"/>
      <x:c r="D418" s="8" t="n"/>
      <x:c r="E418" s="8" t="n"/>
      <x:c r="F418" s="8" t="n"/>
      <x:c r="G418" s="8" t="n"/>
      <x:c r="H418" s="8" t="n"/>
    </x:row>
    <x:row r="419">
      <x:c r="A419" s="8" t="n"/>
      <x:c r="B419" s="8" t="n"/>
      <x:c r="C419" s="8" t="n"/>
      <x:c r="D419" s="8" t="n"/>
      <x:c r="E419" s="8" t="n"/>
      <x:c r="F419" s="8" t="n"/>
      <x:c r="G419" s="8" t="n"/>
      <x:c r="H419" s="8" t="n"/>
    </x:row>
    <x:row r="420">
      <x:c r="A420" s="8" t="n"/>
      <x:c r="B420" s="8" t="n"/>
      <x:c r="C420" s="8" t="n"/>
      <x:c r="D420" s="8" t="n"/>
      <x:c r="E420" s="8" t="n"/>
      <x:c r="F420" s="8" t="n"/>
      <x:c r="G420" s="8" t="n"/>
      <x:c r="H420" s="8" t="n"/>
    </x:row>
    <x:row r="421">
      <x:c r="A421" s="8" t="n"/>
      <x:c r="B421" s="8" t="n"/>
      <x:c r="C421" s="8" t="n"/>
      <x:c r="D421" s="8" t="n"/>
      <x:c r="E421" s="8" t="n"/>
      <x:c r="F421" s="8" t="n"/>
      <x:c r="G421" s="8" t="n"/>
      <x:c r="H421" s="8" t="n"/>
    </x:row>
    <x:row r="422">
      <x:c r="A422" s="8" t="n"/>
      <x:c r="B422" s="8" t="n"/>
      <x:c r="C422" s="8" t="n"/>
      <x:c r="D422" s="8" t="n"/>
      <x:c r="E422" s="8" t="n"/>
      <x:c r="F422" s="8" t="n"/>
      <x:c r="G422" s="8" t="n"/>
      <x:c r="H422" s="8" t="n"/>
    </x:row>
    <x:row r="423">
      <x:c r="A423" s="8" t="n"/>
      <x:c r="B423" s="8" t="n"/>
      <x:c r="C423" s="8" t="n"/>
      <x:c r="D423" s="8" t="n"/>
      <x:c r="E423" s="8" t="n"/>
      <x:c r="F423" s="8" t="n"/>
      <x:c r="G423" s="8" t="n"/>
      <x:c r="H423" s="8" t="n"/>
    </x:row>
    <x:row r="424">
      <x:c r="A424" s="8" t="n"/>
      <x:c r="B424" s="8" t="n"/>
      <x:c r="C424" s="8" t="n"/>
      <x:c r="D424" s="8" t="n"/>
      <x:c r="E424" s="8" t="n"/>
      <x:c r="F424" s="8" t="n"/>
      <x:c r="G424" s="8" t="n"/>
      <x:c r="H424" s="8" t="n"/>
    </x:row>
    <x:row r="425">
      <x:c r="A425" s="8" t="n"/>
      <x:c r="B425" s="8" t="n"/>
      <x:c r="C425" s="8" t="n"/>
      <x:c r="D425" s="8" t="n"/>
      <x:c r="E425" s="8" t="n"/>
      <x:c r="F425" s="8" t="n"/>
      <x:c r="G425" s="8" t="n"/>
      <x:c r="H425" s="8" t="n"/>
    </x:row>
    <x:row r="426">
      <x:c r="A426" s="8" t="n"/>
      <x:c r="B426" s="8" t="n"/>
      <x:c r="C426" s="8" t="n"/>
      <x:c r="D426" s="8" t="n"/>
      <x:c r="E426" s="8" t="n"/>
      <x:c r="F426" s="8" t="n"/>
      <x:c r="G426" s="8" t="n"/>
      <x:c r="H426" s="8" t="n"/>
    </x:row>
    <x:row r="427">
      <x:c r="A427" s="8" t="n"/>
      <x:c r="B427" s="8" t="n"/>
      <x:c r="C427" s="8" t="n"/>
      <x:c r="D427" s="8" t="n"/>
      <x:c r="E427" s="8" t="n"/>
      <x:c r="F427" s="8" t="n"/>
      <x:c r="G427" s="8" t="n"/>
      <x:c r="H427" s="8" t="n"/>
    </x:row>
    <x:row r="428">
      <x:c r="A428" s="8" t="n"/>
      <x:c r="B428" s="8" t="n"/>
      <x:c r="C428" s="8" t="n"/>
      <x:c r="D428" s="8" t="n"/>
      <x:c r="E428" s="8" t="n"/>
      <x:c r="F428" s="8" t="n"/>
      <x:c r="G428" s="8" t="n"/>
      <x:c r="H428" s="8" t="n"/>
    </x:row>
    <x:row r="429">
      <x:c r="A429" s="8" t="n"/>
      <x:c r="B429" s="8" t="n"/>
      <x:c r="C429" s="8" t="n"/>
      <x:c r="D429" s="8" t="n"/>
      <x:c r="E429" s="8" t="n"/>
      <x:c r="F429" s="8" t="n"/>
      <x:c r="G429" s="8" t="n"/>
      <x:c r="H429" s="8" t="n"/>
    </x:row>
    <x:row r="430">
      <x:c r="A430" s="8" t="n"/>
      <x:c r="B430" s="8" t="n"/>
      <x:c r="C430" s="8" t="n"/>
      <x:c r="D430" s="8" t="n"/>
      <x:c r="E430" s="8" t="n"/>
      <x:c r="F430" s="8" t="n"/>
      <x:c r="G430" s="8" t="n"/>
      <x:c r="H430" s="8" t="n"/>
    </x:row>
    <x:row r="431">
      <x:c r="A431" s="8" t="n"/>
      <x:c r="B431" s="8" t="n"/>
      <x:c r="C431" s="8" t="n"/>
      <x:c r="D431" s="8" t="n"/>
      <x:c r="E431" s="8" t="n"/>
      <x:c r="F431" s="8" t="n"/>
      <x:c r="G431" s="8" t="n"/>
      <x:c r="H431" s="8" t="n"/>
    </x:row>
    <x:row r="432">
      <x:c r="A432" s="8" t="n"/>
      <x:c r="B432" s="8" t="n"/>
      <x:c r="C432" s="8" t="n"/>
      <x:c r="D432" s="8" t="n"/>
      <x:c r="E432" s="8" t="n"/>
      <x:c r="F432" s="8" t="n"/>
      <x:c r="G432" s="8" t="n"/>
      <x:c r="H432" s="8" t="n"/>
    </x:row>
    <x:row r="433">
      <x:c r="A433" s="8" t="n"/>
      <x:c r="B433" s="8" t="n"/>
      <x:c r="C433" s="8" t="n"/>
      <x:c r="D433" s="8" t="n"/>
      <x:c r="E433" s="8" t="n"/>
      <x:c r="F433" s="8" t="n"/>
      <x:c r="G433" s="8" t="n"/>
      <x:c r="H433" s="8" t="n"/>
    </x:row>
    <x:row r="434">
      <x:c r="A434" s="8" t="n"/>
      <x:c r="B434" s="8" t="n"/>
      <x:c r="C434" s="8" t="n"/>
      <x:c r="D434" s="8" t="n"/>
      <x:c r="E434" s="8" t="n"/>
      <x:c r="F434" s="8" t="n"/>
      <x:c r="G434" s="8" t="n"/>
      <x:c r="H434" s="8" t="n"/>
    </x:row>
    <x:row r="435">
      <x:c r="A435" s="8" t="n"/>
      <x:c r="B435" s="8" t="n"/>
      <x:c r="C435" s="8" t="n"/>
      <x:c r="D435" s="8" t="n"/>
      <x:c r="E435" s="8" t="n"/>
      <x:c r="F435" s="8" t="n"/>
      <x:c r="G435" s="8" t="n"/>
      <x:c r="H435" s="8" t="n"/>
    </x:row>
    <x:row r="436">
      <x:c r="A436" s="8" t="n"/>
      <x:c r="B436" s="8" t="n"/>
      <x:c r="C436" s="8" t="n"/>
      <x:c r="D436" s="8" t="n"/>
      <x:c r="E436" s="8" t="n"/>
      <x:c r="F436" s="8" t="n"/>
      <x:c r="G436" s="8" t="n"/>
      <x:c r="H436" s="8" t="n"/>
    </x:row>
    <x:row r="437">
      <x:c r="A437" s="8" t="n"/>
      <x:c r="B437" s="8" t="n"/>
      <x:c r="C437" s="8" t="n"/>
      <x:c r="D437" s="8" t="n"/>
      <x:c r="E437" s="8" t="n"/>
      <x:c r="F437" s="8" t="n"/>
      <x:c r="G437" s="8" t="n"/>
      <x:c r="H437" s="8" t="n"/>
    </x:row>
    <x:row r="438">
      <x:c r="A438" s="8" t="n"/>
      <x:c r="B438" s="8" t="n"/>
      <x:c r="C438" s="8" t="n"/>
      <x:c r="D438" s="8" t="n"/>
      <x:c r="E438" s="8" t="n"/>
      <x:c r="F438" s="8" t="n"/>
      <x:c r="G438" s="8" t="n"/>
      <x:c r="H438" s="8" t="n"/>
    </x:row>
    <x:row r="439">
      <x:c r="A439" s="8" t="n"/>
      <x:c r="B439" s="8" t="n"/>
      <x:c r="C439" s="8" t="n"/>
      <x:c r="D439" s="8" t="n"/>
      <x:c r="E439" s="8" t="n"/>
      <x:c r="F439" s="8" t="n"/>
      <x:c r="G439" s="8" t="n"/>
      <x:c r="H439" s="8" t="n"/>
    </x:row>
    <x:row r="440">
      <x:c r="A440" s="8" t="n"/>
      <x:c r="B440" s="8" t="n"/>
      <x:c r="C440" s="8" t="n"/>
      <x:c r="D440" s="8" t="n"/>
      <x:c r="E440" s="8" t="n"/>
      <x:c r="F440" s="8" t="n"/>
      <x:c r="G440" s="8" t="n"/>
      <x:c r="H440" s="8" t="n"/>
    </x:row>
    <x:row r="441">
      <x:c r="A441" s="8" t="n"/>
      <x:c r="B441" s="8" t="n"/>
      <x:c r="C441" s="8" t="n"/>
      <x:c r="D441" s="8" t="n"/>
      <x:c r="E441" s="8" t="n"/>
      <x:c r="F441" s="8" t="n"/>
      <x:c r="G441" s="8" t="n"/>
      <x:c r="H441" s="8" t="n"/>
    </x:row>
    <x:row r="442">
      <x:c r="A442" s="8" t="n"/>
      <x:c r="B442" s="8" t="n"/>
      <x:c r="C442" s="8" t="n"/>
      <x:c r="D442" s="8" t="n"/>
      <x:c r="E442" s="8" t="n"/>
      <x:c r="F442" s="8" t="n"/>
      <x:c r="G442" s="8" t="n"/>
      <x:c r="H442" s="8" t="n"/>
    </x:row>
    <x:row r="443">
      <x:c r="A443" s="8" t="n"/>
      <x:c r="B443" s="8" t="n"/>
      <x:c r="C443" s="8" t="n"/>
      <x:c r="D443" s="8" t="n"/>
      <x:c r="E443" s="8" t="n"/>
      <x:c r="F443" s="8" t="n"/>
      <x:c r="G443" s="8" t="n"/>
      <x:c r="H443" s="8" t="n"/>
    </x:row>
    <x:row r="444">
      <x:c r="A444" s="8" t="n"/>
      <x:c r="B444" s="8" t="n"/>
      <x:c r="C444" s="8" t="n"/>
      <x:c r="D444" s="8" t="n"/>
      <x:c r="E444" s="8" t="n"/>
      <x:c r="F444" s="8" t="n"/>
      <x:c r="G444" s="8" t="n"/>
      <x:c r="H444" s="8" t="n"/>
    </x:row>
    <x:row r="445">
      <x:c r="A445" s="8" t="n"/>
      <x:c r="B445" s="8" t="n"/>
      <x:c r="C445" s="8" t="n"/>
      <x:c r="D445" s="8" t="n"/>
      <x:c r="E445" s="8" t="n"/>
      <x:c r="F445" s="8" t="n"/>
      <x:c r="G445" s="8" t="n"/>
      <x:c r="H445" s="8" t="n"/>
    </x:row>
    <x:row r="446">
      <x:c r="A446" s="8" t="n"/>
      <x:c r="B446" s="8" t="n"/>
      <x:c r="C446" s="8" t="n"/>
      <x:c r="D446" s="8" t="n"/>
      <x:c r="E446" s="8" t="n"/>
      <x:c r="F446" s="8" t="n"/>
      <x:c r="G446" s="8" t="n"/>
      <x:c r="H446" s="8" t="n"/>
    </x:row>
    <x:row r="447">
      <x:c r="A447" s="8" t="n"/>
      <x:c r="B447" s="8" t="n"/>
      <x:c r="C447" s="8" t="n"/>
      <x:c r="D447" s="8" t="n"/>
      <x:c r="E447" s="8" t="n"/>
      <x:c r="F447" s="8" t="n"/>
      <x:c r="G447" s="8" t="n"/>
      <x:c r="H447" s="8" t="n"/>
    </x:row>
    <x:row r="448">
      <x:c r="A448" s="8" t="n"/>
      <x:c r="B448" s="8" t="n"/>
      <x:c r="C448" s="8" t="n"/>
      <x:c r="D448" s="8" t="n"/>
      <x:c r="E448" s="8" t="n"/>
      <x:c r="F448" s="8" t="n"/>
      <x:c r="G448" s="8" t="n"/>
      <x:c r="H448" s="8" t="n"/>
    </x:row>
    <x:row r="449">
      <x:c r="A449" s="8" t="n"/>
      <x:c r="B449" s="8" t="n"/>
      <x:c r="C449" s="8" t="n"/>
      <x:c r="D449" s="8" t="n"/>
      <x:c r="E449" s="8" t="n"/>
      <x:c r="F449" s="8" t="n"/>
      <x:c r="G449" s="8" t="n"/>
      <x:c r="H449" s="8" t="n"/>
    </x:row>
    <x:row r="450">
      <x:c r="A450" s="8" t="n"/>
      <x:c r="B450" s="8" t="n"/>
      <x:c r="C450" s="8" t="n"/>
      <x:c r="D450" s="8" t="n"/>
      <x:c r="E450" s="8" t="n"/>
      <x:c r="F450" s="8" t="n"/>
      <x:c r="G450" s="8" t="n"/>
      <x:c r="H450" s="8" t="n"/>
    </x:row>
    <x:row r="451">
      <x:c r="A451" s="8" t="n"/>
      <x:c r="B451" s="8" t="n"/>
      <x:c r="C451" s="8" t="n"/>
      <x:c r="D451" s="8" t="n"/>
      <x:c r="E451" s="8" t="n"/>
      <x:c r="F451" s="8" t="n"/>
      <x:c r="G451" s="8" t="n"/>
      <x:c r="H451" s="8" t="n"/>
    </x:row>
    <x:row r="452">
      <x:c r="A452" s="8" t="n"/>
      <x:c r="B452" s="8" t="n"/>
      <x:c r="C452" s="8" t="n"/>
      <x:c r="D452" s="8" t="n"/>
      <x:c r="E452" s="8" t="n"/>
      <x:c r="F452" s="8" t="n"/>
      <x:c r="G452" s="8" t="n"/>
      <x:c r="H452" s="8" t="n"/>
    </x:row>
    <x:row r="453">
      <x:c r="A453" s="8" t="n"/>
      <x:c r="B453" s="8" t="n"/>
      <x:c r="C453" s="8" t="n"/>
      <x:c r="D453" s="8" t="n"/>
      <x:c r="E453" s="8" t="n"/>
      <x:c r="F453" s="8" t="n"/>
      <x:c r="G453" s="8" t="n"/>
      <x:c r="H453" s="8" t="n"/>
    </x:row>
    <x:row r="454">
      <x:c r="A454" s="8" t="n"/>
      <x:c r="B454" s="8" t="n"/>
      <x:c r="C454" s="8" t="n"/>
      <x:c r="D454" s="8" t="n"/>
      <x:c r="E454" s="8" t="n"/>
      <x:c r="F454" s="8" t="n"/>
      <x:c r="G454" s="8" t="n"/>
      <x:c r="H454" s="8" t="n"/>
    </x:row>
    <x:row r="455">
      <x:c r="A455" s="8" t="n"/>
      <x:c r="B455" s="8" t="n"/>
      <x:c r="C455" s="8" t="n"/>
      <x:c r="D455" s="8" t="n"/>
      <x:c r="E455" s="8" t="n"/>
      <x:c r="F455" s="8" t="n"/>
      <x:c r="G455" s="8" t="n"/>
      <x:c r="H455" s="8" t="n"/>
    </x:row>
    <x:row r="456">
      <x:c r="A456" s="8" t="n"/>
      <x:c r="B456" s="8" t="n"/>
      <x:c r="C456" s="8" t="n"/>
      <x:c r="D456" s="8" t="n"/>
      <x:c r="E456" s="8" t="n"/>
      <x:c r="F456" s="8" t="n"/>
      <x:c r="G456" s="8" t="n"/>
      <x:c r="H456" s="8" t="n"/>
    </x:row>
    <x:row r="457">
      <x:c r="A457" s="8" t="n"/>
      <x:c r="B457" s="8" t="n"/>
      <x:c r="C457" s="8" t="n"/>
      <x:c r="D457" s="8" t="n"/>
      <x:c r="E457" s="8" t="n"/>
      <x:c r="F457" s="8" t="n"/>
      <x:c r="G457" s="8" t="n"/>
      <x:c r="H457" s="8" t="n"/>
    </x:row>
    <x:row r="458">
      <x:c r="A458" s="8" t="n"/>
      <x:c r="B458" s="8" t="n"/>
      <x:c r="C458" s="8" t="n"/>
      <x:c r="D458" s="8" t="n"/>
      <x:c r="E458" s="8" t="n"/>
      <x:c r="F458" s="8" t="n"/>
      <x:c r="G458" s="8" t="n"/>
      <x:c r="H458" s="8" t="n"/>
    </x:row>
    <x:row r="459">
      <x:c r="A459" s="8" t="n"/>
      <x:c r="B459" s="8" t="n"/>
      <x:c r="C459" s="8" t="n"/>
      <x:c r="D459" s="8" t="n"/>
      <x:c r="E459" s="8" t="n"/>
      <x:c r="F459" s="8" t="n"/>
      <x:c r="G459" s="8" t="n"/>
      <x:c r="H459" s="8" t="n"/>
    </x:row>
    <x:row r="460">
      <x:c r="A460" s="8" t="n"/>
      <x:c r="B460" s="8" t="n"/>
      <x:c r="C460" s="8" t="n"/>
      <x:c r="D460" s="8" t="n"/>
      <x:c r="E460" s="8" t="n"/>
      <x:c r="F460" s="8" t="n"/>
      <x:c r="G460" s="8" t="n"/>
      <x:c r="H460" s="8" t="n"/>
    </x:row>
    <x:row r="461">
      <x:c r="A461" s="8" t="n"/>
      <x:c r="B461" s="8" t="n"/>
      <x:c r="C461" s="8" t="n"/>
      <x:c r="D461" s="8" t="n"/>
      <x:c r="E461" s="8" t="n"/>
      <x:c r="F461" s="8" t="n"/>
      <x:c r="G461" s="8" t="n"/>
      <x:c r="H461" s="8" t="n"/>
    </x:row>
    <x:row r="462">
      <x:c r="A462" s="8" t="n"/>
      <x:c r="B462" s="8" t="n"/>
      <x:c r="C462" s="8" t="n"/>
      <x:c r="D462" s="8" t="n"/>
      <x:c r="E462" s="8" t="n"/>
      <x:c r="F462" s="8" t="n"/>
      <x:c r="G462" s="8" t="n"/>
      <x:c r="H462" s="8" t="n"/>
    </x:row>
    <x:row r="463">
      <x:c r="A463" s="8" t="n"/>
      <x:c r="B463" s="8" t="n"/>
      <x:c r="C463" s="8" t="n"/>
      <x:c r="D463" s="8" t="n"/>
      <x:c r="E463" s="8" t="n"/>
      <x:c r="F463" s="8" t="n"/>
      <x:c r="G463" s="8" t="n"/>
      <x:c r="H463" s="8" t="n"/>
    </x:row>
    <x:row r="464">
      <x:c r="A464" s="8" t="n"/>
      <x:c r="B464" s="8" t="n"/>
      <x:c r="C464" s="8" t="n"/>
      <x:c r="D464" s="8" t="n"/>
      <x:c r="E464" s="8" t="n"/>
      <x:c r="F464" s="8" t="n"/>
      <x:c r="G464" s="8" t="n"/>
      <x:c r="H464" s="8" t="n"/>
    </x:row>
    <x:row r="465">
      <x:c r="A465" s="8" t="n"/>
      <x:c r="B465" s="8" t="n"/>
      <x:c r="C465" s="8" t="n"/>
      <x:c r="D465" s="8" t="n"/>
      <x:c r="E465" s="8" t="n"/>
      <x:c r="F465" s="8" t="n"/>
      <x:c r="G465" s="8" t="n"/>
      <x:c r="H465" s="8" t="n"/>
    </x:row>
    <x:row r="466">
      <x:c r="A466" s="8" t="n"/>
      <x:c r="B466" s="8" t="n"/>
      <x:c r="C466" s="8" t="n"/>
      <x:c r="D466" s="8" t="n"/>
      <x:c r="E466" s="8" t="n"/>
      <x:c r="F466" s="8" t="n"/>
      <x:c r="G466" s="8" t="n"/>
      <x:c r="H466" s="8" t="n"/>
    </x:row>
    <x:row r="467">
      <x:c r="A467" s="8" t="n"/>
      <x:c r="B467" s="8" t="n"/>
      <x:c r="C467" s="8" t="n"/>
      <x:c r="D467" s="8" t="n"/>
      <x:c r="E467" s="8" t="n"/>
      <x:c r="F467" s="8" t="n"/>
      <x:c r="G467" s="8" t="n"/>
      <x:c r="H467" s="8" t="n"/>
    </x:row>
    <x:row r="468">
      <x:c r="A468" s="8" t="n"/>
      <x:c r="B468" s="8" t="n"/>
      <x:c r="C468" s="8" t="n"/>
      <x:c r="D468" s="8" t="n"/>
      <x:c r="E468" s="8" t="n"/>
      <x:c r="F468" s="8" t="n"/>
      <x:c r="G468" s="8" t="n"/>
      <x:c r="H468" s="8" t="n"/>
    </x:row>
    <x:row r="469">
      <x:c r="A469" s="8" t="n"/>
      <x:c r="B469" s="8" t="n"/>
      <x:c r="C469" s="8" t="n"/>
      <x:c r="D469" s="8" t="n"/>
      <x:c r="E469" s="8" t="n"/>
      <x:c r="F469" s="8" t="n"/>
      <x:c r="G469" s="8" t="n"/>
      <x:c r="H469" s="8" t="n"/>
    </x:row>
    <x:row r="470">
      <x:c r="A470" s="8" t="n"/>
      <x:c r="B470" s="8" t="n"/>
      <x:c r="C470" s="8" t="n"/>
      <x:c r="D470" s="8" t="n"/>
      <x:c r="E470" s="8" t="n"/>
      <x:c r="F470" s="8" t="n"/>
      <x:c r="G470" s="8" t="n"/>
      <x:c r="H470" s="8" t="n"/>
    </x:row>
    <x:row r="471">
      <x:c r="A471" s="8" t="n"/>
      <x:c r="B471" s="8" t="n"/>
      <x:c r="C471" s="8" t="n"/>
      <x:c r="D471" s="8" t="n"/>
      <x:c r="E471" s="8" t="n"/>
      <x:c r="F471" s="8" t="n"/>
      <x:c r="G471" s="8" t="n"/>
      <x:c r="H471" s="8" t="n"/>
    </x:row>
    <x:row r="472">
      <x:c r="A472" s="8" t="n"/>
      <x:c r="B472" s="8" t="n"/>
      <x:c r="C472" s="8" t="n"/>
      <x:c r="D472" s="8" t="n"/>
      <x:c r="E472" s="8" t="n"/>
      <x:c r="F472" s="8" t="n"/>
      <x:c r="G472" s="8" t="n"/>
      <x:c r="H472" s="8" t="n"/>
    </x:row>
    <x:row r="473">
      <x:c r="A473" s="8" t="n"/>
      <x:c r="B473" s="8" t="n"/>
      <x:c r="C473" s="8" t="n"/>
      <x:c r="D473" s="8" t="n"/>
      <x:c r="E473" s="8" t="n"/>
      <x:c r="F473" s="8" t="n"/>
      <x:c r="G473" s="8" t="n"/>
      <x:c r="H473" s="8" t="n"/>
    </x:row>
    <x:row r="474">
      <x:c r="A474" s="8" t="n"/>
      <x:c r="B474" s="8" t="n"/>
      <x:c r="C474" s="8" t="n"/>
      <x:c r="D474" s="8" t="n"/>
      <x:c r="E474" s="8" t="n"/>
      <x:c r="F474" s="8" t="n"/>
      <x:c r="G474" s="8" t="n"/>
      <x:c r="H474" s="8" t="n"/>
    </x:row>
    <x:row r="475">
      <x:c r="A475" s="8" t="n"/>
      <x:c r="B475" s="8" t="n"/>
      <x:c r="C475" s="8" t="n"/>
      <x:c r="D475" s="8" t="n"/>
      <x:c r="E475" s="8" t="n"/>
      <x:c r="F475" s="8" t="n"/>
      <x:c r="G475" s="8" t="n"/>
      <x:c r="H475" s="8" t="n"/>
    </x:row>
    <x:row r="476">
      <x:c r="A476" s="8" t="n"/>
      <x:c r="B476" s="8" t="n"/>
      <x:c r="C476" s="8" t="n"/>
      <x:c r="D476" s="8" t="n"/>
      <x:c r="E476" s="8" t="n"/>
      <x:c r="F476" s="8" t="n"/>
      <x:c r="G476" s="8" t="n"/>
      <x:c r="H476" s="8" t="n"/>
    </x:row>
    <x:row r="477">
      <x:c r="A477" s="8" t="n"/>
      <x:c r="B477" s="8" t="n"/>
      <x:c r="C477" s="8" t="n"/>
      <x:c r="D477" s="8" t="n"/>
      <x:c r="E477" s="8" t="n"/>
      <x:c r="F477" s="8" t="n"/>
      <x:c r="G477" s="8" t="n"/>
      <x:c r="H477" s="8" t="n"/>
    </x:row>
    <x:row r="478">
      <x:c r="A478" s="8" t="n"/>
      <x:c r="B478" s="8" t="n"/>
      <x:c r="C478" s="8" t="n"/>
      <x:c r="D478" s="8" t="n"/>
      <x:c r="E478" s="8" t="n"/>
      <x:c r="F478" s="8" t="n"/>
      <x:c r="G478" s="8" t="n"/>
      <x:c r="H478" s="8" t="n"/>
    </x:row>
    <x:row r="479">
      <x:c r="A479" s="8" t="n"/>
      <x:c r="B479" s="8" t="n"/>
      <x:c r="C479" s="8" t="n"/>
      <x:c r="D479" s="8" t="n"/>
      <x:c r="E479" s="8" t="n"/>
      <x:c r="F479" s="8" t="n"/>
      <x:c r="G479" s="8" t="n"/>
      <x:c r="H479" s="8" t="n"/>
    </x:row>
    <x:row r="480">
      <x:c r="A480" s="8" t="n"/>
      <x:c r="B480" s="8" t="n"/>
      <x:c r="C480" s="8" t="n"/>
      <x:c r="D480" s="8" t="n"/>
      <x:c r="E480" s="8" t="n"/>
      <x:c r="F480" s="8" t="n"/>
      <x:c r="G480" s="8" t="n"/>
      <x:c r="H480" s="8" t="n"/>
    </x:row>
    <x:row r="481">
      <x:c r="A481" s="8" t="n"/>
      <x:c r="B481" s="8" t="n"/>
      <x:c r="C481" s="8" t="n"/>
      <x:c r="D481" s="8" t="n"/>
      <x:c r="E481" s="8" t="n"/>
      <x:c r="F481" s="8" t="n"/>
      <x:c r="G481" s="8" t="n"/>
      <x:c r="H481" s="8" t="n"/>
    </x:row>
    <x:row r="482">
      <x:c r="A482" s="8" t="n"/>
      <x:c r="B482" s="8" t="n"/>
      <x:c r="C482" s="8" t="n"/>
      <x:c r="D482" s="8" t="n"/>
      <x:c r="E482" s="8" t="n"/>
      <x:c r="F482" s="8" t="n"/>
      <x:c r="G482" s="8" t="n"/>
      <x:c r="H482" s="8" t="n"/>
    </x:row>
    <x:row r="483">
      <x:c r="A483" s="8" t="n"/>
      <x:c r="B483" s="8" t="n"/>
      <x:c r="C483" s="8" t="n"/>
      <x:c r="D483" s="8" t="n"/>
      <x:c r="E483" s="8" t="n"/>
      <x:c r="F483" s="8" t="n"/>
      <x:c r="G483" s="8" t="n"/>
      <x:c r="H483" s="8" t="n"/>
    </x:row>
    <x:row r="484">
      <x:c r="A484" s="8" t="n"/>
      <x:c r="B484" s="8" t="n"/>
      <x:c r="C484" s="8" t="n"/>
      <x:c r="D484" s="8" t="n"/>
      <x:c r="E484" s="8" t="n"/>
      <x:c r="F484" s="8" t="n"/>
      <x:c r="G484" s="8" t="n"/>
      <x:c r="H484" s="8" t="n"/>
    </x:row>
    <x:row r="485">
      <x:c r="A485" s="8" t="n"/>
      <x:c r="B485" s="8" t="n"/>
      <x:c r="C485" s="8" t="n"/>
      <x:c r="D485" s="8" t="n"/>
      <x:c r="E485" s="8" t="n"/>
      <x:c r="F485" s="8" t="n"/>
      <x:c r="G485" s="8" t="n"/>
      <x:c r="H485" s="8" t="n"/>
    </x:row>
    <x:row r="486">
      <x:c r="A486" s="8" t="n"/>
      <x:c r="B486" s="8" t="n"/>
      <x:c r="C486" s="8" t="n"/>
      <x:c r="D486" s="8" t="n"/>
      <x:c r="E486" s="8" t="n"/>
      <x:c r="F486" s="8" t="n"/>
      <x:c r="G486" s="8" t="n"/>
      <x:c r="H486" s="8" t="n"/>
    </x:row>
    <x:row r="487">
      <x:c r="A487" s="8" t="n"/>
      <x:c r="B487" s="8" t="n"/>
      <x:c r="C487" s="8" t="n"/>
      <x:c r="D487" s="8" t="n"/>
      <x:c r="E487" s="8" t="n"/>
      <x:c r="F487" s="8" t="n"/>
      <x:c r="G487" s="8" t="n"/>
      <x:c r="H487" s="8" t="n"/>
    </x:row>
    <x:row r="488">
      <x:c r="A488" s="8" t="n"/>
      <x:c r="B488" s="8" t="n"/>
      <x:c r="C488" s="8" t="n"/>
      <x:c r="D488" s="8" t="n"/>
      <x:c r="E488" s="8" t="n"/>
      <x:c r="F488" s="8" t="n"/>
      <x:c r="G488" s="8" t="n"/>
      <x:c r="H488" s="8" t="n"/>
    </x:row>
    <x:row r="489">
      <x:c r="A489" s="8" t="n"/>
      <x:c r="B489" s="8" t="n"/>
      <x:c r="C489" s="8" t="n"/>
      <x:c r="D489" s="8" t="n"/>
      <x:c r="E489" s="8" t="n"/>
      <x:c r="F489" s="8" t="n"/>
      <x:c r="G489" s="8" t="n"/>
      <x:c r="H489" s="8" t="n"/>
    </x:row>
    <x:row r="490">
      <x:c r="A490" s="8" t="n"/>
      <x:c r="B490" s="8" t="n"/>
      <x:c r="C490" s="8" t="n"/>
      <x:c r="D490" s="8" t="n"/>
      <x:c r="E490" s="8" t="n"/>
      <x:c r="F490" s="8" t="n"/>
      <x:c r="G490" s="8" t="n"/>
      <x:c r="H490" s="8" t="n"/>
    </x:row>
    <x:row r="491">
      <x:c r="A491" s="8" t="n"/>
      <x:c r="B491" s="8" t="n"/>
      <x:c r="C491" s="8" t="n"/>
      <x:c r="D491" s="8" t="n"/>
      <x:c r="E491" s="8" t="n"/>
      <x:c r="F491" s="8" t="n"/>
      <x:c r="G491" s="8" t="n"/>
      <x:c r="H491" s="8" t="n"/>
    </x:row>
    <x:row r="492">
      <x:c r="A492" s="8" t="n"/>
      <x:c r="B492" s="8" t="n"/>
      <x:c r="C492" s="8" t="n"/>
      <x:c r="D492" s="8" t="n"/>
      <x:c r="E492" s="8" t="n"/>
      <x:c r="F492" s="8" t="n"/>
      <x:c r="G492" s="8" t="n"/>
      <x:c r="H492" s="8" t="n"/>
    </x:row>
    <x:row r="493">
      <x:c r="A493" s="8" t="n"/>
      <x:c r="B493" s="8" t="n"/>
      <x:c r="C493" s="8" t="n"/>
      <x:c r="D493" s="8" t="n"/>
      <x:c r="E493" s="8" t="n"/>
      <x:c r="F493" s="8" t="n"/>
      <x:c r="G493" s="8" t="n"/>
      <x:c r="H493" s="8" t="n"/>
    </x:row>
    <x:row r="494">
      <x:c r="A494" s="8" t="n"/>
      <x:c r="B494" s="8" t="n"/>
      <x:c r="C494" s="8" t="n"/>
      <x:c r="D494" s="8" t="n"/>
      <x:c r="E494" s="8" t="n"/>
      <x:c r="F494" s="8" t="n"/>
      <x:c r="G494" s="8" t="n"/>
      <x:c r="H494" s="8" t="n"/>
    </x:row>
    <x:row r="495">
      <x:c r="A495" s="8" t="n"/>
      <x:c r="B495" s="8" t="n"/>
      <x:c r="C495" s="8" t="n"/>
      <x:c r="D495" s="8" t="n"/>
      <x:c r="E495" s="8" t="n"/>
      <x:c r="F495" s="8" t="n"/>
      <x:c r="G495" s="8" t="n"/>
      <x:c r="H495" s="8" t="n"/>
    </x:row>
    <x:row r="496">
      <x:c r="A496" s="8" t="n"/>
      <x:c r="B496" s="8" t="n"/>
      <x:c r="C496" s="8" t="n"/>
      <x:c r="D496" s="8" t="n"/>
      <x:c r="E496" s="8" t="n"/>
      <x:c r="F496" s="8" t="n"/>
      <x:c r="G496" s="8" t="n"/>
      <x:c r="H496" s="8" t="n"/>
    </x:row>
    <x:row r="497">
      <x:c r="A497" s="8" t="n"/>
      <x:c r="B497" s="8" t="n"/>
      <x:c r="C497" s="8" t="n"/>
      <x:c r="D497" s="8" t="n"/>
      <x:c r="E497" s="8" t="n"/>
      <x:c r="F497" s="8" t="n"/>
      <x:c r="G497" s="8" t="n"/>
      <x:c r="H497" s="8" t="n"/>
    </x:row>
    <x:row r="498">
      <x:c r="A498" s="8" t="n"/>
      <x:c r="B498" s="8" t="n"/>
      <x:c r="C498" s="8" t="n"/>
      <x:c r="D498" s="8" t="n"/>
      <x:c r="E498" s="8" t="n"/>
      <x:c r="F498" s="8" t="n"/>
      <x:c r="G498" s="8" t="n"/>
      <x:c r="H498" s="8" t="n"/>
    </x:row>
    <x:row r="499">
      <x:c r="A499" s="8" t="n"/>
      <x:c r="B499" s="8" t="n"/>
      <x:c r="C499" s="8" t="n"/>
      <x:c r="D499" s="8" t="n"/>
      <x:c r="E499" s="8" t="n"/>
      <x:c r="F499" s="8" t="n"/>
      <x:c r="G499" s="8" t="n"/>
      <x:c r="H499" s="8" t="n"/>
    </x:row>
    <x:row r="500">
      <x:c r="A500" s="8" t="n"/>
      <x:c r="B500" s="8" t="n"/>
      <x:c r="C500" s="8" t="n"/>
      <x:c r="D500" s="8" t="n"/>
      <x:c r="E500" s="8" t="n"/>
      <x:c r="F500" s="8" t="n"/>
      <x:c r="G500" s="8" t="n"/>
      <x:c r="H500" s="8" t="n"/>
    </x:row>
    <x:row r="501">
      <x:c r="A501" s="8" t="n"/>
      <x:c r="B501" s="8" t="n"/>
      <x:c r="C501" s="8" t="n"/>
      <x:c r="D501" s="8" t="n"/>
      <x:c r="E501" s="8" t="n"/>
      <x:c r="F501" s="8" t="n"/>
      <x:c r="G501" s="8" t="n"/>
      <x:c r="H501" s="8" t="n"/>
    </x:row>
    <x:row r="502">
      <x:c r="A502" s="8" t="n"/>
      <x:c r="B502" s="8" t="n"/>
      <x:c r="C502" s="8" t="n"/>
      <x:c r="D502" s="8" t="n"/>
      <x:c r="E502" s="8" t="n"/>
      <x:c r="F502" s="8" t="n"/>
      <x:c r="G502" s="8" t="n"/>
      <x:c r="H502" s="8" t="n"/>
    </x:row>
    <x:row r="503">
      <x:c r="A503" s="8" t="n"/>
      <x:c r="B503" s="8" t="n"/>
      <x:c r="C503" s="8" t="n"/>
      <x:c r="D503" s="8" t="n"/>
      <x:c r="E503" s="8" t="n"/>
      <x:c r="F503" s="8" t="n"/>
      <x:c r="G503" s="8" t="n"/>
      <x:c r="H503" s="8" t="n"/>
    </x:row>
    <x:row r="504">
      <x:c r="A504" s="8" t="n"/>
      <x:c r="B504" s="8" t="n"/>
      <x:c r="C504" s="8" t="n"/>
      <x:c r="D504" s="8" t="n"/>
      <x:c r="E504" s="8" t="n"/>
      <x:c r="F504" s="8" t="n"/>
      <x:c r="G504" s="8" t="n"/>
      <x:c r="H504" s="8" t="n"/>
    </x:row>
    <x:row r="505">
      <x:c r="A505" s="8" t="n"/>
      <x:c r="B505" s="8" t="n"/>
      <x:c r="C505" s="8" t="n"/>
      <x:c r="D505" s="8" t="n"/>
      <x:c r="E505" s="8" t="n"/>
      <x:c r="F505" s="8" t="n"/>
      <x:c r="G505" s="8" t="n"/>
      <x:c r="H505" s="8" t="n"/>
    </x:row>
    <x:row r="506">
      <x:c r="A506" s="8" t="n"/>
      <x:c r="B506" s="8" t="n"/>
      <x:c r="C506" s="8" t="n"/>
      <x:c r="D506" s="8" t="n"/>
      <x:c r="E506" s="8" t="n"/>
      <x:c r="F506" s="8" t="n"/>
      <x:c r="G506" s="8" t="n"/>
      <x:c r="H506" s="8" t="n"/>
    </x:row>
    <x:row r="507">
      <x:c r="A507" s="8" t="n"/>
      <x:c r="B507" s="8" t="n"/>
      <x:c r="C507" s="8" t="n"/>
      <x:c r="D507" s="8" t="n"/>
      <x:c r="E507" s="8" t="n"/>
      <x:c r="F507" s="8" t="n"/>
      <x:c r="G507" s="8" t="n"/>
      <x:c r="H507" s="8" t="n"/>
    </x:row>
    <x:row r="508">
      <x:c r="A508" s="8" t="n"/>
      <x:c r="B508" s="8" t="n"/>
      <x:c r="C508" s="8" t="n"/>
      <x:c r="D508" s="8" t="n"/>
      <x:c r="E508" s="8" t="n"/>
      <x:c r="F508" s="8" t="n"/>
      <x:c r="G508" s="8" t="n"/>
      <x:c r="H508" s="8" t="n"/>
    </x:row>
    <x:row r="509">
      <x:c r="A509" s="8" t="n"/>
      <x:c r="B509" s="8" t="n"/>
      <x:c r="C509" s="8" t="n"/>
      <x:c r="D509" s="8" t="n"/>
      <x:c r="E509" s="8" t="n"/>
      <x:c r="F509" s="8" t="n"/>
      <x:c r="G509" s="8" t="n"/>
      <x:c r="H509" s="8" t="n"/>
    </x:row>
    <x:row r="510">
      <x:c r="A510" s="8" t="n"/>
      <x:c r="B510" s="8" t="n"/>
      <x:c r="C510" s="8" t="n"/>
      <x:c r="D510" s="8" t="n"/>
      <x:c r="E510" s="8" t="n"/>
      <x:c r="F510" s="8" t="n"/>
      <x:c r="G510" s="8" t="n"/>
      <x:c r="H510" s="8" t="n"/>
    </x:row>
    <x:row r="511">
      <x:c r="A511" s="8" t="n"/>
      <x:c r="B511" s="8" t="n"/>
      <x:c r="C511" s="8" t="n"/>
      <x:c r="D511" s="8" t="n"/>
      <x:c r="E511" s="8" t="n"/>
      <x:c r="F511" s="8" t="n"/>
      <x:c r="G511" s="8" t="n"/>
      <x:c r="H511" s="8" t="n"/>
    </x:row>
    <x:row r="512">
      <x:c r="A512" s="8" t="n"/>
      <x:c r="B512" s="8" t="n"/>
      <x:c r="C512" s="8" t="n"/>
      <x:c r="D512" s="8" t="n"/>
      <x:c r="E512" s="8" t="n"/>
      <x:c r="F512" s="8" t="n"/>
      <x:c r="G512" s="8" t="n"/>
      <x:c r="H512" s="8" t="n"/>
    </x:row>
    <x:row r="513">
      <x:c r="A513" s="8" t="n"/>
      <x:c r="B513" s="8" t="n"/>
      <x:c r="C513" s="8" t="n"/>
      <x:c r="D513" s="8" t="n"/>
      <x:c r="E513" s="8" t="n"/>
      <x:c r="F513" s="8" t="n"/>
      <x:c r="G513" s="8" t="n"/>
      <x:c r="H513" s="8" t="n"/>
    </x:row>
    <x:row r="514">
      <x:c r="A514" s="8" t="n"/>
      <x:c r="B514" s="8" t="n"/>
      <x:c r="C514" s="8" t="n"/>
      <x:c r="D514" s="8" t="n"/>
      <x:c r="E514" s="8" t="n"/>
      <x:c r="F514" s="8" t="n"/>
      <x:c r="G514" s="8" t="n"/>
      <x:c r="H514" s="8" t="n"/>
    </x:row>
    <x:row r="515">
      <x:c r="A515" s="8" t="n"/>
      <x:c r="B515" s="8" t="n"/>
      <x:c r="C515" s="8" t="n"/>
      <x:c r="D515" s="8" t="n"/>
      <x:c r="E515" s="8" t="n"/>
      <x:c r="F515" s="8" t="n"/>
      <x:c r="G515" s="8" t="n"/>
      <x:c r="H515" s="8" t="n"/>
    </x:row>
    <x:row r="516">
      <x:c r="A516" s="8" t="n"/>
      <x:c r="B516" s="8" t="n"/>
      <x:c r="C516" s="8" t="n"/>
      <x:c r="D516" s="8" t="n"/>
      <x:c r="E516" s="8" t="n"/>
      <x:c r="F516" s="8" t="n"/>
      <x:c r="G516" s="8" t="n"/>
      <x:c r="H516" s="8" t="n"/>
    </x:row>
    <x:row r="517">
      <x:c r="A517" s="8" t="n"/>
      <x:c r="B517" s="8" t="n"/>
      <x:c r="C517" s="8" t="n"/>
      <x:c r="D517" s="8" t="n"/>
      <x:c r="E517" s="8" t="n"/>
      <x:c r="F517" s="8" t="n"/>
      <x:c r="G517" s="8" t="n"/>
      <x:c r="H517" s="8" t="n"/>
    </x:row>
    <x:row r="518">
      <x:c r="A518" s="8" t="n"/>
      <x:c r="B518" s="8" t="n"/>
      <x:c r="C518" s="8" t="n"/>
      <x:c r="D518" s="8" t="n"/>
      <x:c r="E518" s="8" t="n"/>
      <x:c r="F518" s="8" t="n"/>
      <x:c r="G518" s="8" t="n"/>
      <x:c r="H518" s="8" t="n"/>
    </x:row>
    <x:row r="519">
      <x:c r="A519" s="8" t="n"/>
      <x:c r="B519" s="8" t="n"/>
      <x:c r="C519" s="8" t="n"/>
      <x:c r="D519" s="8" t="n"/>
      <x:c r="E519" s="8" t="n"/>
      <x:c r="F519" s="8" t="n"/>
      <x:c r="G519" s="8" t="n"/>
      <x:c r="H519" s="8" t="n"/>
    </x:row>
    <x:row r="520">
      <x:c r="A520" s="8" t="n"/>
      <x:c r="B520" s="8" t="n"/>
      <x:c r="C520" s="8" t="n"/>
      <x:c r="D520" s="8" t="n"/>
      <x:c r="E520" s="8" t="n"/>
      <x:c r="F520" s="8" t="n"/>
      <x:c r="G520" s="8" t="n"/>
      <x:c r="H520" s="8" t="n"/>
    </x:row>
    <x:row r="521">
      <x:c r="A521" s="8" t="n"/>
      <x:c r="B521" s="8" t="n"/>
      <x:c r="C521" s="8" t="n"/>
      <x:c r="D521" s="8" t="n"/>
      <x:c r="E521" s="8" t="n"/>
      <x:c r="F521" s="8" t="n"/>
      <x:c r="G521" s="8" t="n"/>
      <x:c r="H521" s="8" t="n"/>
    </x:row>
    <x:row r="522">
      <x:c r="A522" s="8" t="n"/>
      <x:c r="B522" s="8" t="n"/>
      <x:c r="C522" s="8" t="n"/>
      <x:c r="D522" s="8" t="n"/>
      <x:c r="E522" s="8" t="n"/>
      <x:c r="F522" s="8" t="n"/>
      <x:c r="G522" s="8" t="n"/>
      <x:c r="H522" s="8" t="n"/>
    </x:row>
    <x:row r="523">
      <x:c r="A523" s="8" t="n"/>
      <x:c r="B523" s="8" t="n"/>
      <x:c r="C523" s="8" t="n"/>
      <x:c r="D523" s="8" t="n"/>
      <x:c r="E523" s="8" t="n"/>
      <x:c r="F523" s="8" t="n"/>
      <x:c r="G523" s="8" t="n"/>
      <x:c r="H523" s="8" t="n"/>
    </x:row>
    <x:row r="524">
      <x:c r="A524" s="8" t="n"/>
      <x:c r="B524" s="8" t="n"/>
      <x:c r="C524" s="8" t="n"/>
      <x:c r="D524" s="8" t="n"/>
      <x:c r="E524" s="8" t="n"/>
      <x:c r="F524" s="8" t="n"/>
      <x:c r="G524" s="8" t="n"/>
      <x:c r="H524" s="8" t="n"/>
    </x:row>
    <x:row r="525">
      <x:c r="A525" s="8" t="n"/>
      <x:c r="B525" s="8" t="n"/>
      <x:c r="C525" s="8" t="n"/>
      <x:c r="D525" s="8" t="n"/>
      <x:c r="E525" s="8" t="n"/>
      <x:c r="F525" s="8" t="n"/>
      <x:c r="G525" s="8" t="n"/>
      <x:c r="H525" s="8" t="n"/>
    </x:row>
    <x:row r="526">
      <x:c r="A526" s="8" t="n"/>
      <x:c r="B526" s="8" t="n"/>
      <x:c r="C526" s="8" t="n"/>
      <x:c r="D526" s="8" t="n"/>
      <x:c r="E526" s="8" t="n"/>
      <x:c r="F526" s="8" t="n"/>
      <x:c r="G526" s="8" t="n"/>
      <x:c r="H526" s="8" t="n"/>
    </x:row>
    <x:row r="527">
      <x:c r="A527" s="8" t="n"/>
      <x:c r="B527" s="8" t="n"/>
      <x:c r="C527" s="8" t="n"/>
      <x:c r="D527" s="8" t="n"/>
      <x:c r="E527" s="8" t="n"/>
      <x:c r="F527" s="8" t="n"/>
      <x:c r="G527" s="8" t="n"/>
      <x:c r="H527" s="8" t="n"/>
    </x:row>
    <x:row r="528">
      <x:c r="A528" s="8" t="n"/>
      <x:c r="B528" s="8" t="n"/>
      <x:c r="C528" s="8" t="n"/>
      <x:c r="D528" s="8" t="n"/>
      <x:c r="E528" s="8" t="n"/>
      <x:c r="F528" s="8" t="n"/>
      <x:c r="G528" s="8" t="n"/>
      <x:c r="H528" s="8" t="n"/>
    </x:row>
    <x:row r="529">
      <x:c r="A529" s="8" t="n"/>
      <x:c r="B529" s="8" t="n"/>
      <x:c r="C529" s="8" t="n"/>
      <x:c r="D529" s="8" t="n"/>
      <x:c r="E529" s="8" t="n"/>
      <x:c r="F529" s="8" t="n"/>
      <x:c r="G529" s="8" t="n"/>
      <x:c r="H529" s="8" t="n"/>
    </x:row>
    <x:row r="530">
      <x:c r="A530" s="8" t="n"/>
      <x:c r="B530" s="8" t="n"/>
      <x:c r="C530" s="8" t="n"/>
      <x:c r="D530" s="8" t="n"/>
      <x:c r="E530" s="8" t="n"/>
      <x:c r="F530" s="8" t="n"/>
      <x:c r="G530" s="8" t="n"/>
      <x:c r="H530" s="8" t="n"/>
    </x:row>
    <x:row r="531">
      <x:c r="A531" s="8" t="n"/>
      <x:c r="B531" s="8" t="n"/>
      <x:c r="C531" s="8" t="n"/>
      <x:c r="D531" s="8" t="n"/>
      <x:c r="E531" s="8" t="n"/>
      <x:c r="F531" s="8" t="n"/>
      <x:c r="G531" s="8" t="n"/>
      <x:c r="H531" s="8" t="n"/>
    </x:row>
    <x:row r="532">
      <x:c r="A532" s="8" t="n"/>
      <x:c r="B532" s="8" t="n"/>
      <x:c r="C532" s="8" t="n"/>
      <x:c r="D532" s="8" t="n"/>
      <x:c r="E532" s="8" t="n"/>
      <x:c r="F532" s="8" t="n"/>
      <x:c r="G532" s="8" t="n"/>
      <x:c r="H532" s="8" t="n"/>
    </x:row>
    <x:row r="533">
      <x:c r="A533" s="8" t="n"/>
      <x:c r="B533" s="8" t="n"/>
      <x:c r="C533" s="8" t="n"/>
      <x:c r="D533" s="8" t="n"/>
      <x:c r="E533" s="8" t="n"/>
      <x:c r="F533" s="8" t="n"/>
      <x:c r="G533" s="8" t="n"/>
      <x:c r="H533" s="8" t="n"/>
    </x:row>
    <x:row r="534">
      <x:c r="A534" s="8" t="n"/>
      <x:c r="B534" s="8" t="n"/>
      <x:c r="C534" s="8" t="n"/>
      <x:c r="D534" s="8" t="n"/>
      <x:c r="E534" s="8" t="n"/>
      <x:c r="F534" s="8" t="n"/>
      <x:c r="G534" s="8" t="n"/>
      <x:c r="H534" s="8" t="n"/>
    </x:row>
    <x:row r="535">
      <x:c r="A535" s="8" t="n"/>
      <x:c r="B535" s="8" t="n"/>
      <x:c r="C535" s="8" t="n"/>
      <x:c r="D535" s="8" t="n"/>
      <x:c r="E535" s="8" t="n"/>
      <x:c r="F535" s="8" t="n"/>
      <x:c r="G535" s="8" t="n"/>
      <x:c r="H535" s="8" t="n"/>
    </x:row>
    <x:row r="536">
      <x:c r="A536" s="8" t="n"/>
      <x:c r="B536" s="8" t="n"/>
      <x:c r="C536" s="8" t="n"/>
      <x:c r="D536" s="8" t="n"/>
      <x:c r="E536" s="8" t="n"/>
      <x:c r="F536" s="8" t="n"/>
      <x:c r="G536" s="8" t="n"/>
      <x:c r="H536" s="8" t="n"/>
    </x:row>
    <x:row r="537">
      <x:c r="A537" s="8" t="n"/>
      <x:c r="B537" s="8" t="n"/>
      <x:c r="C537" s="8" t="n"/>
      <x:c r="D537" s="8" t="n"/>
      <x:c r="E537" s="8" t="n"/>
      <x:c r="F537" s="8" t="n"/>
      <x:c r="G537" s="8" t="n"/>
      <x:c r="H537" s="8" t="n"/>
    </x:row>
    <x:row r="538">
      <x:c r="A538" s="8" t="n"/>
      <x:c r="B538" s="8" t="n"/>
      <x:c r="C538" s="8" t="n"/>
      <x:c r="D538" s="8" t="n"/>
      <x:c r="E538" s="8" t="n"/>
      <x:c r="F538" s="8" t="n"/>
      <x:c r="G538" s="8" t="n"/>
      <x:c r="H538" s="8" t="n"/>
    </x:row>
    <x:row r="539">
      <x:c r="A539" s="8" t="n"/>
      <x:c r="B539" s="8" t="n"/>
      <x:c r="C539" s="8" t="n"/>
      <x:c r="D539" s="8" t="n"/>
      <x:c r="E539" s="8" t="n"/>
      <x:c r="F539" s="8" t="n"/>
      <x:c r="G539" s="8" t="n"/>
      <x:c r="H539" s="8" t="n"/>
    </x:row>
    <x:row r="540">
      <x:c r="A540" s="8" t="n"/>
      <x:c r="B540" s="8" t="n"/>
      <x:c r="C540" s="8" t="n"/>
      <x:c r="D540" s="8" t="n"/>
      <x:c r="E540" s="8" t="n"/>
      <x:c r="F540" s="8" t="n"/>
      <x:c r="G540" s="8" t="n"/>
      <x:c r="H540" s="8" t="n"/>
    </x:row>
    <x:row r="541">
      <x:c r="A541" s="8" t="n"/>
      <x:c r="B541" s="8" t="n"/>
      <x:c r="C541" s="8" t="n"/>
      <x:c r="D541" s="8" t="n"/>
      <x:c r="E541" s="8" t="n"/>
      <x:c r="F541" s="8" t="n"/>
      <x:c r="G541" s="8" t="n"/>
      <x:c r="H541" s="8" t="n"/>
    </x:row>
    <x:row r="542">
      <x:c r="A542" s="8" t="n"/>
      <x:c r="B542" s="8" t="n"/>
      <x:c r="C542" s="8" t="n"/>
      <x:c r="D542" s="8" t="n"/>
      <x:c r="E542" s="8" t="n"/>
      <x:c r="F542" s="8" t="n"/>
      <x:c r="G542" s="8" t="n"/>
      <x:c r="H542" s="8" t="n"/>
    </x:row>
    <x:row r="543">
      <x:c r="A543" s="8" t="n"/>
      <x:c r="B543" s="8" t="n"/>
      <x:c r="C543" s="8" t="n"/>
      <x:c r="D543" s="8" t="n"/>
      <x:c r="E543" s="8" t="n"/>
      <x:c r="F543" s="8" t="n"/>
      <x:c r="G543" s="8" t="n"/>
      <x:c r="H543" s="8" t="n"/>
    </x:row>
    <x:row r="544">
      <x:c r="A544" s="8" t="n"/>
      <x:c r="B544" s="8" t="n"/>
      <x:c r="C544" s="8" t="n"/>
      <x:c r="D544" s="8" t="n"/>
      <x:c r="E544" s="8" t="n"/>
      <x:c r="F544" s="8" t="n"/>
      <x:c r="G544" s="8" t="n"/>
      <x:c r="H544" s="8" t="n"/>
    </x:row>
    <x:row r="545">
      <x:c r="A545" s="8" t="n"/>
      <x:c r="B545" s="8" t="n"/>
      <x:c r="C545" s="8" t="n"/>
      <x:c r="D545" s="8" t="n"/>
      <x:c r="E545" s="8" t="n"/>
      <x:c r="F545" s="8" t="n"/>
      <x:c r="G545" s="8" t="n"/>
      <x:c r="H545" s="8" t="n"/>
    </x:row>
    <x:row r="546">
      <x:c r="A546" s="8" t="n"/>
      <x:c r="B546" s="8" t="n"/>
      <x:c r="C546" s="8" t="n"/>
      <x:c r="D546" s="8" t="n"/>
      <x:c r="E546" s="8" t="n"/>
      <x:c r="F546" s="8" t="n"/>
      <x:c r="G546" s="8" t="n"/>
      <x:c r="H546" s="8" t="n"/>
    </x:row>
    <x:row r="547">
      <x:c r="A547" s="8" t="n"/>
      <x:c r="B547" s="8" t="n"/>
      <x:c r="C547" s="8" t="n"/>
      <x:c r="D547" s="8" t="n"/>
      <x:c r="E547" s="8" t="n"/>
      <x:c r="F547" s="8" t="n"/>
      <x:c r="G547" s="8" t="n"/>
      <x:c r="H547" s="8" t="n"/>
    </x:row>
    <x:row r="548">
      <x:c r="A548" s="8" t="n"/>
      <x:c r="B548" s="8" t="n"/>
      <x:c r="C548" s="8" t="n"/>
      <x:c r="D548" s="8" t="n"/>
      <x:c r="E548" s="8" t="n"/>
      <x:c r="F548" s="8" t="n"/>
      <x:c r="G548" s="8" t="n"/>
      <x:c r="H548" s="8" t="n"/>
    </x:row>
    <x:row r="549">
      <x:c r="A549" s="8" t="n"/>
      <x:c r="B549" s="8" t="n"/>
      <x:c r="C549" s="8" t="n"/>
      <x:c r="D549" s="8" t="n"/>
      <x:c r="E549" s="8" t="n"/>
      <x:c r="F549" s="8" t="n"/>
      <x:c r="G549" s="8" t="n"/>
      <x:c r="H549" s="8" t="n"/>
    </x:row>
    <x:row r="550">
      <x:c r="A550" s="8" t="n"/>
      <x:c r="B550" s="8" t="n"/>
      <x:c r="C550" s="8" t="n"/>
      <x:c r="D550" s="8" t="n"/>
      <x:c r="E550" s="8" t="n"/>
      <x:c r="F550" s="8" t="n"/>
      <x:c r="G550" s="8" t="n"/>
      <x:c r="H550" s="8" t="n"/>
    </x:row>
    <x:row r="551">
      <x:c r="A551" s="8" t="n"/>
      <x:c r="B551" s="8" t="n"/>
      <x:c r="C551" s="8" t="n"/>
      <x:c r="D551" s="8" t="n"/>
      <x:c r="E551" s="8" t="n"/>
      <x:c r="F551" s="8" t="n"/>
      <x:c r="G551" s="8" t="n"/>
      <x:c r="H551" s="8" t="n"/>
    </x:row>
    <x:row r="552">
      <x:c r="A552" s="8" t="n"/>
      <x:c r="B552" s="8" t="n"/>
      <x:c r="C552" s="8" t="n"/>
      <x:c r="D552" s="8" t="n"/>
      <x:c r="E552" s="8" t="n"/>
      <x:c r="F552" s="8" t="n"/>
      <x:c r="G552" s="8" t="n"/>
      <x:c r="H552" s="8" t="n"/>
    </x:row>
    <x:row r="553">
      <x:c r="A553" s="8" t="n"/>
      <x:c r="B553" s="8" t="n"/>
      <x:c r="C553" s="8" t="n"/>
      <x:c r="D553" s="8" t="n"/>
      <x:c r="E553" s="8" t="n"/>
      <x:c r="F553" s="8" t="n"/>
      <x:c r="G553" s="8" t="n"/>
      <x:c r="H553" s="8" t="n"/>
    </x:row>
    <x:row r="554">
      <x:c r="A554" s="8" t="n"/>
      <x:c r="B554" s="8" t="n"/>
      <x:c r="C554" s="8" t="n"/>
      <x:c r="D554" s="8" t="n"/>
      <x:c r="E554" s="8" t="n"/>
      <x:c r="F554" s="8" t="n"/>
      <x:c r="G554" s="8" t="n"/>
      <x:c r="H554" s="8" t="n"/>
    </x:row>
    <x:row r="555">
      <x:c r="A555" s="8" t="n"/>
      <x:c r="B555" s="8" t="n"/>
      <x:c r="C555" s="8" t="n"/>
      <x:c r="D555" s="8" t="n"/>
      <x:c r="E555" s="8" t="n"/>
      <x:c r="F555" s="8" t="n"/>
      <x:c r="G555" s="8" t="n"/>
      <x:c r="H555" s="8" t="n"/>
    </x:row>
    <x:row r="556">
      <x:c r="A556" s="8" t="n"/>
      <x:c r="B556" s="8" t="n"/>
      <x:c r="C556" s="8" t="n"/>
      <x:c r="D556" s="8" t="n"/>
      <x:c r="E556" s="8" t="n"/>
      <x:c r="F556" s="8" t="n"/>
      <x:c r="G556" s="8" t="n"/>
      <x:c r="H556" s="8" t="n"/>
    </x:row>
    <x:row r="557">
      <x:c r="A557" s="8" t="n"/>
      <x:c r="B557" s="8" t="n"/>
      <x:c r="C557" s="8" t="n"/>
      <x:c r="D557" s="8" t="n"/>
      <x:c r="E557" s="8" t="n"/>
      <x:c r="F557" s="8" t="n"/>
      <x:c r="G557" s="8" t="n"/>
      <x:c r="H557" s="8" t="n"/>
    </x:row>
    <x:row r="558">
      <x:c r="A558" s="8" t="n"/>
      <x:c r="B558" s="8" t="n"/>
      <x:c r="C558" s="8" t="n"/>
      <x:c r="D558" s="8" t="n"/>
      <x:c r="E558" s="8" t="n"/>
      <x:c r="F558" s="8" t="n"/>
      <x:c r="G558" s="8" t="n"/>
      <x:c r="H558" s="8" t="n"/>
    </x:row>
    <x:row r="559">
      <x:c r="A559" s="8" t="n"/>
      <x:c r="B559" s="8" t="n"/>
      <x:c r="C559" s="8" t="n"/>
      <x:c r="D559" s="8" t="n"/>
      <x:c r="E559" s="8" t="n"/>
      <x:c r="F559" s="8" t="n"/>
      <x:c r="G559" s="8" t="n"/>
      <x:c r="H559" s="8" t="n"/>
    </x:row>
    <x:row r="560">
      <x:c r="A560" s="8" t="n"/>
      <x:c r="B560" s="8" t="n"/>
      <x:c r="C560" s="8" t="n"/>
      <x:c r="D560" s="8" t="n"/>
      <x:c r="E560" s="8" t="n"/>
      <x:c r="F560" s="8" t="n"/>
      <x:c r="G560" s="8" t="n"/>
      <x:c r="H560" s="8" t="n"/>
    </x:row>
    <x:row r="561">
      <x:c r="A561" s="8" t="n"/>
      <x:c r="B561" s="8" t="n"/>
      <x:c r="C561" s="8" t="n"/>
      <x:c r="D561" s="8" t="n"/>
      <x:c r="E561" s="8" t="n"/>
      <x:c r="F561" s="8" t="n"/>
      <x:c r="G561" s="8" t="n"/>
      <x:c r="H561" s="8" t="n"/>
    </x:row>
    <x:row r="562">
      <x:c r="A562" s="8" t="n"/>
      <x:c r="B562" s="8" t="n"/>
      <x:c r="C562" s="8" t="n"/>
      <x:c r="D562" s="8" t="n"/>
      <x:c r="E562" s="8" t="n"/>
      <x:c r="F562" s="8" t="n"/>
      <x:c r="G562" s="8" t="n"/>
      <x:c r="H562" s="8" t="n"/>
    </x:row>
    <x:row r="563">
      <x:c r="A563" s="8" t="n"/>
      <x:c r="B563" s="8" t="n"/>
      <x:c r="C563" s="8" t="n"/>
      <x:c r="D563" s="8" t="n"/>
      <x:c r="E563" s="8" t="n"/>
      <x:c r="F563" s="8" t="n"/>
      <x:c r="G563" s="8" t="n"/>
      <x:c r="H563" s="8" t="n"/>
    </x:row>
    <x:row r="564">
      <x:c r="A564" s="8" t="n"/>
      <x:c r="B564" s="8" t="n"/>
      <x:c r="C564" s="8" t="n"/>
      <x:c r="D564" s="8" t="n"/>
      <x:c r="E564" s="8" t="n"/>
      <x:c r="F564" s="8" t="n"/>
      <x:c r="G564" s="8" t="n"/>
      <x:c r="H564" s="8" t="n"/>
    </x:row>
    <x:row r="565">
      <x:c r="A565" s="8" t="n"/>
      <x:c r="B565" s="8" t="n"/>
      <x:c r="C565" s="8" t="n"/>
      <x:c r="D565" s="8" t="n"/>
      <x:c r="E565" s="8" t="n"/>
      <x:c r="F565" s="8" t="n"/>
      <x:c r="G565" s="8" t="n"/>
      <x:c r="H565" s="8" t="n"/>
    </x:row>
    <x:row r="566">
      <x:c r="A566" s="8" t="n"/>
      <x:c r="B566" s="8" t="n"/>
      <x:c r="C566" s="8" t="n"/>
      <x:c r="D566" s="8" t="n"/>
      <x:c r="E566" s="8" t="n"/>
      <x:c r="F566" s="8" t="n"/>
      <x:c r="G566" s="8" t="n"/>
      <x:c r="H566" s="8" t="n"/>
    </x:row>
    <x:row r="567">
      <x:c r="A567" s="8" t="n"/>
      <x:c r="B567" s="8" t="n"/>
      <x:c r="C567" s="8" t="n"/>
      <x:c r="D567" s="8" t="n"/>
      <x:c r="E567" s="8" t="n"/>
      <x:c r="F567" s="8" t="n"/>
      <x:c r="G567" s="8" t="n"/>
      <x:c r="H567" s="8" t="n"/>
    </x:row>
    <x:row r="568">
      <x:c r="A568" s="8" t="n"/>
      <x:c r="B568" s="8" t="n"/>
      <x:c r="C568" s="8" t="n"/>
      <x:c r="D568" s="8" t="n"/>
      <x:c r="E568" s="8" t="n"/>
      <x:c r="F568" s="8" t="n"/>
      <x:c r="G568" s="8" t="n"/>
      <x:c r="H568" s="8" t="n"/>
    </x:row>
    <x:row r="569">
      <x:c r="A569" s="8" t="n"/>
      <x:c r="B569" s="8" t="n"/>
      <x:c r="C569" s="8" t="n"/>
      <x:c r="D569" s="8" t="n"/>
      <x:c r="E569" s="8" t="n"/>
      <x:c r="F569" s="8" t="n"/>
      <x:c r="G569" s="8" t="n"/>
      <x:c r="H569" s="8" t="n"/>
    </x:row>
    <x:row r="570">
      <x:c r="A570" s="8" t="n"/>
      <x:c r="B570" s="8" t="n"/>
      <x:c r="C570" s="8" t="n"/>
      <x:c r="D570" s="8" t="n"/>
      <x:c r="E570" s="8" t="n"/>
      <x:c r="F570" s="8" t="n"/>
      <x:c r="G570" s="8" t="n"/>
      <x:c r="H570" s="8" t="n"/>
    </x:row>
    <x:row r="571">
      <x:c r="A571" s="8" t="n"/>
      <x:c r="B571" s="8" t="n"/>
      <x:c r="C571" s="8" t="n"/>
      <x:c r="D571" s="8" t="n"/>
      <x:c r="E571" s="8" t="n"/>
      <x:c r="F571" s="8" t="n"/>
      <x:c r="G571" s="8" t="n"/>
      <x:c r="H571" s="8" t="n"/>
    </x:row>
    <x:row r="572">
      <x:c r="A572" s="8" t="n"/>
      <x:c r="B572" s="8" t="n"/>
      <x:c r="C572" s="8" t="n"/>
      <x:c r="D572" s="8" t="n"/>
      <x:c r="E572" s="8" t="n"/>
      <x:c r="F572" s="8" t="n"/>
      <x:c r="G572" s="8" t="n"/>
      <x:c r="H572" s="8" t="n"/>
    </x:row>
    <x:row r="573">
      <x:c r="A573" s="8" t="n"/>
      <x:c r="B573" s="8" t="n"/>
      <x:c r="C573" s="8" t="n"/>
      <x:c r="D573" s="8" t="n"/>
      <x:c r="E573" s="8" t="n"/>
      <x:c r="F573" s="8" t="n"/>
      <x:c r="G573" s="8" t="n"/>
      <x:c r="H573" s="8" t="n"/>
    </x:row>
    <x:row r="574">
      <x:c r="A574" s="8" t="n"/>
      <x:c r="B574" s="8" t="n"/>
      <x:c r="C574" s="8" t="n"/>
      <x:c r="D574" s="8" t="n"/>
      <x:c r="E574" s="8" t="n"/>
      <x:c r="F574" s="8" t="n"/>
      <x:c r="G574" s="8" t="n"/>
      <x:c r="H574" s="8" t="n"/>
    </x:row>
    <x:row r="575">
      <x:c r="A575" s="8" t="n"/>
      <x:c r="B575" s="8" t="n"/>
      <x:c r="C575" s="8" t="n"/>
      <x:c r="D575" s="8" t="n"/>
      <x:c r="E575" s="8" t="n"/>
      <x:c r="F575" s="8" t="n"/>
      <x:c r="G575" s="8" t="n"/>
      <x:c r="H575" s="8" t="n"/>
    </x:row>
    <x:row r="576">
      <x:c r="A576" s="8" t="n"/>
      <x:c r="B576" s="8" t="n"/>
      <x:c r="C576" s="8" t="n"/>
      <x:c r="D576" s="8" t="n"/>
      <x:c r="E576" s="8" t="n"/>
      <x:c r="F576" s="8" t="n"/>
      <x:c r="G576" s="8" t="n"/>
      <x:c r="H576" s="8" t="n"/>
    </x:row>
    <x:row r="577">
      <x:c r="A577" s="8" t="n"/>
      <x:c r="B577" s="8" t="n"/>
      <x:c r="C577" s="8" t="n"/>
      <x:c r="D577" s="8" t="n"/>
      <x:c r="E577" s="8" t="n"/>
      <x:c r="F577" s="8" t="n"/>
      <x:c r="G577" s="8" t="n"/>
      <x:c r="H577" s="8" t="n"/>
    </x:row>
    <x:row r="578">
      <x:c r="A578" s="8" t="n"/>
      <x:c r="B578" s="8" t="n"/>
      <x:c r="C578" s="8" t="n"/>
      <x:c r="D578" s="8" t="n"/>
      <x:c r="E578" s="8" t="n"/>
      <x:c r="F578" s="8" t="n"/>
      <x:c r="G578" s="8" t="n"/>
      <x:c r="H578" s="8" t="n"/>
    </x:row>
    <x:row r="579">
      <x:c r="A579" s="8" t="n"/>
      <x:c r="B579" s="8" t="n"/>
      <x:c r="C579" s="8" t="n"/>
      <x:c r="D579" s="8" t="n"/>
      <x:c r="E579" s="8" t="n"/>
      <x:c r="F579" s="8" t="n"/>
      <x:c r="G579" s="8" t="n"/>
      <x:c r="H579" s="8" t="n"/>
    </x:row>
    <x:row r="580">
      <x:c r="A580" s="8" t="n"/>
      <x:c r="B580" s="8" t="n"/>
      <x:c r="C580" s="8" t="n"/>
      <x:c r="D580" s="8" t="n"/>
      <x:c r="E580" s="8" t="n"/>
      <x:c r="F580" s="8" t="n"/>
      <x:c r="G580" s="8" t="n"/>
      <x:c r="H580" s="8" t="n"/>
    </x:row>
    <x:row r="581">
      <x:c r="A581" s="8" t="n"/>
      <x:c r="B581" s="8" t="n"/>
      <x:c r="C581" s="8" t="n"/>
      <x:c r="D581" s="8" t="n"/>
      <x:c r="E581" s="8" t="n"/>
      <x:c r="F581" s="8" t="n"/>
      <x:c r="G581" s="8" t="n"/>
      <x:c r="H581" s="8" t="n"/>
    </x:row>
    <x:row r="582">
      <x:c r="A582" s="8" t="n"/>
      <x:c r="B582" s="8" t="n"/>
      <x:c r="C582" s="8" t="n"/>
      <x:c r="D582" s="8" t="n"/>
      <x:c r="E582" s="8" t="n"/>
      <x:c r="F582" s="8" t="n"/>
      <x:c r="G582" s="8" t="n"/>
      <x:c r="H582" s="8" t="n"/>
    </x:row>
    <x:row r="583">
      <x:c r="A583" s="8" t="n"/>
      <x:c r="B583" s="8" t="n"/>
      <x:c r="C583" s="8" t="n"/>
      <x:c r="D583" s="8" t="n"/>
      <x:c r="E583" s="8" t="n"/>
      <x:c r="F583" s="8" t="n"/>
      <x:c r="G583" s="8" t="n"/>
      <x:c r="H583" s="8" t="n"/>
    </x:row>
    <x:row r="584">
      <x:c r="A584" s="8" t="n"/>
      <x:c r="B584" s="8" t="n"/>
      <x:c r="C584" s="8" t="n"/>
      <x:c r="D584" s="8" t="n"/>
      <x:c r="E584" s="8" t="n"/>
      <x:c r="F584" s="8" t="n"/>
      <x:c r="G584" s="8" t="n"/>
      <x:c r="H584" s="8" t="n"/>
    </x:row>
    <x:row r="585">
      <x:c r="A585" s="8" t="n"/>
      <x:c r="B585" s="8" t="n"/>
      <x:c r="C585" s="8" t="n"/>
      <x:c r="D585" s="8" t="n"/>
      <x:c r="E585" s="8" t="n"/>
      <x:c r="F585" s="8" t="n"/>
      <x:c r="G585" s="8" t="n"/>
      <x:c r="H585" s="8" t="n"/>
    </x:row>
    <x:row r="586">
      <x:c r="A586" s="8" t="n"/>
      <x:c r="B586" s="8" t="n"/>
      <x:c r="C586" s="8" t="n"/>
      <x:c r="D586" s="8" t="n"/>
      <x:c r="E586" s="8" t="n"/>
      <x:c r="F586" s="8" t="n"/>
      <x:c r="G586" s="8" t="n"/>
      <x:c r="H586" s="8" t="n"/>
    </x:row>
    <x:row r="587">
      <x:c r="A587" s="8" t="n"/>
      <x:c r="B587" s="8" t="n"/>
      <x:c r="C587" s="8" t="n"/>
      <x:c r="D587" s="8" t="n"/>
      <x:c r="E587" s="8" t="n"/>
      <x:c r="F587" s="8" t="n"/>
      <x:c r="G587" s="8" t="n"/>
      <x:c r="H587" s="8" t="n"/>
    </x:row>
    <x:row r="588">
      <x:c r="A588" s="8" t="n"/>
      <x:c r="B588" s="8" t="n"/>
      <x:c r="C588" s="8" t="n"/>
      <x:c r="D588" s="8" t="n"/>
      <x:c r="E588" s="8" t="n"/>
      <x:c r="F588" s="8" t="n"/>
      <x:c r="G588" s="8" t="n"/>
      <x:c r="H588" s="8" t="n"/>
    </x:row>
    <x:row r="589">
      <x:c r="A589" s="8" t="n"/>
      <x:c r="B589" s="8" t="n"/>
      <x:c r="C589" s="8" t="n"/>
      <x:c r="D589" s="8" t="n"/>
      <x:c r="E589" s="8" t="n"/>
      <x:c r="F589" s="8" t="n"/>
      <x:c r="G589" s="8" t="n"/>
      <x:c r="H589" s="8" t="n"/>
    </x:row>
    <x:row r="590">
      <x:c r="A590" s="8" t="n"/>
      <x:c r="B590" s="8" t="n"/>
      <x:c r="C590" s="8" t="n"/>
      <x:c r="D590" s="8" t="n"/>
      <x:c r="E590" s="8" t="n"/>
      <x:c r="F590" s="8" t="n"/>
      <x:c r="G590" s="8" t="n"/>
      <x:c r="H590" s="8" t="n"/>
    </x:row>
    <x:row r="591">
      <x:c r="A591" s="8" t="n"/>
      <x:c r="B591" s="8" t="n"/>
      <x:c r="C591" s="8" t="n"/>
      <x:c r="D591" s="8" t="n"/>
      <x:c r="E591" s="8" t="n"/>
      <x:c r="F591" s="8" t="n"/>
      <x:c r="G591" s="8" t="n"/>
      <x:c r="H591" s="8" t="n"/>
    </x:row>
    <x:row r="592">
      <x:c r="A592" s="8" t="n"/>
      <x:c r="B592" s="8" t="n"/>
      <x:c r="C592" s="8" t="n"/>
      <x:c r="D592" s="8" t="n"/>
      <x:c r="E592" s="8" t="n"/>
      <x:c r="F592" s="8" t="n"/>
      <x:c r="G592" s="8" t="n"/>
      <x:c r="H592" s="8" t="n"/>
    </x:row>
    <x:row r="593">
      <x:c r="A593" s="8" t="n"/>
      <x:c r="B593" s="8" t="n"/>
      <x:c r="C593" s="8" t="n"/>
      <x:c r="D593" s="8" t="n"/>
      <x:c r="E593" s="8" t="n"/>
      <x:c r="F593" s="8" t="n"/>
      <x:c r="G593" s="8" t="n"/>
      <x:c r="H593" s="8" t="n"/>
    </x:row>
    <x:row r="594">
      <x:c r="A594" s="8" t="n"/>
      <x:c r="B594" s="8" t="n"/>
      <x:c r="C594" s="8" t="n"/>
      <x:c r="D594" s="8" t="n"/>
      <x:c r="E594" s="8" t="n"/>
      <x:c r="F594" s="8" t="n"/>
      <x:c r="G594" s="8" t="n"/>
      <x:c r="H594" s="8" t="n"/>
    </x:row>
    <x:row r="595">
      <x:c r="A595" s="8" t="n"/>
      <x:c r="B595" s="8" t="n"/>
      <x:c r="C595" s="8" t="n"/>
      <x:c r="D595" s="8" t="n"/>
      <x:c r="E595" s="8" t="n"/>
      <x:c r="F595" s="8" t="n"/>
      <x:c r="G595" s="8" t="n"/>
      <x:c r="H595" s="8" t="n"/>
    </x:row>
    <x:row r="596">
      <x:c r="A596" s="8" t="n"/>
      <x:c r="B596" s="8" t="n"/>
      <x:c r="C596" s="8" t="n"/>
      <x:c r="D596" s="8" t="n"/>
      <x:c r="E596" s="8" t="n"/>
      <x:c r="F596" s="8" t="n"/>
      <x:c r="G596" s="8" t="n"/>
      <x:c r="H596" s="8" t="n"/>
    </x:row>
    <x:row r="597">
      <x:c r="A597" s="8" t="n"/>
      <x:c r="B597" s="8" t="n"/>
      <x:c r="C597" s="8" t="n"/>
      <x:c r="D597" s="8" t="n"/>
      <x:c r="E597" s="8" t="n"/>
      <x:c r="F597" s="8" t="n"/>
      <x:c r="G597" s="8" t="n"/>
      <x:c r="H597" s="8" t="n"/>
    </x:row>
    <x:row r="598">
      <x:c r="A598" s="8" t="n"/>
      <x:c r="B598" s="8" t="n"/>
      <x:c r="C598" s="8" t="n"/>
      <x:c r="D598" s="8" t="n"/>
      <x:c r="E598" s="8" t="n"/>
      <x:c r="F598" s="8" t="n"/>
      <x:c r="G598" s="8" t="n"/>
      <x:c r="H598" s="8" t="n"/>
    </x:row>
    <x:row r="599">
      <x:c r="A599" s="8" t="n"/>
      <x:c r="B599" s="8" t="n"/>
      <x:c r="C599" s="8" t="n"/>
      <x:c r="D599" s="8" t="n"/>
      <x:c r="E599" s="8" t="n"/>
      <x:c r="F599" s="8" t="n"/>
      <x:c r="G599" s="8" t="n"/>
      <x:c r="H599" s="8" t="n"/>
    </x:row>
    <x:row r="600">
      <x:c r="A600" s="8" t="n"/>
      <x:c r="B600" s="8" t="n"/>
      <x:c r="C600" s="8" t="n"/>
      <x:c r="D600" s="8" t="n"/>
      <x:c r="E600" s="8" t="n"/>
      <x:c r="F600" s="8" t="n"/>
      <x:c r="G600" s="8" t="n"/>
      <x:c r="H600" s="8" t="n"/>
    </x:row>
    <x:row r="601">
      <x:c r="A601" s="8" t="n"/>
      <x:c r="B601" s="8" t="n"/>
      <x:c r="C601" s="8" t="n"/>
      <x:c r="D601" s="8" t="n"/>
      <x:c r="E601" s="8" t="n"/>
      <x:c r="F601" s="8" t="n"/>
      <x:c r="G601" s="8" t="n"/>
      <x:c r="H601" s="8" t="n"/>
    </x:row>
    <x:row r="602">
      <x:c r="A602" s="8" t="n"/>
      <x:c r="B602" s="8" t="n"/>
      <x:c r="C602" s="8" t="n"/>
      <x:c r="D602" s="8" t="n"/>
      <x:c r="E602" s="8" t="n"/>
      <x:c r="F602" s="8" t="n"/>
      <x:c r="G602" s="8" t="n"/>
      <x:c r="H602" s="8" t="n"/>
    </x:row>
    <x:row r="603">
      <x:c r="A603" s="8" t="n"/>
      <x:c r="B603" s="8" t="n"/>
      <x:c r="C603" s="8" t="n"/>
      <x:c r="D603" s="8" t="n"/>
      <x:c r="E603" s="8" t="n"/>
      <x:c r="F603" s="8" t="n"/>
      <x:c r="G603" s="8" t="n"/>
      <x:c r="H603" s="8" t="n"/>
    </x:row>
    <x:row r="604">
      <x:c r="A604" s="8" t="n"/>
      <x:c r="B604" s="8" t="n"/>
      <x:c r="C604" s="8" t="n"/>
      <x:c r="D604" s="8" t="n"/>
      <x:c r="E604" s="8" t="n"/>
      <x:c r="F604" s="8" t="n"/>
      <x:c r="G604" s="8" t="n"/>
      <x:c r="H604" s="8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6" customWidth="1"/>
    <x:col min="3" max="3" width="18" customWidth="1"/>
    <x:col min="4" max="4" width="16" customWidth="1"/>
    <x:col min="5" max="5" width="22" customWidth="1"/>
    <x:col min="6" max="6" width="22" customWidth="1"/>
    <x:col min="7" max="7" width="22" customWidth="1"/>
  </x:cols>
  <x:sheetData>
    <x:row r="1">
      <x:c r="A1" s="4" t="inlineStr">
        <x:is>
          <x:t xml:space="preserve">Entrées - Capacité et faisabilité</x:t>
        </x:is>
      </x:c>
    </x:row>
    <x:row r="2">
      <x:c r="A2" s="3" t="inlineStr">
        <x:is>
          <x:t xml:space="preserve">Codes : HIGH ; MED ; LOW ; UK.</x:t>
        </x:is>
      </x:c>
    </x:row>
    <x:row r="4" ht="22" customHeight="1">
      <x:c r="A4" s="11" t="inlineStr">
        <x:is>
          <x:t xml:space="preserve">submission_id</x:t>
        </x:is>
      </x:c>
      <x:c r="B4" s="11" t="inlineStr">
        <x:is>
          <x:t xml:space="preserve">comp_stats</x:t>
        </x:is>
      </x:c>
      <x:c r="C4" s="11" t="inlineStr">
        <x:is>
          <x:t xml:space="preserve">acces_data_admin</x:t>
        </x:is>
      </x:c>
      <x:c r="D4" s="11" t="inlineStr">
        <x:is>
          <x:t xml:space="preserve">financement</x:t>
        </x:is>
      </x:c>
      <x:c r="E4" s="11" t="inlineStr">
        <x:is>
          <x:t xml:space="preserve">outils_numeriques</x:t>
        </x:is>
      </x:c>
      <x:c r="F4" s="11" t="inlineStr">
        <x:is>
          <x:t xml:space="preserve">cadre_juridique</x:t>
        </x:is>
      </x:c>
      <x:c r="G4" s="11" t="inlineStr">
        <x:is>
          <x:t xml:space="preserve">coordination</x:t>
        </x:is>
      </x:c>
    </x:row>
    <x:row r="5">
      <x:c r="A5" s="8" t="n"/>
      <x:c r="B5" s="8" t="n"/>
      <x:c r="C5" s="8" t="n"/>
      <x:c r="D5" s="8" t="n"/>
      <x:c r="E5" s="8" t="n"/>
      <x:c r="F5" s="8" t="n"/>
      <x:c r="G5" s="8" t="n"/>
    </x:row>
    <x:row r="6">
      <x:c r="A6" s="8" t="n"/>
      <x:c r="B6" s="8" t="n"/>
      <x:c r="C6" s="8" t="n"/>
      <x:c r="D6" s="8" t="n"/>
      <x:c r="E6" s="8" t="n"/>
      <x:c r="F6" s="8" t="n"/>
      <x:c r="G6" s="8" t="n"/>
    </x:row>
    <x:row r="7">
      <x:c r="A7" s="8" t="n"/>
      <x:c r="B7" s="8" t="n"/>
      <x:c r="C7" s="8" t="n"/>
      <x:c r="D7" s="8" t="n"/>
      <x:c r="E7" s="8" t="n"/>
      <x:c r="F7" s="8" t="n"/>
      <x:c r="G7" s="8" t="n"/>
    </x:row>
    <x:row r="8">
      <x:c r="A8" s="8" t="n"/>
      <x:c r="B8" s="8" t="n"/>
      <x:c r="C8" s="8" t="n"/>
      <x:c r="D8" s="8" t="n"/>
      <x:c r="E8" s="8" t="n"/>
      <x:c r="F8" s="8" t="n"/>
      <x:c r="G8" s="8" t="n"/>
    </x:row>
    <x:row r="9">
      <x:c r="A9" s="8" t="n"/>
      <x:c r="B9" s="8" t="n"/>
      <x:c r="C9" s="8" t="n"/>
      <x:c r="D9" s="8" t="n"/>
      <x:c r="E9" s="8" t="n"/>
      <x:c r="F9" s="8" t="n"/>
      <x:c r="G9" s="8" t="n"/>
    </x:row>
    <x:row r="10">
      <x:c r="A10" s="8" t="n"/>
      <x:c r="B10" s="8" t="n"/>
      <x:c r="C10" s="8" t="n"/>
      <x:c r="D10" s="8" t="n"/>
      <x:c r="E10" s="8" t="n"/>
      <x:c r="F10" s="8" t="n"/>
      <x:c r="G10" s="8" t="n"/>
    </x:row>
    <x:row r="11">
      <x:c r="A11" s="8" t="n"/>
      <x:c r="B11" s="8" t="n"/>
      <x:c r="C11" s="8" t="n"/>
      <x:c r="D11" s="8" t="n"/>
      <x:c r="E11" s="8" t="n"/>
      <x:c r="F11" s="8" t="n"/>
      <x:c r="G11" s="8" t="n"/>
    </x:row>
    <x:row r="12">
      <x:c r="A12" s="8" t="n"/>
      <x:c r="B12" s="8" t="n"/>
      <x:c r="C12" s="8" t="n"/>
      <x:c r="D12" s="8" t="n"/>
      <x:c r="E12" s="8" t="n"/>
      <x:c r="F12" s="8" t="n"/>
      <x:c r="G12" s="8" t="n"/>
    </x:row>
    <x:row r="13">
      <x:c r="A13" s="8" t="n"/>
      <x:c r="B13" s="8" t="n"/>
      <x:c r="C13" s="8" t="n"/>
      <x:c r="D13" s="8" t="n"/>
      <x:c r="E13" s="8" t="n"/>
      <x:c r="F13" s="8" t="n"/>
      <x:c r="G13" s="8" t="n"/>
    </x:row>
    <x:row r="14">
      <x:c r="A14" s="8" t="n"/>
      <x:c r="B14" s="8" t="n"/>
      <x:c r="C14" s="8" t="n"/>
      <x:c r="D14" s="8" t="n"/>
      <x:c r="E14" s="8" t="n"/>
      <x:c r="F14" s="8" t="n"/>
      <x:c r="G14" s="8" t="n"/>
    </x:row>
    <x:row r="15">
      <x:c r="A15" s="8" t="n"/>
      <x:c r="B15" s="8" t="n"/>
      <x:c r="C15" s="8" t="n"/>
      <x:c r="D15" s="8" t="n"/>
      <x:c r="E15" s="8" t="n"/>
      <x:c r="F15" s="8" t="n"/>
      <x:c r="G15" s="8" t="n"/>
    </x:row>
    <x:row r="16">
      <x:c r="A16" s="8" t="n"/>
      <x:c r="B16" s="8" t="n"/>
      <x:c r="C16" s="8" t="n"/>
      <x:c r="D16" s="8" t="n"/>
      <x:c r="E16" s="8" t="n"/>
      <x:c r="F16" s="8" t="n"/>
      <x:c r="G16" s="8" t="n"/>
    </x:row>
    <x:row r="17">
      <x:c r="A17" s="8" t="n"/>
      <x:c r="B17" s="8" t="n"/>
      <x:c r="C17" s="8" t="n"/>
      <x:c r="D17" s="8" t="n"/>
      <x:c r="E17" s="8" t="n"/>
      <x:c r="F17" s="8" t="n"/>
      <x:c r="G17" s="8" t="n"/>
    </x:row>
    <x:row r="18">
      <x:c r="A18" s="8" t="n"/>
      <x:c r="B18" s="8" t="n"/>
      <x:c r="C18" s="8" t="n"/>
      <x:c r="D18" s="8" t="n"/>
      <x:c r="E18" s="8" t="n"/>
      <x:c r="F18" s="8" t="n"/>
      <x:c r="G18" s="8" t="n"/>
    </x:row>
    <x:row r="19">
      <x:c r="A19" s="8" t="n"/>
      <x:c r="B19" s="8" t="n"/>
      <x:c r="C19" s="8" t="n"/>
      <x:c r="D19" s="8" t="n"/>
      <x:c r="E19" s="8" t="n"/>
      <x:c r="F19" s="8" t="n"/>
      <x:c r="G19" s="8" t="n"/>
    </x:row>
    <x:row r="20">
      <x:c r="A20" s="8" t="n"/>
      <x:c r="B20" s="8" t="n"/>
      <x:c r="C20" s="8" t="n"/>
      <x:c r="D20" s="8" t="n"/>
      <x:c r="E20" s="8" t="n"/>
      <x:c r="F20" s="8" t="n"/>
      <x:c r="G20" s="8" t="n"/>
    </x:row>
    <x:row r="21">
      <x:c r="A21" s="8" t="n"/>
      <x:c r="B21" s="8" t="n"/>
      <x:c r="C21" s="8" t="n"/>
      <x:c r="D21" s="8" t="n"/>
      <x:c r="E21" s="8" t="n"/>
      <x:c r="F21" s="8" t="n"/>
      <x:c r="G21" s="8" t="n"/>
    </x:row>
    <x:row r="22">
      <x:c r="A22" s="8" t="n"/>
      <x:c r="B22" s="8" t="n"/>
      <x:c r="C22" s="8" t="n"/>
      <x:c r="D22" s="8" t="n"/>
      <x:c r="E22" s="8" t="n"/>
      <x:c r="F22" s="8" t="n"/>
      <x:c r="G22" s="8" t="n"/>
    </x:row>
    <x:row r="23">
      <x:c r="A23" s="8" t="n"/>
      <x:c r="B23" s="8" t="n"/>
      <x:c r="C23" s="8" t="n"/>
      <x:c r="D23" s="8" t="n"/>
      <x:c r="E23" s="8" t="n"/>
      <x:c r="F23" s="8" t="n"/>
      <x:c r="G23" s="8" t="n"/>
    </x:row>
    <x:row r="24">
      <x:c r="A24" s="8" t="n"/>
      <x:c r="B24" s="8" t="n"/>
      <x:c r="C24" s="8" t="n"/>
      <x:c r="D24" s="8" t="n"/>
      <x:c r="E24" s="8" t="n"/>
      <x:c r="F24" s="8" t="n"/>
      <x:c r="G24" s="8" t="n"/>
    </x:row>
    <x:row r="25">
      <x:c r="A25" s="8" t="n"/>
      <x:c r="B25" s="8" t="n"/>
      <x:c r="C25" s="8" t="n"/>
      <x:c r="D25" s="8" t="n"/>
      <x:c r="E25" s="8" t="n"/>
      <x:c r="F25" s="8" t="n"/>
      <x:c r="G25" s="8" t="n"/>
    </x:row>
    <x:row r="26">
      <x:c r="A26" s="8" t="n"/>
      <x:c r="B26" s="8" t="n"/>
      <x:c r="C26" s="8" t="n"/>
      <x:c r="D26" s="8" t="n"/>
      <x:c r="E26" s="8" t="n"/>
      <x:c r="F26" s="8" t="n"/>
      <x:c r="G26" s="8" t="n"/>
    </x:row>
    <x:row r="27">
      <x:c r="A27" s="8" t="n"/>
      <x:c r="B27" s="8" t="n"/>
      <x:c r="C27" s="8" t="n"/>
      <x:c r="D27" s="8" t="n"/>
      <x:c r="E27" s="8" t="n"/>
      <x:c r="F27" s="8" t="n"/>
      <x:c r="G27" s="8" t="n"/>
    </x:row>
    <x:row r="28">
      <x:c r="A28" s="8" t="n"/>
      <x:c r="B28" s="8" t="n"/>
      <x:c r="C28" s="8" t="n"/>
      <x:c r="D28" s="8" t="n"/>
      <x:c r="E28" s="8" t="n"/>
      <x:c r="F28" s="8" t="n"/>
      <x:c r="G28" s="8" t="n"/>
    </x:row>
    <x:row r="29">
      <x:c r="A29" s="8" t="n"/>
      <x:c r="B29" s="8" t="n"/>
      <x:c r="C29" s="8" t="n"/>
      <x:c r="D29" s="8" t="n"/>
      <x:c r="E29" s="8" t="n"/>
      <x:c r="F29" s="8" t="n"/>
      <x:c r="G29" s="8" t="n"/>
    </x:row>
    <x:row r="30">
      <x:c r="A30" s="8" t="n"/>
      <x:c r="B30" s="8" t="n"/>
      <x:c r="C30" s="8" t="n"/>
      <x:c r="D30" s="8" t="n"/>
      <x:c r="E30" s="8" t="n"/>
      <x:c r="F30" s="8" t="n"/>
      <x:c r="G30" s="8" t="n"/>
    </x:row>
    <x:row r="31">
      <x:c r="A31" s="8" t="n"/>
      <x:c r="B31" s="8" t="n"/>
      <x:c r="C31" s="8" t="n"/>
      <x:c r="D31" s="8" t="n"/>
      <x:c r="E31" s="8" t="n"/>
      <x:c r="F31" s="8" t="n"/>
      <x:c r="G31" s="8" t="n"/>
    </x:row>
    <x:row r="32">
      <x:c r="A32" s="8" t="n"/>
      <x:c r="B32" s="8" t="n"/>
      <x:c r="C32" s="8" t="n"/>
      <x:c r="D32" s="8" t="n"/>
      <x:c r="E32" s="8" t="n"/>
      <x:c r="F32" s="8" t="n"/>
      <x:c r="G32" s="8" t="n"/>
    </x:row>
    <x:row r="33">
      <x:c r="A33" s="8" t="n"/>
      <x:c r="B33" s="8" t="n"/>
      <x:c r="C33" s="8" t="n"/>
      <x:c r="D33" s="8" t="n"/>
      <x:c r="E33" s="8" t="n"/>
      <x:c r="F33" s="8" t="n"/>
      <x:c r="G33" s="8" t="n"/>
    </x:row>
    <x:row r="34">
      <x:c r="A34" s="8" t="n"/>
      <x:c r="B34" s="8" t="n"/>
      <x:c r="C34" s="8" t="n"/>
      <x:c r="D34" s="8" t="n"/>
      <x:c r="E34" s="8" t="n"/>
      <x:c r="F34" s="8" t="n"/>
      <x:c r="G34" s="8" t="n"/>
    </x:row>
    <x:row r="35">
      <x:c r="A35" s="8" t="n"/>
      <x:c r="B35" s="8" t="n"/>
      <x:c r="C35" s="8" t="n"/>
      <x:c r="D35" s="8" t="n"/>
      <x:c r="E35" s="8" t="n"/>
      <x:c r="F35" s="8" t="n"/>
      <x:c r="G35" s="8" t="n"/>
    </x:row>
    <x:row r="36">
      <x:c r="A36" s="8" t="n"/>
      <x:c r="B36" s="8" t="n"/>
      <x:c r="C36" s="8" t="n"/>
      <x:c r="D36" s="8" t="n"/>
      <x:c r="E36" s="8" t="n"/>
      <x:c r="F36" s="8" t="n"/>
      <x:c r="G36" s="8" t="n"/>
    </x:row>
    <x:row r="37">
      <x:c r="A37" s="8" t="n"/>
      <x:c r="B37" s="8" t="n"/>
      <x:c r="C37" s="8" t="n"/>
      <x:c r="D37" s="8" t="n"/>
      <x:c r="E37" s="8" t="n"/>
      <x:c r="F37" s="8" t="n"/>
      <x:c r="G37" s="8" t="n"/>
    </x:row>
    <x:row r="38">
      <x:c r="A38" s="8" t="n"/>
      <x:c r="B38" s="8" t="n"/>
      <x:c r="C38" s="8" t="n"/>
      <x:c r="D38" s="8" t="n"/>
      <x:c r="E38" s="8" t="n"/>
      <x:c r="F38" s="8" t="n"/>
      <x:c r="G38" s="8" t="n"/>
    </x:row>
    <x:row r="39">
      <x:c r="A39" s="8" t="n"/>
      <x:c r="B39" s="8" t="n"/>
      <x:c r="C39" s="8" t="n"/>
      <x:c r="D39" s="8" t="n"/>
      <x:c r="E39" s="8" t="n"/>
      <x:c r="F39" s="8" t="n"/>
      <x:c r="G39" s="8" t="n"/>
    </x:row>
    <x:row r="40">
      <x:c r="A40" s="8" t="n"/>
      <x:c r="B40" s="8" t="n"/>
      <x:c r="C40" s="8" t="n"/>
      <x:c r="D40" s="8" t="n"/>
      <x:c r="E40" s="8" t="n"/>
      <x:c r="F40" s="8" t="n"/>
      <x:c r="G40" s="8" t="n"/>
    </x:row>
    <x:row r="41">
      <x:c r="A41" s="8" t="n"/>
      <x:c r="B41" s="8" t="n"/>
      <x:c r="C41" s="8" t="n"/>
      <x:c r="D41" s="8" t="n"/>
      <x:c r="E41" s="8" t="n"/>
      <x:c r="F41" s="8" t="n"/>
      <x:c r="G41" s="8" t="n"/>
    </x:row>
    <x:row r="42">
      <x:c r="A42" s="8" t="n"/>
      <x:c r="B42" s="8" t="n"/>
      <x:c r="C42" s="8" t="n"/>
      <x:c r="D42" s="8" t="n"/>
      <x:c r="E42" s="8" t="n"/>
      <x:c r="F42" s="8" t="n"/>
      <x:c r="G42" s="8" t="n"/>
    </x:row>
    <x:row r="43">
      <x:c r="A43" s="8" t="n"/>
      <x:c r="B43" s="8" t="n"/>
      <x:c r="C43" s="8" t="n"/>
      <x:c r="D43" s="8" t="n"/>
      <x:c r="E43" s="8" t="n"/>
      <x:c r="F43" s="8" t="n"/>
      <x:c r="G43" s="8" t="n"/>
    </x:row>
    <x:row r="44">
      <x:c r="A44" s="8" t="n"/>
      <x:c r="B44" s="8" t="n"/>
      <x:c r="C44" s="8" t="n"/>
      <x:c r="D44" s="8" t="n"/>
      <x:c r="E44" s="8" t="n"/>
      <x:c r="F44" s="8" t="n"/>
      <x:c r="G44" s="8" t="n"/>
    </x:row>
    <x:row r="45">
      <x:c r="A45" s="8" t="n"/>
      <x:c r="B45" s="8" t="n"/>
      <x:c r="C45" s="8" t="n"/>
      <x:c r="D45" s="8" t="n"/>
      <x:c r="E45" s="8" t="n"/>
      <x:c r="F45" s="8" t="n"/>
      <x:c r="G45" s="8" t="n"/>
    </x:row>
    <x:row r="46">
      <x:c r="A46" s="8" t="n"/>
      <x:c r="B46" s="8" t="n"/>
      <x:c r="C46" s="8" t="n"/>
      <x:c r="D46" s="8" t="n"/>
      <x:c r="E46" s="8" t="n"/>
      <x:c r="F46" s="8" t="n"/>
      <x:c r="G46" s="8" t="n"/>
    </x:row>
    <x:row r="47">
      <x:c r="A47" s="8" t="n"/>
      <x:c r="B47" s="8" t="n"/>
      <x:c r="C47" s="8" t="n"/>
      <x:c r="D47" s="8" t="n"/>
      <x:c r="E47" s="8" t="n"/>
      <x:c r="F47" s="8" t="n"/>
      <x:c r="G47" s="8" t="n"/>
    </x:row>
    <x:row r="48">
      <x:c r="A48" s="8" t="n"/>
      <x:c r="B48" s="8" t="n"/>
      <x:c r="C48" s="8" t="n"/>
      <x:c r="D48" s="8" t="n"/>
      <x:c r="E48" s="8" t="n"/>
      <x:c r="F48" s="8" t="n"/>
      <x:c r="G48" s="8" t="n"/>
    </x:row>
    <x:row r="49">
      <x:c r="A49" s="8" t="n"/>
      <x:c r="B49" s="8" t="n"/>
      <x:c r="C49" s="8" t="n"/>
      <x:c r="D49" s="8" t="n"/>
      <x:c r="E49" s="8" t="n"/>
      <x:c r="F49" s="8" t="n"/>
      <x:c r="G49" s="8" t="n"/>
    </x:row>
    <x:row r="50">
      <x:c r="A50" s="8" t="n"/>
      <x:c r="B50" s="8" t="n"/>
      <x:c r="C50" s="8" t="n"/>
      <x:c r="D50" s="8" t="n"/>
      <x:c r="E50" s="8" t="n"/>
      <x:c r="F50" s="8" t="n"/>
      <x:c r="G50" s="8" t="n"/>
    </x:row>
    <x:row r="51">
      <x:c r="A51" s="8" t="n"/>
      <x:c r="B51" s="8" t="n"/>
      <x:c r="C51" s="8" t="n"/>
      <x:c r="D51" s="8" t="n"/>
      <x:c r="E51" s="8" t="n"/>
      <x:c r="F51" s="8" t="n"/>
      <x:c r="G51" s="8" t="n"/>
    </x:row>
    <x:row r="52">
      <x:c r="A52" s="8" t="n"/>
      <x:c r="B52" s="8" t="n"/>
      <x:c r="C52" s="8" t="n"/>
      <x:c r="D52" s="8" t="n"/>
      <x:c r="E52" s="8" t="n"/>
      <x:c r="F52" s="8" t="n"/>
      <x:c r="G52" s="8" t="n"/>
    </x:row>
    <x:row r="53">
      <x:c r="A53" s="8" t="n"/>
      <x:c r="B53" s="8" t="n"/>
      <x:c r="C53" s="8" t="n"/>
      <x:c r="D53" s="8" t="n"/>
      <x:c r="E53" s="8" t="n"/>
      <x:c r="F53" s="8" t="n"/>
      <x:c r="G53" s="8" t="n"/>
    </x:row>
    <x:row r="54">
      <x:c r="A54" s="8" t="n"/>
      <x:c r="B54" s="8" t="n"/>
      <x:c r="C54" s="8" t="n"/>
      <x:c r="D54" s="8" t="n"/>
      <x:c r="E54" s="8" t="n"/>
      <x:c r="F54" s="8" t="n"/>
      <x:c r="G54" s="8" t="n"/>
    </x:row>
    <x:row r="55">
      <x:c r="A55" s="8" t="n"/>
      <x:c r="B55" s="8" t="n"/>
      <x:c r="C55" s="8" t="n"/>
      <x:c r="D55" s="8" t="n"/>
      <x:c r="E55" s="8" t="n"/>
      <x:c r="F55" s="8" t="n"/>
      <x:c r="G55" s="8" t="n"/>
    </x:row>
    <x:row r="56">
      <x:c r="A56" s="8" t="n"/>
      <x:c r="B56" s="8" t="n"/>
      <x:c r="C56" s="8" t="n"/>
      <x:c r="D56" s="8" t="n"/>
      <x:c r="E56" s="8" t="n"/>
      <x:c r="F56" s="8" t="n"/>
      <x:c r="G56" s="8" t="n"/>
    </x:row>
    <x:row r="57">
      <x:c r="A57" s="8" t="n"/>
      <x:c r="B57" s="8" t="n"/>
      <x:c r="C57" s="8" t="n"/>
      <x:c r="D57" s="8" t="n"/>
      <x:c r="E57" s="8" t="n"/>
      <x:c r="F57" s="8" t="n"/>
      <x:c r="G57" s="8" t="n"/>
    </x:row>
    <x:row r="58">
      <x:c r="A58" s="8" t="n"/>
      <x:c r="B58" s="8" t="n"/>
      <x:c r="C58" s="8" t="n"/>
      <x:c r="D58" s="8" t="n"/>
      <x:c r="E58" s="8" t="n"/>
      <x:c r="F58" s="8" t="n"/>
      <x:c r="G58" s="8" t="n"/>
    </x:row>
    <x:row r="59">
      <x:c r="A59" s="8" t="n"/>
      <x:c r="B59" s="8" t="n"/>
      <x:c r="C59" s="8" t="n"/>
      <x:c r="D59" s="8" t="n"/>
      <x:c r="E59" s="8" t="n"/>
      <x:c r="F59" s="8" t="n"/>
      <x:c r="G59" s="8" t="n"/>
    </x:row>
    <x:row r="60">
      <x:c r="A60" s="8" t="n"/>
      <x:c r="B60" s="8" t="n"/>
      <x:c r="C60" s="8" t="n"/>
      <x:c r="D60" s="8" t="n"/>
      <x:c r="E60" s="8" t="n"/>
      <x:c r="F60" s="8" t="n"/>
      <x:c r="G60" s="8" t="n"/>
    </x:row>
    <x:row r="61">
      <x:c r="A61" s="8" t="n"/>
      <x:c r="B61" s="8" t="n"/>
      <x:c r="C61" s="8" t="n"/>
      <x:c r="D61" s="8" t="n"/>
      <x:c r="E61" s="8" t="n"/>
      <x:c r="F61" s="8" t="n"/>
      <x:c r="G61" s="8" t="n"/>
    </x:row>
    <x:row r="62">
      <x:c r="A62" s="8" t="n"/>
      <x:c r="B62" s="8" t="n"/>
      <x:c r="C62" s="8" t="n"/>
      <x:c r="D62" s="8" t="n"/>
      <x:c r="E62" s="8" t="n"/>
      <x:c r="F62" s="8" t="n"/>
      <x:c r="G62" s="8" t="n"/>
    </x:row>
    <x:row r="63">
      <x:c r="A63" s="8" t="n"/>
      <x:c r="B63" s="8" t="n"/>
      <x:c r="C63" s="8" t="n"/>
      <x:c r="D63" s="8" t="n"/>
      <x:c r="E63" s="8" t="n"/>
      <x:c r="F63" s="8" t="n"/>
      <x:c r="G63" s="8" t="n"/>
    </x:row>
    <x:row r="64">
      <x:c r="A64" s="8" t="n"/>
      <x:c r="B64" s="8" t="n"/>
      <x:c r="C64" s="8" t="n"/>
      <x:c r="D64" s="8" t="n"/>
      <x:c r="E64" s="8" t="n"/>
      <x:c r="F64" s="8" t="n"/>
      <x:c r="G64" s="8" t="n"/>
    </x:row>
    <x:row r="65">
      <x:c r="A65" s="8" t="n"/>
      <x:c r="B65" s="8" t="n"/>
      <x:c r="C65" s="8" t="n"/>
      <x:c r="D65" s="8" t="n"/>
      <x:c r="E65" s="8" t="n"/>
      <x:c r="F65" s="8" t="n"/>
      <x:c r="G65" s="8" t="n"/>
    </x:row>
    <x:row r="66">
      <x:c r="A66" s="8" t="n"/>
      <x:c r="B66" s="8" t="n"/>
      <x:c r="C66" s="8" t="n"/>
      <x:c r="D66" s="8" t="n"/>
      <x:c r="E66" s="8" t="n"/>
      <x:c r="F66" s="8" t="n"/>
      <x:c r="G66" s="8" t="n"/>
    </x:row>
    <x:row r="67">
      <x:c r="A67" s="8" t="n"/>
      <x:c r="B67" s="8" t="n"/>
      <x:c r="C67" s="8" t="n"/>
      <x:c r="D67" s="8" t="n"/>
      <x:c r="E67" s="8" t="n"/>
      <x:c r="F67" s="8" t="n"/>
      <x:c r="G67" s="8" t="n"/>
    </x:row>
    <x:row r="68">
      <x:c r="A68" s="8" t="n"/>
      <x:c r="B68" s="8" t="n"/>
      <x:c r="C68" s="8" t="n"/>
      <x:c r="D68" s="8" t="n"/>
      <x:c r="E68" s="8" t="n"/>
      <x:c r="F68" s="8" t="n"/>
      <x:c r="G68" s="8" t="n"/>
    </x:row>
    <x:row r="69">
      <x:c r="A69" s="8" t="n"/>
      <x:c r="B69" s="8" t="n"/>
      <x:c r="C69" s="8" t="n"/>
      <x:c r="D69" s="8" t="n"/>
      <x:c r="E69" s="8" t="n"/>
      <x:c r="F69" s="8" t="n"/>
      <x:c r="G69" s="8" t="n"/>
    </x:row>
    <x:row r="70">
      <x:c r="A70" s="8" t="n"/>
      <x:c r="B70" s="8" t="n"/>
      <x:c r="C70" s="8" t="n"/>
      <x:c r="D70" s="8" t="n"/>
      <x:c r="E70" s="8" t="n"/>
      <x:c r="F70" s="8" t="n"/>
      <x:c r="G70" s="8" t="n"/>
    </x:row>
    <x:row r="71">
      <x:c r="A71" s="8" t="n"/>
      <x:c r="B71" s="8" t="n"/>
      <x:c r="C71" s="8" t="n"/>
      <x:c r="D71" s="8" t="n"/>
      <x:c r="E71" s="8" t="n"/>
      <x:c r="F71" s="8" t="n"/>
      <x:c r="G71" s="8" t="n"/>
    </x:row>
    <x:row r="72">
      <x:c r="A72" s="8" t="n"/>
      <x:c r="B72" s="8" t="n"/>
      <x:c r="C72" s="8" t="n"/>
      <x:c r="D72" s="8" t="n"/>
      <x:c r="E72" s="8" t="n"/>
      <x:c r="F72" s="8" t="n"/>
      <x:c r="G72" s="8" t="n"/>
    </x:row>
    <x:row r="73">
      <x:c r="A73" s="8" t="n"/>
      <x:c r="B73" s="8" t="n"/>
      <x:c r="C73" s="8" t="n"/>
      <x:c r="D73" s="8" t="n"/>
      <x:c r="E73" s="8" t="n"/>
      <x:c r="F73" s="8" t="n"/>
      <x:c r="G73" s="8" t="n"/>
    </x:row>
    <x:row r="74">
      <x:c r="A74" s="8" t="n"/>
      <x:c r="B74" s="8" t="n"/>
      <x:c r="C74" s="8" t="n"/>
      <x:c r="D74" s="8" t="n"/>
      <x:c r="E74" s="8" t="n"/>
      <x:c r="F74" s="8" t="n"/>
      <x:c r="G74" s="8" t="n"/>
    </x:row>
    <x:row r="75">
      <x:c r="A75" s="8" t="n"/>
      <x:c r="B75" s="8" t="n"/>
      <x:c r="C75" s="8" t="n"/>
      <x:c r="D75" s="8" t="n"/>
      <x:c r="E75" s="8" t="n"/>
      <x:c r="F75" s="8" t="n"/>
      <x:c r="G75" s="8" t="n"/>
    </x:row>
    <x:row r="76">
      <x:c r="A76" s="8" t="n"/>
      <x:c r="B76" s="8" t="n"/>
      <x:c r="C76" s="8" t="n"/>
      <x:c r="D76" s="8" t="n"/>
      <x:c r="E76" s="8" t="n"/>
      <x:c r="F76" s="8" t="n"/>
      <x:c r="G76" s="8" t="n"/>
    </x:row>
    <x:row r="77">
      <x:c r="A77" s="8" t="n"/>
      <x:c r="B77" s="8" t="n"/>
      <x:c r="C77" s="8" t="n"/>
      <x:c r="D77" s="8" t="n"/>
      <x:c r="E77" s="8" t="n"/>
      <x:c r="F77" s="8" t="n"/>
      <x:c r="G77" s="8" t="n"/>
    </x:row>
    <x:row r="78">
      <x:c r="A78" s="8" t="n"/>
      <x:c r="B78" s="8" t="n"/>
      <x:c r="C78" s="8" t="n"/>
      <x:c r="D78" s="8" t="n"/>
      <x:c r="E78" s="8" t="n"/>
      <x:c r="F78" s="8" t="n"/>
      <x:c r="G78" s="8" t="n"/>
    </x:row>
    <x:row r="79">
      <x:c r="A79" s="8" t="n"/>
      <x:c r="B79" s="8" t="n"/>
      <x:c r="C79" s="8" t="n"/>
      <x:c r="D79" s="8" t="n"/>
      <x:c r="E79" s="8" t="n"/>
      <x:c r="F79" s="8" t="n"/>
      <x:c r="G79" s="8" t="n"/>
    </x:row>
    <x:row r="80">
      <x:c r="A80" s="8" t="n"/>
      <x:c r="B80" s="8" t="n"/>
      <x:c r="C80" s="8" t="n"/>
      <x:c r="D80" s="8" t="n"/>
      <x:c r="E80" s="8" t="n"/>
      <x:c r="F80" s="8" t="n"/>
      <x:c r="G80" s="8" t="n"/>
    </x:row>
    <x:row r="81">
      <x:c r="A81" s="8" t="n"/>
      <x:c r="B81" s="8" t="n"/>
      <x:c r="C81" s="8" t="n"/>
      <x:c r="D81" s="8" t="n"/>
      <x:c r="E81" s="8" t="n"/>
      <x:c r="F81" s="8" t="n"/>
      <x:c r="G81" s="8" t="n"/>
    </x:row>
    <x:row r="82">
      <x:c r="A82" s="8" t="n"/>
      <x:c r="B82" s="8" t="n"/>
      <x:c r="C82" s="8" t="n"/>
      <x:c r="D82" s="8" t="n"/>
      <x:c r="E82" s="8" t="n"/>
      <x:c r="F82" s="8" t="n"/>
      <x:c r="G82" s="8" t="n"/>
    </x:row>
    <x:row r="83">
      <x:c r="A83" s="8" t="n"/>
      <x:c r="B83" s="8" t="n"/>
      <x:c r="C83" s="8" t="n"/>
      <x:c r="D83" s="8" t="n"/>
      <x:c r="E83" s="8" t="n"/>
      <x:c r="F83" s="8" t="n"/>
      <x:c r="G83" s="8" t="n"/>
    </x:row>
    <x:row r="84">
      <x:c r="A84" s="8" t="n"/>
      <x:c r="B84" s="8" t="n"/>
      <x:c r="C84" s="8" t="n"/>
      <x:c r="D84" s="8" t="n"/>
      <x:c r="E84" s="8" t="n"/>
      <x:c r="F84" s="8" t="n"/>
      <x:c r="G84" s="8" t="n"/>
    </x:row>
    <x:row r="85">
      <x:c r="A85" s="8" t="n"/>
      <x:c r="B85" s="8" t="n"/>
      <x:c r="C85" s="8" t="n"/>
      <x:c r="D85" s="8" t="n"/>
      <x:c r="E85" s="8" t="n"/>
      <x:c r="F85" s="8" t="n"/>
      <x:c r="G85" s="8" t="n"/>
    </x:row>
    <x:row r="86">
      <x:c r="A86" s="8" t="n"/>
      <x:c r="B86" s="8" t="n"/>
      <x:c r="C86" s="8" t="n"/>
      <x:c r="D86" s="8" t="n"/>
      <x:c r="E86" s="8" t="n"/>
      <x:c r="F86" s="8" t="n"/>
      <x:c r="G86" s="8" t="n"/>
    </x:row>
    <x:row r="87">
      <x:c r="A87" s="8" t="n"/>
      <x:c r="B87" s="8" t="n"/>
      <x:c r="C87" s="8" t="n"/>
      <x:c r="D87" s="8" t="n"/>
      <x:c r="E87" s="8" t="n"/>
      <x:c r="F87" s="8" t="n"/>
      <x:c r="G87" s="8" t="n"/>
    </x:row>
    <x:row r="88">
      <x:c r="A88" s="8" t="n"/>
      <x:c r="B88" s="8" t="n"/>
      <x:c r="C88" s="8" t="n"/>
      <x:c r="D88" s="8" t="n"/>
      <x:c r="E88" s="8" t="n"/>
      <x:c r="F88" s="8" t="n"/>
      <x:c r="G88" s="8" t="n"/>
    </x:row>
    <x:row r="89">
      <x:c r="A89" s="8" t="n"/>
      <x:c r="B89" s="8" t="n"/>
      <x:c r="C89" s="8" t="n"/>
      <x:c r="D89" s="8" t="n"/>
      <x:c r="E89" s="8" t="n"/>
      <x:c r="F89" s="8" t="n"/>
      <x:c r="G89" s="8" t="n"/>
    </x:row>
    <x:row r="90">
      <x:c r="A90" s="8" t="n"/>
      <x:c r="B90" s="8" t="n"/>
      <x:c r="C90" s="8" t="n"/>
      <x:c r="D90" s="8" t="n"/>
      <x:c r="E90" s="8" t="n"/>
      <x:c r="F90" s="8" t="n"/>
      <x:c r="G90" s="8" t="n"/>
    </x:row>
    <x:row r="91">
      <x:c r="A91" s="8" t="n"/>
      <x:c r="B91" s="8" t="n"/>
      <x:c r="C91" s="8" t="n"/>
      <x:c r="D91" s="8" t="n"/>
      <x:c r="E91" s="8" t="n"/>
      <x:c r="F91" s="8" t="n"/>
      <x:c r="G91" s="8" t="n"/>
    </x:row>
    <x:row r="92">
      <x:c r="A92" s="8" t="n"/>
      <x:c r="B92" s="8" t="n"/>
      <x:c r="C92" s="8" t="n"/>
      <x:c r="D92" s="8" t="n"/>
      <x:c r="E92" s="8" t="n"/>
      <x:c r="F92" s="8" t="n"/>
      <x:c r="G92" s="8" t="n"/>
    </x:row>
    <x:row r="93">
      <x:c r="A93" s="8" t="n"/>
      <x:c r="B93" s="8" t="n"/>
      <x:c r="C93" s="8" t="n"/>
      <x:c r="D93" s="8" t="n"/>
      <x:c r="E93" s="8" t="n"/>
      <x:c r="F93" s="8" t="n"/>
      <x:c r="G93" s="8" t="n"/>
    </x:row>
    <x:row r="94">
      <x:c r="A94" s="8" t="n"/>
      <x:c r="B94" s="8" t="n"/>
      <x:c r="C94" s="8" t="n"/>
      <x:c r="D94" s="8" t="n"/>
      <x:c r="E94" s="8" t="n"/>
      <x:c r="F94" s="8" t="n"/>
      <x:c r="G94" s="8" t="n"/>
    </x:row>
    <x:row r="95">
      <x:c r="A95" s="8" t="n"/>
      <x:c r="B95" s="8" t="n"/>
      <x:c r="C95" s="8" t="n"/>
      <x:c r="D95" s="8" t="n"/>
      <x:c r="E95" s="8" t="n"/>
      <x:c r="F95" s="8" t="n"/>
      <x:c r="G95" s="8" t="n"/>
    </x:row>
    <x:row r="96">
      <x:c r="A96" s="8" t="n"/>
      <x:c r="B96" s="8" t="n"/>
      <x:c r="C96" s="8" t="n"/>
      <x:c r="D96" s="8" t="n"/>
      <x:c r="E96" s="8" t="n"/>
      <x:c r="F96" s="8" t="n"/>
      <x:c r="G96" s="8" t="n"/>
    </x:row>
    <x:row r="97">
      <x:c r="A97" s="8" t="n"/>
      <x:c r="B97" s="8" t="n"/>
      <x:c r="C97" s="8" t="n"/>
      <x:c r="D97" s="8" t="n"/>
      <x:c r="E97" s="8" t="n"/>
      <x:c r="F97" s="8" t="n"/>
      <x:c r="G97" s="8" t="n"/>
    </x:row>
    <x:row r="98">
      <x:c r="A98" s="8" t="n"/>
      <x:c r="B98" s="8" t="n"/>
      <x:c r="C98" s="8" t="n"/>
      <x:c r="D98" s="8" t="n"/>
      <x:c r="E98" s="8" t="n"/>
      <x:c r="F98" s="8" t="n"/>
      <x:c r="G98" s="8" t="n"/>
    </x:row>
    <x:row r="99">
      <x:c r="A99" s="8" t="n"/>
      <x:c r="B99" s="8" t="n"/>
      <x:c r="C99" s="8" t="n"/>
      <x:c r="D99" s="8" t="n"/>
      <x:c r="E99" s="8" t="n"/>
      <x:c r="F99" s="8" t="n"/>
      <x:c r="G99" s="8" t="n"/>
    </x:row>
    <x:row r="100">
      <x:c r="A100" s="8" t="n"/>
      <x:c r="B100" s="8" t="n"/>
      <x:c r="C100" s="8" t="n"/>
      <x:c r="D100" s="8" t="n"/>
      <x:c r="E100" s="8" t="n"/>
      <x:c r="F100" s="8" t="n"/>
      <x:c r="G100" s="8" t="n"/>
    </x:row>
    <x:row r="101">
      <x:c r="A101" s="8" t="n"/>
      <x:c r="B101" s="8" t="n"/>
      <x:c r="C101" s="8" t="n"/>
      <x:c r="D101" s="8" t="n"/>
      <x:c r="E101" s="8" t="n"/>
      <x:c r="F101" s="8" t="n"/>
      <x:c r="G101" s="8" t="n"/>
    </x:row>
    <x:row r="102">
      <x:c r="A102" s="8" t="n"/>
      <x:c r="B102" s="8" t="n"/>
      <x:c r="C102" s="8" t="n"/>
      <x:c r="D102" s="8" t="n"/>
      <x:c r="E102" s="8" t="n"/>
      <x:c r="F102" s="8" t="n"/>
      <x:c r="G102" s="8" t="n"/>
    </x:row>
    <x:row r="103">
      <x:c r="A103" s="8" t="n"/>
      <x:c r="B103" s="8" t="n"/>
      <x:c r="C103" s="8" t="n"/>
      <x:c r="D103" s="8" t="n"/>
      <x:c r="E103" s="8" t="n"/>
      <x:c r="F103" s="8" t="n"/>
      <x:c r="G103" s="8" t="n"/>
    </x:row>
    <x:row r="104">
      <x:c r="A104" s="8" t="n"/>
      <x:c r="B104" s="8" t="n"/>
      <x:c r="C104" s="8" t="n"/>
      <x:c r="D104" s="8" t="n"/>
      <x:c r="E104" s="8" t="n"/>
      <x:c r="F104" s="8" t="n"/>
      <x:c r="G104" s="8" t="n"/>
    </x:row>
    <x:row r="105">
      <x:c r="A105" s="8" t="n"/>
      <x:c r="B105" s="8" t="n"/>
      <x:c r="C105" s="8" t="n"/>
      <x:c r="D105" s="8" t="n"/>
      <x:c r="E105" s="8" t="n"/>
      <x:c r="F105" s="8" t="n"/>
      <x:c r="G105" s="8" t="n"/>
    </x:row>
    <x:row r="106">
      <x:c r="A106" s="8" t="n"/>
      <x:c r="B106" s="8" t="n"/>
      <x:c r="C106" s="8" t="n"/>
      <x:c r="D106" s="8" t="n"/>
      <x:c r="E106" s="8" t="n"/>
      <x:c r="F106" s="8" t="n"/>
      <x:c r="G106" s="8" t="n"/>
    </x:row>
    <x:row r="107">
      <x:c r="A107" s="8" t="n"/>
      <x:c r="B107" s="8" t="n"/>
      <x:c r="C107" s="8" t="n"/>
      <x:c r="D107" s="8" t="n"/>
      <x:c r="E107" s="8" t="n"/>
      <x:c r="F107" s="8" t="n"/>
      <x:c r="G107" s="8" t="n"/>
    </x:row>
    <x:row r="108">
      <x:c r="A108" s="8" t="n"/>
      <x:c r="B108" s="8" t="n"/>
      <x:c r="C108" s="8" t="n"/>
      <x:c r="D108" s="8" t="n"/>
      <x:c r="E108" s="8" t="n"/>
      <x:c r="F108" s="8" t="n"/>
      <x:c r="G108" s="8" t="n"/>
    </x:row>
    <x:row r="109">
      <x:c r="A109" s="8" t="n"/>
      <x:c r="B109" s="8" t="n"/>
      <x:c r="C109" s="8" t="n"/>
      <x:c r="D109" s="8" t="n"/>
      <x:c r="E109" s="8" t="n"/>
      <x:c r="F109" s="8" t="n"/>
      <x:c r="G109" s="8" t="n"/>
    </x:row>
    <x:row r="110">
      <x:c r="A110" s="8" t="n"/>
      <x:c r="B110" s="8" t="n"/>
      <x:c r="C110" s="8" t="n"/>
      <x:c r="D110" s="8" t="n"/>
      <x:c r="E110" s="8" t="n"/>
      <x:c r="F110" s="8" t="n"/>
      <x:c r="G110" s="8" t="n"/>
    </x:row>
    <x:row r="111">
      <x:c r="A111" s="8" t="n"/>
      <x:c r="B111" s="8" t="n"/>
      <x:c r="C111" s="8" t="n"/>
      <x:c r="D111" s="8" t="n"/>
      <x:c r="E111" s="8" t="n"/>
      <x:c r="F111" s="8" t="n"/>
      <x:c r="G111" s="8" t="n"/>
    </x:row>
    <x:row r="112">
      <x:c r="A112" s="8" t="n"/>
      <x:c r="B112" s="8" t="n"/>
      <x:c r="C112" s="8" t="n"/>
      <x:c r="D112" s="8" t="n"/>
      <x:c r="E112" s="8" t="n"/>
      <x:c r="F112" s="8" t="n"/>
      <x:c r="G112" s="8" t="n"/>
    </x:row>
    <x:row r="113">
      <x:c r="A113" s="8" t="n"/>
      <x:c r="B113" s="8" t="n"/>
      <x:c r="C113" s="8" t="n"/>
      <x:c r="D113" s="8" t="n"/>
      <x:c r="E113" s="8" t="n"/>
      <x:c r="F113" s="8" t="n"/>
      <x:c r="G113" s="8" t="n"/>
    </x:row>
    <x:row r="114">
      <x:c r="A114" s="8" t="n"/>
      <x:c r="B114" s="8" t="n"/>
      <x:c r="C114" s="8" t="n"/>
      <x:c r="D114" s="8" t="n"/>
      <x:c r="E114" s="8" t="n"/>
      <x:c r="F114" s="8" t="n"/>
      <x:c r="G114" s="8" t="n"/>
    </x:row>
    <x:row r="115">
      <x:c r="A115" s="8" t="n"/>
      <x:c r="B115" s="8" t="n"/>
      <x:c r="C115" s="8" t="n"/>
      <x:c r="D115" s="8" t="n"/>
      <x:c r="E115" s="8" t="n"/>
      <x:c r="F115" s="8" t="n"/>
      <x:c r="G115" s="8" t="n"/>
    </x:row>
    <x:row r="116">
      <x:c r="A116" s="8" t="n"/>
      <x:c r="B116" s="8" t="n"/>
      <x:c r="C116" s="8" t="n"/>
      <x:c r="D116" s="8" t="n"/>
      <x:c r="E116" s="8" t="n"/>
      <x:c r="F116" s="8" t="n"/>
      <x:c r="G116" s="8" t="n"/>
    </x:row>
    <x:row r="117">
      <x:c r="A117" s="8" t="n"/>
      <x:c r="B117" s="8" t="n"/>
      <x:c r="C117" s="8" t="n"/>
      <x:c r="D117" s="8" t="n"/>
      <x:c r="E117" s="8" t="n"/>
      <x:c r="F117" s="8" t="n"/>
      <x:c r="G117" s="8" t="n"/>
    </x:row>
    <x:row r="118">
      <x:c r="A118" s="8" t="n"/>
      <x:c r="B118" s="8" t="n"/>
      <x:c r="C118" s="8" t="n"/>
      <x:c r="D118" s="8" t="n"/>
      <x:c r="E118" s="8" t="n"/>
      <x:c r="F118" s="8" t="n"/>
      <x:c r="G118" s="8" t="n"/>
    </x:row>
    <x:row r="119">
      <x:c r="A119" s="8" t="n"/>
      <x:c r="B119" s="8" t="n"/>
      <x:c r="C119" s="8" t="n"/>
      <x:c r="D119" s="8" t="n"/>
      <x:c r="E119" s="8" t="n"/>
      <x:c r="F119" s="8" t="n"/>
      <x:c r="G119" s="8" t="n"/>
    </x:row>
    <x:row r="120">
      <x:c r="A120" s="8" t="n"/>
      <x:c r="B120" s="8" t="n"/>
      <x:c r="C120" s="8" t="n"/>
      <x:c r="D120" s="8" t="n"/>
      <x:c r="E120" s="8" t="n"/>
      <x:c r="F120" s="8" t="n"/>
      <x:c r="G120" s="8" t="n"/>
    </x:row>
    <x:row r="121">
      <x:c r="A121" s="8" t="n"/>
      <x:c r="B121" s="8" t="n"/>
      <x:c r="C121" s="8" t="n"/>
      <x:c r="D121" s="8" t="n"/>
      <x:c r="E121" s="8" t="n"/>
      <x:c r="F121" s="8" t="n"/>
      <x:c r="G121" s="8" t="n"/>
    </x:row>
    <x:row r="122">
      <x:c r="A122" s="8" t="n"/>
      <x:c r="B122" s="8" t="n"/>
      <x:c r="C122" s="8" t="n"/>
      <x:c r="D122" s="8" t="n"/>
      <x:c r="E122" s="8" t="n"/>
      <x:c r="F122" s="8" t="n"/>
      <x:c r="G122" s="8" t="n"/>
    </x:row>
    <x:row r="123">
      <x:c r="A123" s="8" t="n"/>
      <x:c r="B123" s="8" t="n"/>
      <x:c r="C123" s="8" t="n"/>
      <x:c r="D123" s="8" t="n"/>
      <x:c r="E123" s="8" t="n"/>
      <x:c r="F123" s="8" t="n"/>
      <x:c r="G123" s="8" t="n"/>
    </x:row>
    <x:row r="124">
      <x:c r="A124" s="8" t="n"/>
      <x:c r="B124" s="8" t="n"/>
      <x:c r="C124" s="8" t="n"/>
      <x:c r="D124" s="8" t="n"/>
      <x:c r="E124" s="8" t="n"/>
      <x:c r="F124" s="8" t="n"/>
      <x:c r="G124" s="8" t="n"/>
    </x:row>
    <x:row r="125">
      <x:c r="A125" s="8" t="n"/>
      <x:c r="B125" s="8" t="n"/>
      <x:c r="C125" s="8" t="n"/>
      <x:c r="D125" s="8" t="n"/>
      <x:c r="E125" s="8" t="n"/>
      <x:c r="F125" s="8" t="n"/>
      <x:c r="G125" s="8" t="n"/>
    </x:row>
    <x:row r="126">
      <x:c r="A126" s="8" t="n"/>
      <x:c r="B126" s="8" t="n"/>
      <x:c r="C126" s="8" t="n"/>
      <x:c r="D126" s="8" t="n"/>
      <x:c r="E126" s="8" t="n"/>
      <x:c r="F126" s="8" t="n"/>
      <x:c r="G126" s="8" t="n"/>
    </x:row>
    <x:row r="127">
      <x:c r="A127" s="8" t="n"/>
      <x:c r="B127" s="8" t="n"/>
      <x:c r="C127" s="8" t="n"/>
      <x:c r="D127" s="8" t="n"/>
      <x:c r="E127" s="8" t="n"/>
      <x:c r="F127" s="8" t="n"/>
      <x:c r="G127" s="8" t="n"/>
    </x:row>
    <x:row r="128">
      <x:c r="A128" s="8" t="n"/>
      <x:c r="B128" s="8" t="n"/>
      <x:c r="C128" s="8" t="n"/>
      <x:c r="D128" s="8" t="n"/>
      <x:c r="E128" s="8" t="n"/>
      <x:c r="F128" s="8" t="n"/>
      <x:c r="G128" s="8" t="n"/>
    </x:row>
    <x:row r="129">
      <x:c r="A129" s="8" t="n"/>
      <x:c r="B129" s="8" t="n"/>
      <x:c r="C129" s="8" t="n"/>
      <x:c r="D129" s="8" t="n"/>
      <x:c r="E129" s="8" t="n"/>
      <x:c r="F129" s="8" t="n"/>
      <x:c r="G129" s="8" t="n"/>
    </x:row>
    <x:row r="130">
      <x:c r="A130" s="8" t="n"/>
      <x:c r="B130" s="8" t="n"/>
      <x:c r="C130" s="8" t="n"/>
      <x:c r="D130" s="8" t="n"/>
      <x:c r="E130" s="8" t="n"/>
      <x:c r="F130" s="8" t="n"/>
      <x:c r="G130" s="8" t="n"/>
    </x:row>
    <x:row r="131">
      <x:c r="A131" s="8" t="n"/>
      <x:c r="B131" s="8" t="n"/>
      <x:c r="C131" s="8" t="n"/>
      <x:c r="D131" s="8" t="n"/>
      <x:c r="E131" s="8" t="n"/>
      <x:c r="F131" s="8" t="n"/>
      <x:c r="G131" s="8" t="n"/>
    </x:row>
    <x:row r="132">
      <x:c r="A132" s="8" t="n"/>
      <x:c r="B132" s="8" t="n"/>
      <x:c r="C132" s="8" t="n"/>
      <x:c r="D132" s="8" t="n"/>
      <x:c r="E132" s="8" t="n"/>
      <x:c r="F132" s="8" t="n"/>
      <x:c r="G132" s="8" t="n"/>
    </x:row>
    <x:row r="133">
      <x:c r="A133" s="8" t="n"/>
      <x:c r="B133" s="8" t="n"/>
      <x:c r="C133" s="8" t="n"/>
      <x:c r="D133" s="8" t="n"/>
      <x:c r="E133" s="8" t="n"/>
      <x:c r="F133" s="8" t="n"/>
      <x:c r="G133" s="8" t="n"/>
    </x:row>
    <x:row r="134">
      <x:c r="A134" s="8" t="n"/>
      <x:c r="B134" s="8" t="n"/>
      <x:c r="C134" s="8" t="n"/>
      <x:c r="D134" s="8" t="n"/>
      <x:c r="E134" s="8" t="n"/>
      <x:c r="F134" s="8" t="n"/>
      <x:c r="G134" s="8" t="n"/>
    </x:row>
    <x:row r="135">
      <x:c r="A135" s="8" t="n"/>
      <x:c r="B135" s="8" t="n"/>
      <x:c r="C135" s="8" t="n"/>
      <x:c r="D135" s="8" t="n"/>
      <x:c r="E135" s="8" t="n"/>
      <x:c r="F135" s="8" t="n"/>
      <x:c r="G135" s="8" t="n"/>
    </x:row>
    <x:row r="136">
      <x:c r="A136" s="8" t="n"/>
      <x:c r="B136" s="8" t="n"/>
      <x:c r="C136" s="8" t="n"/>
      <x:c r="D136" s="8" t="n"/>
      <x:c r="E136" s="8" t="n"/>
      <x:c r="F136" s="8" t="n"/>
      <x:c r="G136" s="8" t="n"/>
    </x:row>
    <x:row r="137">
      <x:c r="A137" s="8" t="n"/>
      <x:c r="B137" s="8" t="n"/>
      <x:c r="C137" s="8" t="n"/>
      <x:c r="D137" s="8" t="n"/>
      <x:c r="E137" s="8" t="n"/>
      <x:c r="F137" s="8" t="n"/>
      <x:c r="G137" s="8" t="n"/>
    </x:row>
    <x:row r="138">
      <x:c r="A138" s="8" t="n"/>
      <x:c r="B138" s="8" t="n"/>
      <x:c r="C138" s="8" t="n"/>
      <x:c r="D138" s="8" t="n"/>
      <x:c r="E138" s="8" t="n"/>
      <x:c r="F138" s="8" t="n"/>
      <x:c r="G138" s="8" t="n"/>
    </x:row>
    <x:row r="139">
      <x:c r="A139" s="8" t="n"/>
      <x:c r="B139" s="8" t="n"/>
      <x:c r="C139" s="8" t="n"/>
      <x:c r="D139" s="8" t="n"/>
      <x:c r="E139" s="8" t="n"/>
      <x:c r="F139" s="8" t="n"/>
      <x:c r="G139" s="8" t="n"/>
    </x:row>
    <x:row r="140">
      <x:c r="A140" s="8" t="n"/>
      <x:c r="B140" s="8" t="n"/>
      <x:c r="C140" s="8" t="n"/>
      <x:c r="D140" s="8" t="n"/>
      <x:c r="E140" s="8" t="n"/>
      <x:c r="F140" s="8" t="n"/>
      <x:c r="G140" s="8" t="n"/>
    </x:row>
    <x:row r="141">
      <x:c r="A141" s="8" t="n"/>
      <x:c r="B141" s="8" t="n"/>
      <x:c r="C141" s="8" t="n"/>
      <x:c r="D141" s="8" t="n"/>
      <x:c r="E141" s="8" t="n"/>
      <x:c r="F141" s="8" t="n"/>
      <x:c r="G141" s="8" t="n"/>
    </x:row>
    <x:row r="142">
      <x:c r="A142" s="8" t="n"/>
      <x:c r="B142" s="8" t="n"/>
      <x:c r="C142" s="8" t="n"/>
      <x:c r="D142" s="8" t="n"/>
      <x:c r="E142" s="8" t="n"/>
      <x:c r="F142" s="8" t="n"/>
      <x:c r="G142" s="8" t="n"/>
    </x:row>
    <x:row r="143">
      <x:c r="A143" s="8" t="n"/>
      <x:c r="B143" s="8" t="n"/>
      <x:c r="C143" s="8" t="n"/>
      <x:c r="D143" s="8" t="n"/>
      <x:c r="E143" s="8" t="n"/>
      <x:c r="F143" s="8" t="n"/>
      <x:c r="G143" s="8" t="n"/>
    </x:row>
    <x:row r="144">
      <x:c r="A144" s="8" t="n"/>
      <x:c r="B144" s="8" t="n"/>
      <x:c r="C144" s="8" t="n"/>
      <x:c r="D144" s="8" t="n"/>
      <x:c r="E144" s="8" t="n"/>
      <x:c r="F144" s="8" t="n"/>
      <x:c r="G144" s="8" t="n"/>
    </x:row>
    <x:row r="145">
      <x:c r="A145" s="8" t="n"/>
      <x:c r="B145" s="8" t="n"/>
      <x:c r="C145" s="8" t="n"/>
      <x:c r="D145" s="8" t="n"/>
      <x:c r="E145" s="8" t="n"/>
      <x:c r="F145" s="8" t="n"/>
      <x:c r="G145" s="8" t="n"/>
    </x:row>
    <x:row r="146">
      <x:c r="A146" s="8" t="n"/>
      <x:c r="B146" s="8" t="n"/>
      <x:c r="C146" s="8" t="n"/>
      <x:c r="D146" s="8" t="n"/>
      <x:c r="E146" s="8" t="n"/>
      <x:c r="F146" s="8" t="n"/>
      <x:c r="G146" s="8" t="n"/>
    </x:row>
    <x:row r="147">
      <x:c r="A147" s="8" t="n"/>
      <x:c r="B147" s="8" t="n"/>
      <x:c r="C147" s="8" t="n"/>
      <x:c r="D147" s="8" t="n"/>
      <x:c r="E147" s="8" t="n"/>
      <x:c r="F147" s="8" t="n"/>
      <x:c r="G147" s="8" t="n"/>
    </x:row>
    <x:row r="148">
      <x:c r="A148" s="8" t="n"/>
      <x:c r="B148" s="8" t="n"/>
      <x:c r="C148" s="8" t="n"/>
      <x:c r="D148" s="8" t="n"/>
      <x:c r="E148" s="8" t="n"/>
      <x:c r="F148" s="8" t="n"/>
      <x:c r="G148" s="8" t="n"/>
    </x:row>
    <x:row r="149">
      <x:c r="A149" s="8" t="n"/>
      <x:c r="B149" s="8" t="n"/>
      <x:c r="C149" s="8" t="n"/>
      <x:c r="D149" s="8" t="n"/>
      <x:c r="E149" s="8" t="n"/>
      <x:c r="F149" s="8" t="n"/>
      <x:c r="G149" s="8" t="n"/>
    </x:row>
    <x:row r="150">
      <x:c r="A150" s="8" t="n"/>
      <x:c r="B150" s="8" t="n"/>
      <x:c r="C150" s="8" t="n"/>
      <x:c r="D150" s="8" t="n"/>
      <x:c r="E150" s="8" t="n"/>
      <x:c r="F150" s="8" t="n"/>
      <x:c r="G150" s="8" t="n"/>
    </x:row>
    <x:row r="151">
      <x:c r="A151" s="8" t="n"/>
      <x:c r="B151" s="8" t="n"/>
      <x:c r="C151" s="8" t="n"/>
      <x:c r="D151" s="8" t="n"/>
      <x:c r="E151" s="8" t="n"/>
      <x:c r="F151" s="8" t="n"/>
      <x:c r="G151" s="8" t="n"/>
    </x:row>
    <x:row r="152">
      <x:c r="A152" s="8" t="n"/>
      <x:c r="B152" s="8" t="n"/>
      <x:c r="C152" s="8" t="n"/>
      <x:c r="D152" s="8" t="n"/>
      <x:c r="E152" s="8" t="n"/>
      <x:c r="F152" s="8" t="n"/>
      <x:c r="G152" s="8" t="n"/>
    </x:row>
    <x:row r="153">
      <x:c r="A153" s="8" t="n"/>
      <x:c r="B153" s="8" t="n"/>
      <x:c r="C153" s="8" t="n"/>
      <x:c r="D153" s="8" t="n"/>
      <x:c r="E153" s="8" t="n"/>
      <x:c r="F153" s="8" t="n"/>
      <x:c r="G153" s="8" t="n"/>
    </x:row>
    <x:row r="154">
      <x:c r="A154" s="8" t="n"/>
      <x:c r="B154" s="8" t="n"/>
      <x:c r="C154" s="8" t="n"/>
      <x:c r="D154" s="8" t="n"/>
      <x:c r="E154" s="8" t="n"/>
      <x:c r="F154" s="8" t="n"/>
      <x:c r="G154" s="8" t="n"/>
    </x:row>
    <x:row r="155">
      <x:c r="A155" s="8" t="n"/>
      <x:c r="B155" s="8" t="n"/>
      <x:c r="C155" s="8" t="n"/>
      <x:c r="D155" s="8" t="n"/>
      <x:c r="E155" s="8" t="n"/>
      <x:c r="F155" s="8" t="n"/>
      <x:c r="G155" s="8" t="n"/>
    </x:row>
    <x:row r="156">
      <x:c r="A156" s="8" t="n"/>
      <x:c r="B156" s="8" t="n"/>
      <x:c r="C156" s="8" t="n"/>
      <x:c r="D156" s="8" t="n"/>
      <x:c r="E156" s="8" t="n"/>
      <x:c r="F156" s="8" t="n"/>
      <x:c r="G156" s="8" t="n"/>
    </x:row>
    <x:row r="157">
      <x:c r="A157" s="8" t="n"/>
      <x:c r="B157" s="8" t="n"/>
      <x:c r="C157" s="8" t="n"/>
      <x:c r="D157" s="8" t="n"/>
      <x:c r="E157" s="8" t="n"/>
      <x:c r="F157" s="8" t="n"/>
      <x:c r="G157" s="8" t="n"/>
    </x:row>
    <x:row r="158">
      <x:c r="A158" s="8" t="n"/>
      <x:c r="B158" s="8" t="n"/>
      <x:c r="C158" s="8" t="n"/>
      <x:c r="D158" s="8" t="n"/>
      <x:c r="E158" s="8" t="n"/>
      <x:c r="F158" s="8" t="n"/>
      <x:c r="G158" s="8" t="n"/>
    </x:row>
    <x:row r="159">
      <x:c r="A159" s="8" t="n"/>
      <x:c r="B159" s="8" t="n"/>
      <x:c r="C159" s="8" t="n"/>
      <x:c r="D159" s="8" t="n"/>
      <x:c r="E159" s="8" t="n"/>
      <x:c r="F159" s="8" t="n"/>
      <x:c r="G159" s="8" t="n"/>
    </x:row>
    <x:row r="160">
      <x:c r="A160" s="8" t="n"/>
      <x:c r="B160" s="8" t="n"/>
      <x:c r="C160" s="8" t="n"/>
      <x:c r="D160" s="8" t="n"/>
      <x:c r="E160" s="8" t="n"/>
      <x:c r="F160" s="8" t="n"/>
      <x:c r="G160" s="8" t="n"/>
    </x:row>
    <x:row r="161">
      <x:c r="A161" s="8" t="n"/>
      <x:c r="B161" s="8" t="n"/>
      <x:c r="C161" s="8" t="n"/>
      <x:c r="D161" s="8" t="n"/>
      <x:c r="E161" s="8" t="n"/>
      <x:c r="F161" s="8" t="n"/>
      <x:c r="G161" s="8" t="n"/>
    </x:row>
    <x:row r="162">
      <x:c r="A162" s="8" t="n"/>
      <x:c r="B162" s="8" t="n"/>
      <x:c r="C162" s="8" t="n"/>
      <x:c r="D162" s="8" t="n"/>
      <x:c r="E162" s="8" t="n"/>
      <x:c r="F162" s="8" t="n"/>
      <x:c r="G162" s="8" t="n"/>
    </x:row>
    <x:row r="163">
      <x:c r="A163" s="8" t="n"/>
      <x:c r="B163" s="8" t="n"/>
      <x:c r="C163" s="8" t="n"/>
      <x:c r="D163" s="8" t="n"/>
      <x:c r="E163" s="8" t="n"/>
      <x:c r="F163" s="8" t="n"/>
      <x:c r="G163" s="8" t="n"/>
    </x:row>
    <x:row r="164">
      <x:c r="A164" s="8" t="n"/>
      <x:c r="B164" s="8" t="n"/>
      <x:c r="C164" s="8" t="n"/>
      <x:c r="D164" s="8" t="n"/>
      <x:c r="E164" s="8" t="n"/>
      <x:c r="F164" s="8" t="n"/>
      <x:c r="G164" s="8" t="n"/>
    </x:row>
    <x:row r="165">
      <x:c r="A165" s="8" t="n"/>
      <x:c r="B165" s="8" t="n"/>
      <x:c r="C165" s="8" t="n"/>
      <x:c r="D165" s="8" t="n"/>
      <x:c r="E165" s="8" t="n"/>
      <x:c r="F165" s="8" t="n"/>
      <x:c r="G165" s="8" t="n"/>
    </x:row>
    <x:row r="166">
      <x:c r="A166" s="8" t="n"/>
      <x:c r="B166" s="8" t="n"/>
      <x:c r="C166" s="8" t="n"/>
      <x:c r="D166" s="8" t="n"/>
      <x:c r="E166" s="8" t="n"/>
      <x:c r="F166" s="8" t="n"/>
      <x:c r="G166" s="8" t="n"/>
    </x:row>
    <x:row r="167">
      <x:c r="A167" s="8" t="n"/>
      <x:c r="B167" s="8" t="n"/>
      <x:c r="C167" s="8" t="n"/>
      <x:c r="D167" s="8" t="n"/>
      <x:c r="E167" s="8" t="n"/>
      <x:c r="F167" s="8" t="n"/>
      <x:c r="G167" s="8" t="n"/>
    </x:row>
    <x:row r="168">
      <x:c r="A168" s="8" t="n"/>
      <x:c r="B168" s="8" t="n"/>
      <x:c r="C168" s="8" t="n"/>
      <x:c r="D168" s="8" t="n"/>
      <x:c r="E168" s="8" t="n"/>
      <x:c r="F168" s="8" t="n"/>
      <x:c r="G168" s="8" t="n"/>
    </x:row>
    <x:row r="169">
      <x:c r="A169" s="8" t="n"/>
      <x:c r="B169" s="8" t="n"/>
      <x:c r="C169" s="8" t="n"/>
      <x:c r="D169" s="8" t="n"/>
      <x:c r="E169" s="8" t="n"/>
      <x:c r="F169" s="8" t="n"/>
      <x:c r="G169" s="8" t="n"/>
    </x:row>
    <x:row r="170">
      <x:c r="A170" s="8" t="n"/>
      <x:c r="B170" s="8" t="n"/>
      <x:c r="C170" s="8" t="n"/>
      <x:c r="D170" s="8" t="n"/>
      <x:c r="E170" s="8" t="n"/>
      <x:c r="F170" s="8" t="n"/>
      <x:c r="G170" s="8" t="n"/>
    </x:row>
    <x:row r="171">
      <x:c r="A171" s="8" t="n"/>
      <x:c r="B171" s="8" t="n"/>
      <x:c r="C171" s="8" t="n"/>
      <x:c r="D171" s="8" t="n"/>
      <x:c r="E171" s="8" t="n"/>
      <x:c r="F171" s="8" t="n"/>
      <x:c r="G171" s="8" t="n"/>
    </x:row>
    <x:row r="172">
      <x:c r="A172" s="8" t="n"/>
      <x:c r="B172" s="8" t="n"/>
      <x:c r="C172" s="8" t="n"/>
      <x:c r="D172" s="8" t="n"/>
      <x:c r="E172" s="8" t="n"/>
      <x:c r="F172" s="8" t="n"/>
      <x:c r="G172" s="8" t="n"/>
    </x:row>
    <x:row r="173">
      <x:c r="A173" s="8" t="n"/>
      <x:c r="B173" s="8" t="n"/>
      <x:c r="C173" s="8" t="n"/>
      <x:c r="D173" s="8" t="n"/>
      <x:c r="E173" s="8" t="n"/>
      <x:c r="F173" s="8" t="n"/>
      <x:c r="G173" s="8" t="n"/>
    </x:row>
    <x:row r="174">
      <x:c r="A174" s="8" t="n"/>
      <x:c r="B174" s="8" t="n"/>
      <x:c r="C174" s="8" t="n"/>
      <x:c r="D174" s="8" t="n"/>
      <x:c r="E174" s="8" t="n"/>
      <x:c r="F174" s="8" t="n"/>
      <x:c r="G174" s="8" t="n"/>
    </x:row>
    <x:row r="175">
      <x:c r="A175" s="8" t="n"/>
      <x:c r="B175" s="8" t="n"/>
      <x:c r="C175" s="8" t="n"/>
      <x:c r="D175" s="8" t="n"/>
      <x:c r="E175" s="8" t="n"/>
      <x:c r="F175" s="8" t="n"/>
      <x:c r="G175" s="8" t="n"/>
    </x:row>
    <x:row r="176">
      <x:c r="A176" s="8" t="n"/>
      <x:c r="B176" s="8" t="n"/>
      <x:c r="C176" s="8" t="n"/>
      <x:c r="D176" s="8" t="n"/>
      <x:c r="E176" s="8" t="n"/>
      <x:c r="F176" s="8" t="n"/>
      <x:c r="G176" s="8" t="n"/>
    </x:row>
    <x:row r="177">
      <x:c r="A177" s="8" t="n"/>
      <x:c r="B177" s="8" t="n"/>
      <x:c r="C177" s="8" t="n"/>
      <x:c r="D177" s="8" t="n"/>
      <x:c r="E177" s="8" t="n"/>
      <x:c r="F177" s="8" t="n"/>
      <x:c r="G177" s="8" t="n"/>
    </x:row>
    <x:row r="178">
      <x:c r="A178" s="8" t="n"/>
      <x:c r="B178" s="8" t="n"/>
      <x:c r="C178" s="8" t="n"/>
      <x:c r="D178" s="8" t="n"/>
      <x:c r="E178" s="8" t="n"/>
      <x:c r="F178" s="8" t="n"/>
      <x:c r="G178" s="8" t="n"/>
    </x:row>
    <x:row r="179">
      <x:c r="A179" s="8" t="n"/>
      <x:c r="B179" s="8" t="n"/>
      <x:c r="C179" s="8" t="n"/>
      <x:c r="D179" s="8" t="n"/>
      <x:c r="E179" s="8" t="n"/>
      <x:c r="F179" s="8" t="n"/>
      <x:c r="G179" s="8" t="n"/>
    </x:row>
    <x:row r="180">
      <x:c r="A180" s="8" t="n"/>
      <x:c r="B180" s="8" t="n"/>
      <x:c r="C180" s="8" t="n"/>
      <x:c r="D180" s="8" t="n"/>
      <x:c r="E180" s="8" t="n"/>
      <x:c r="F180" s="8" t="n"/>
      <x:c r="G180" s="8" t="n"/>
    </x:row>
    <x:row r="181">
      <x:c r="A181" s="8" t="n"/>
      <x:c r="B181" s="8" t="n"/>
      <x:c r="C181" s="8" t="n"/>
      <x:c r="D181" s="8" t="n"/>
      <x:c r="E181" s="8" t="n"/>
      <x:c r="F181" s="8" t="n"/>
      <x:c r="G181" s="8" t="n"/>
    </x:row>
    <x:row r="182">
      <x:c r="A182" s="8" t="n"/>
      <x:c r="B182" s="8" t="n"/>
      <x:c r="C182" s="8" t="n"/>
      <x:c r="D182" s="8" t="n"/>
      <x:c r="E182" s="8" t="n"/>
      <x:c r="F182" s="8" t="n"/>
      <x:c r="G182" s="8" t="n"/>
    </x:row>
    <x:row r="183">
      <x:c r="A183" s="8" t="n"/>
      <x:c r="B183" s="8" t="n"/>
      <x:c r="C183" s="8" t="n"/>
      <x:c r="D183" s="8" t="n"/>
      <x:c r="E183" s="8" t="n"/>
      <x:c r="F183" s="8" t="n"/>
      <x:c r="G183" s="8" t="n"/>
    </x:row>
    <x:row r="184">
      <x:c r="A184" s="8" t="n"/>
      <x:c r="B184" s="8" t="n"/>
      <x:c r="C184" s="8" t="n"/>
      <x:c r="D184" s="8" t="n"/>
      <x:c r="E184" s="8" t="n"/>
      <x:c r="F184" s="8" t="n"/>
      <x:c r="G184" s="8" t="n"/>
    </x:row>
    <x:row r="185">
      <x:c r="A185" s="8" t="n"/>
      <x:c r="B185" s="8" t="n"/>
      <x:c r="C185" s="8" t="n"/>
      <x:c r="D185" s="8" t="n"/>
      <x:c r="E185" s="8" t="n"/>
      <x:c r="F185" s="8" t="n"/>
      <x:c r="G185" s="8" t="n"/>
    </x:row>
    <x:row r="186">
      <x:c r="A186" s="8" t="n"/>
      <x:c r="B186" s="8" t="n"/>
      <x:c r="C186" s="8" t="n"/>
      <x:c r="D186" s="8" t="n"/>
      <x:c r="E186" s="8" t="n"/>
      <x:c r="F186" s="8" t="n"/>
      <x:c r="G186" s="8" t="n"/>
    </x:row>
    <x:row r="187">
      <x:c r="A187" s="8" t="n"/>
      <x:c r="B187" s="8" t="n"/>
      <x:c r="C187" s="8" t="n"/>
      <x:c r="D187" s="8" t="n"/>
      <x:c r="E187" s="8" t="n"/>
      <x:c r="F187" s="8" t="n"/>
      <x:c r="G187" s="8" t="n"/>
    </x:row>
    <x:row r="188">
      <x:c r="A188" s="8" t="n"/>
      <x:c r="B188" s="8" t="n"/>
      <x:c r="C188" s="8" t="n"/>
      <x:c r="D188" s="8" t="n"/>
      <x:c r="E188" s="8" t="n"/>
      <x:c r="F188" s="8" t="n"/>
      <x:c r="G188" s="8" t="n"/>
    </x:row>
    <x:row r="189">
      <x:c r="A189" s="8" t="n"/>
      <x:c r="B189" s="8" t="n"/>
      <x:c r="C189" s="8" t="n"/>
      <x:c r="D189" s="8" t="n"/>
      <x:c r="E189" s="8" t="n"/>
      <x:c r="F189" s="8" t="n"/>
      <x:c r="G189" s="8" t="n"/>
    </x:row>
    <x:row r="190">
      <x:c r="A190" s="8" t="n"/>
      <x:c r="B190" s="8" t="n"/>
      <x:c r="C190" s="8" t="n"/>
      <x:c r="D190" s="8" t="n"/>
      <x:c r="E190" s="8" t="n"/>
      <x:c r="F190" s="8" t="n"/>
      <x:c r="G190" s="8" t="n"/>
    </x:row>
    <x:row r="191">
      <x:c r="A191" s="8" t="n"/>
      <x:c r="B191" s="8" t="n"/>
      <x:c r="C191" s="8" t="n"/>
      <x:c r="D191" s="8" t="n"/>
      <x:c r="E191" s="8" t="n"/>
      <x:c r="F191" s="8" t="n"/>
      <x:c r="G191" s="8" t="n"/>
    </x:row>
    <x:row r="192">
      <x:c r="A192" s="8" t="n"/>
      <x:c r="B192" s="8" t="n"/>
      <x:c r="C192" s="8" t="n"/>
      <x:c r="D192" s="8" t="n"/>
      <x:c r="E192" s="8" t="n"/>
      <x:c r="F192" s="8" t="n"/>
      <x:c r="G192" s="8" t="n"/>
    </x:row>
    <x:row r="193">
      <x:c r="A193" s="8" t="n"/>
      <x:c r="B193" s="8" t="n"/>
      <x:c r="C193" s="8" t="n"/>
      <x:c r="D193" s="8" t="n"/>
      <x:c r="E193" s="8" t="n"/>
      <x:c r="F193" s="8" t="n"/>
      <x:c r="G193" s="8" t="n"/>
    </x:row>
    <x:row r="194">
      <x:c r="A194" s="8" t="n"/>
      <x:c r="B194" s="8" t="n"/>
      <x:c r="C194" s="8" t="n"/>
      <x:c r="D194" s="8" t="n"/>
      <x:c r="E194" s="8" t="n"/>
      <x:c r="F194" s="8" t="n"/>
      <x:c r="G194" s="8" t="n"/>
    </x:row>
    <x:row r="195">
      <x:c r="A195" s="8" t="n"/>
      <x:c r="B195" s="8" t="n"/>
      <x:c r="C195" s="8" t="n"/>
      <x:c r="D195" s="8" t="n"/>
      <x:c r="E195" s="8" t="n"/>
      <x:c r="F195" s="8" t="n"/>
      <x:c r="G195" s="8" t="n"/>
    </x:row>
    <x:row r="196">
      <x:c r="A196" s="8" t="n"/>
      <x:c r="B196" s="8" t="n"/>
      <x:c r="C196" s="8" t="n"/>
      <x:c r="D196" s="8" t="n"/>
      <x:c r="E196" s="8" t="n"/>
      <x:c r="F196" s="8" t="n"/>
      <x:c r="G196" s="8" t="n"/>
    </x:row>
    <x:row r="197">
      <x:c r="A197" s="8" t="n"/>
      <x:c r="B197" s="8" t="n"/>
      <x:c r="C197" s="8" t="n"/>
      <x:c r="D197" s="8" t="n"/>
      <x:c r="E197" s="8" t="n"/>
      <x:c r="F197" s="8" t="n"/>
      <x:c r="G197" s="8" t="n"/>
    </x:row>
    <x:row r="198">
      <x:c r="A198" s="8" t="n"/>
      <x:c r="B198" s="8" t="n"/>
      <x:c r="C198" s="8" t="n"/>
      <x:c r="D198" s="8" t="n"/>
      <x:c r="E198" s="8" t="n"/>
      <x:c r="F198" s="8" t="n"/>
      <x:c r="G198" s="8" t="n"/>
    </x:row>
    <x:row r="199">
      <x:c r="A199" s="8" t="n"/>
      <x:c r="B199" s="8" t="n"/>
      <x:c r="C199" s="8" t="n"/>
      <x:c r="D199" s="8" t="n"/>
      <x:c r="E199" s="8" t="n"/>
      <x:c r="F199" s="8" t="n"/>
      <x:c r="G199" s="8" t="n"/>
    </x:row>
    <x:row r="200">
      <x:c r="A200" s="8" t="n"/>
      <x:c r="B200" s="8" t="n"/>
      <x:c r="C200" s="8" t="n"/>
      <x:c r="D200" s="8" t="n"/>
      <x:c r="E200" s="8" t="n"/>
      <x:c r="F200" s="8" t="n"/>
      <x:c r="G200" s="8" t="n"/>
    </x:row>
    <x:row r="201">
      <x:c r="A201" s="8" t="n"/>
      <x:c r="B201" s="8" t="n"/>
      <x:c r="C201" s="8" t="n"/>
      <x:c r="D201" s="8" t="n"/>
      <x:c r="E201" s="8" t="n"/>
      <x:c r="F201" s="8" t="n"/>
      <x:c r="G201" s="8" t="n"/>
    </x:row>
    <x:row r="202">
      <x:c r="A202" s="8" t="n"/>
      <x:c r="B202" s="8" t="n"/>
      <x:c r="C202" s="8" t="n"/>
      <x:c r="D202" s="8" t="n"/>
      <x:c r="E202" s="8" t="n"/>
      <x:c r="F202" s="8" t="n"/>
      <x:c r="G202" s="8" t="n"/>
    </x:row>
    <x:row r="203">
      <x:c r="A203" s="8" t="n"/>
      <x:c r="B203" s="8" t="n"/>
      <x:c r="C203" s="8" t="n"/>
      <x:c r="D203" s="8" t="n"/>
      <x:c r="E203" s="8" t="n"/>
      <x:c r="F203" s="8" t="n"/>
      <x:c r="G203" s="8" t="n"/>
    </x:row>
    <x:row r="204">
      <x:c r="A204" s="8" t="n"/>
      <x:c r="B204" s="8" t="n"/>
      <x:c r="C204" s="8" t="n"/>
      <x:c r="D204" s="8" t="n"/>
      <x:c r="E204" s="8" t="n"/>
      <x:c r="F204" s="8" t="n"/>
      <x:c r="G204" s="8" t="n"/>
    </x:row>
    <x:row r="205">
      <x:c r="A205" s="8" t="n"/>
      <x:c r="B205" s="8" t="n"/>
      <x:c r="C205" s="8" t="n"/>
      <x:c r="D205" s="8" t="n"/>
      <x:c r="E205" s="8" t="n"/>
      <x:c r="F205" s="8" t="n"/>
      <x:c r="G205" s="8" t="n"/>
    </x:row>
    <x:row r="206">
      <x:c r="A206" s="8" t="n"/>
      <x:c r="B206" s="8" t="n"/>
      <x:c r="C206" s="8" t="n"/>
      <x:c r="D206" s="8" t="n"/>
      <x:c r="E206" s="8" t="n"/>
      <x:c r="F206" s="8" t="n"/>
      <x:c r="G206" s="8" t="n"/>
    </x:row>
    <x:row r="207">
      <x:c r="A207" s="8" t="n"/>
      <x:c r="B207" s="8" t="n"/>
      <x:c r="C207" s="8" t="n"/>
      <x:c r="D207" s="8" t="n"/>
      <x:c r="E207" s="8" t="n"/>
      <x:c r="F207" s="8" t="n"/>
      <x:c r="G207" s="8" t="n"/>
    </x:row>
    <x:row r="208">
      <x:c r="A208" s="8" t="n"/>
      <x:c r="B208" s="8" t="n"/>
      <x:c r="C208" s="8" t="n"/>
      <x:c r="D208" s="8" t="n"/>
      <x:c r="E208" s="8" t="n"/>
      <x:c r="F208" s="8" t="n"/>
      <x:c r="G208" s="8" t="n"/>
    </x:row>
    <x:row r="209">
      <x:c r="A209" s="8" t="n"/>
      <x:c r="B209" s="8" t="n"/>
      <x:c r="C209" s="8" t="n"/>
      <x:c r="D209" s="8" t="n"/>
      <x:c r="E209" s="8" t="n"/>
      <x:c r="F209" s="8" t="n"/>
      <x:c r="G209" s="8" t="n"/>
    </x:row>
    <x:row r="210">
      <x:c r="A210" s="8" t="n"/>
      <x:c r="B210" s="8" t="n"/>
      <x:c r="C210" s="8" t="n"/>
      <x:c r="D210" s="8" t="n"/>
      <x:c r="E210" s="8" t="n"/>
      <x:c r="F210" s="8" t="n"/>
      <x:c r="G210" s="8" t="n"/>
    </x:row>
    <x:row r="211">
      <x:c r="A211" s="8" t="n"/>
      <x:c r="B211" s="8" t="n"/>
      <x:c r="C211" s="8" t="n"/>
      <x:c r="D211" s="8" t="n"/>
      <x:c r="E211" s="8" t="n"/>
      <x:c r="F211" s="8" t="n"/>
      <x:c r="G211" s="8" t="n"/>
    </x:row>
    <x:row r="212">
      <x:c r="A212" s="8" t="n"/>
      <x:c r="B212" s="8" t="n"/>
      <x:c r="C212" s="8" t="n"/>
      <x:c r="D212" s="8" t="n"/>
      <x:c r="E212" s="8" t="n"/>
      <x:c r="F212" s="8" t="n"/>
      <x:c r="G212" s="8" t="n"/>
    </x:row>
    <x:row r="213">
      <x:c r="A213" s="8" t="n"/>
      <x:c r="B213" s="8" t="n"/>
      <x:c r="C213" s="8" t="n"/>
      <x:c r="D213" s="8" t="n"/>
      <x:c r="E213" s="8" t="n"/>
      <x:c r="F213" s="8" t="n"/>
      <x:c r="G213" s="8" t="n"/>
    </x:row>
    <x:row r="214">
      <x:c r="A214" s="8" t="n"/>
      <x:c r="B214" s="8" t="n"/>
      <x:c r="C214" s="8" t="n"/>
      <x:c r="D214" s="8" t="n"/>
      <x:c r="E214" s="8" t="n"/>
      <x:c r="F214" s="8" t="n"/>
      <x:c r="G214" s="8" t="n"/>
    </x:row>
    <x:row r="215">
      <x:c r="A215" s="8" t="n"/>
      <x:c r="B215" s="8" t="n"/>
      <x:c r="C215" s="8" t="n"/>
      <x:c r="D215" s="8" t="n"/>
      <x:c r="E215" s="8" t="n"/>
      <x:c r="F215" s="8" t="n"/>
      <x:c r="G215" s="8" t="n"/>
    </x:row>
    <x:row r="216">
      <x:c r="A216" s="8" t="n"/>
      <x:c r="B216" s="8" t="n"/>
      <x:c r="C216" s="8" t="n"/>
      <x:c r="D216" s="8" t="n"/>
      <x:c r="E216" s="8" t="n"/>
      <x:c r="F216" s="8" t="n"/>
      <x:c r="G216" s="8" t="n"/>
    </x:row>
    <x:row r="217">
      <x:c r="A217" s="8" t="n"/>
      <x:c r="B217" s="8" t="n"/>
      <x:c r="C217" s="8" t="n"/>
      <x:c r="D217" s="8" t="n"/>
      <x:c r="E217" s="8" t="n"/>
      <x:c r="F217" s="8" t="n"/>
      <x:c r="G217" s="8" t="n"/>
    </x:row>
    <x:row r="218">
      <x:c r="A218" s="8" t="n"/>
      <x:c r="B218" s="8" t="n"/>
      <x:c r="C218" s="8" t="n"/>
      <x:c r="D218" s="8" t="n"/>
      <x:c r="E218" s="8" t="n"/>
      <x:c r="F218" s="8" t="n"/>
      <x:c r="G218" s="8" t="n"/>
    </x:row>
    <x:row r="219">
      <x:c r="A219" s="8" t="n"/>
      <x:c r="B219" s="8" t="n"/>
      <x:c r="C219" s="8" t="n"/>
      <x:c r="D219" s="8" t="n"/>
      <x:c r="E219" s="8" t="n"/>
      <x:c r="F219" s="8" t="n"/>
      <x:c r="G219" s="8" t="n"/>
    </x:row>
    <x:row r="220">
      <x:c r="A220" s="8" t="n"/>
      <x:c r="B220" s="8" t="n"/>
      <x:c r="C220" s="8" t="n"/>
      <x:c r="D220" s="8" t="n"/>
      <x:c r="E220" s="8" t="n"/>
      <x:c r="F220" s="8" t="n"/>
      <x:c r="G220" s="8" t="n"/>
    </x:row>
    <x:row r="221">
      <x:c r="A221" s="8" t="n"/>
      <x:c r="B221" s="8" t="n"/>
      <x:c r="C221" s="8" t="n"/>
      <x:c r="D221" s="8" t="n"/>
      <x:c r="E221" s="8" t="n"/>
      <x:c r="F221" s="8" t="n"/>
      <x:c r="G221" s="8" t="n"/>
    </x:row>
    <x:row r="222">
      <x:c r="A222" s="8" t="n"/>
      <x:c r="B222" s="8" t="n"/>
      <x:c r="C222" s="8" t="n"/>
      <x:c r="D222" s="8" t="n"/>
      <x:c r="E222" s="8" t="n"/>
      <x:c r="F222" s="8" t="n"/>
      <x:c r="G222" s="8" t="n"/>
    </x:row>
    <x:row r="223">
      <x:c r="A223" s="8" t="n"/>
      <x:c r="B223" s="8" t="n"/>
      <x:c r="C223" s="8" t="n"/>
      <x:c r="D223" s="8" t="n"/>
      <x:c r="E223" s="8" t="n"/>
      <x:c r="F223" s="8" t="n"/>
      <x:c r="G223" s="8" t="n"/>
    </x:row>
    <x:row r="224">
      <x:c r="A224" s="8" t="n"/>
      <x:c r="B224" s="8" t="n"/>
      <x:c r="C224" s="8" t="n"/>
      <x:c r="D224" s="8" t="n"/>
      <x:c r="E224" s="8" t="n"/>
      <x:c r="F224" s="8" t="n"/>
      <x:c r="G224" s="8" t="n"/>
    </x:row>
    <x:row r="225">
      <x:c r="A225" s="8" t="n"/>
      <x:c r="B225" s="8" t="n"/>
      <x:c r="C225" s="8" t="n"/>
      <x:c r="D225" s="8" t="n"/>
      <x:c r="E225" s="8" t="n"/>
      <x:c r="F225" s="8" t="n"/>
      <x:c r="G225" s="8" t="n"/>
    </x:row>
    <x:row r="226">
      <x:c r="A226" s="8" t="n"/>
      <x:c r="B226" s="8" t="n"/>
      <x:c r="C226" s="8" t="n"/>
      <x:c r="D226" s="8" t="n"/>
      <x:c r="E226" s="8" t="n"/>
      <x:c r="F226" s="8" t="n"/>
      <x:c r="G226" s="8" t="n"/>
    </x:row>
    <x:row r="227">
      <x:c r="A227" s="8" t="n"/>
      <x:c r="B227" s="8" t="n"/>
      <x:c r="C227" s="8" t="n"/>
      <x:c r="D227" s="8" t="n"/>
      <x:c r="E227" s="8" t="n"/>
      <x:c r="F227" s="8" t="n"/>
      <x:c r="G227" s="8" t="n"/>
    </x:row>
    <x:row r="228">
      <x:c r="A228" s="8" t="n"/>
      <x:c r="B228" s="8" t="n"/>
      <x:c r="C228" s="8" t="n"/>
      <x:c r="D228" s="8" t="n"/>
      <x:c r="E228" s="8" t="n"/>
      <x:c r="F228" s="8" t="n"/>
      <x:c r="G228" s="8" t="n"/>
    </x:row>
    <x:row r="229">
      <x:c r="A229" s="8" t="n"/>
      <x:c r="B229" s="8" t="n"/>
      <x:c r="C229" s="8" t="n"/>
      <x:c r="D229" s="8" t="n"/>
      <x:c r="E229" s="8" t="n"/>
      <x:c r="F229" s="8" t="n"/>
      <x:c r="G229" s="8" t="n"/>
    </x:row>
    <x:row r="230">
      <x:c r="A230" s="8" t="n"/>
      <x:c r="B230" s="8" t="n"/>
      <x:c r="C230" s="8" t="n"/>
      <x:c r="D230" s="8" t="n"/>
      <x:c r="E230" s="8" t="n"/>
      <x:c r="F230" s="8" t="n"/>
      <x:c r="G230" s="8" t="n"/>
    </x:row>
    <x:row r="231">
      <x:c r="A231" s="8" t="n"/>
      <x:c r="B231" s="8" t="n"/>
      <x:c r="C231" s="8" t="n"/>
      <x:c r="D231" s="8" t="n"/>
      <x:c r="E231" s="8" t="n"/>
      <x:c r="F231" s="8" t="n"/>
      <x:c r="G231" s="8" t="n"/>
    </x:row>
    <x:row r="232">
      <x:c r="A232" s="8" t="n"/>
      <x:c r="B232" s="8" t="n"/>
      <x:c r="C232" s="8" t="n"/>
      <x:c r="D232" s="8" t="n"/>
      <x:c r="E232" s="8" t="n"/>
      <x:c r="F232" s="8" t="n"/>
      <x:c r="G232" s="8" t="n"/>
    </x:row>
    <x:row r="233">
      <x:c r="A233" s="8" t="n"/>
      <x:c r="B233" s="8" t="n"/>
      <x:c r="C233" s="8" t="n"/>
      <x:c r="D233" s="8" t="n"/>
      <x:c r="E233" s="8" t="n"/>
      <x:c r="F233" s="8" t="n"/>
      <x:c r="G233" s="8" t="n"/>
    </x:row>
    <x:row r="234">
      <x:c r="A234" s="8" t="n"/>
      <x:c r="B234" s="8" t="n"/>
      <x:c r="C234" s="8" t="n"/>
      <x:c r="D234" s="8" t="n"/>
      <x:c r="E234" s="8" t="n"/>
      <x:c r="F234" s="8" t="n"/>
      <x:c r="G234" s="8" t="n"/>
    </x:row>
    <x:row r="235">
      <x:c r="A235" s="8" t="n"/>
      <x:c r="B235" s="8" t="n"/>
      <x:c r="C235" s="8" t="n"/>
      <x:c r="D235" s="8" t="n"/>
      <x:c r="E235" s="8" t="n"/>
      <x:c r="F235" s="8" t="n"/>
      <x:c r="G235" s="8" t="n"/>
    </x:row>
    <x:row r="236">
      <x:c r="A236" s="8" t="n"/>
      <x:c r="B236" s="8" t="n"/>
      <x:c r="C236" s="8" t="n"/>
      <x:c r="D236" s="8" t="n"/>
      <x:c r="E236" s="8" t="n"/>
      <x:c r="F236" s="8" t="n"/>
      <x:c r="G236" s="8" t="n"/>
    </x:row>
    <x:row r="237">
      <x:c r="A237" s="8" t="n"/>
      <x:c r="B237" s="8" t="n"/>
      <x:c r="C237" s="8" t="n"/>
      <x:c r="D237" s="8" t="n"/>
      <x:c r="E237" s="8" t="n"/>
      <x:c r="F237" s="8" t="n"/>
      <x:c r="G237" s="8" t="n"/>
    </x:row>
    <x:row r="238">
      <x:c r="A238" s="8" t="n"/>
      <x:c r="B238" s="8" t="n"/>
      <x:c r="C238" s="8" t="n"/>
      <x:c r="D238" s="8" t="n"/>
      <x:c r="E238" s="8" t="n"/>
      <x:c r="F238" s="8" t="n"/>
      <x:c r="G238" s="8" t="n"/>
    </x:row>
    <x:row r="239">
      <x:c r="A239" s="8" t="n"/>
      <x:c r="B239" s="8" t="n"/>
      <x:c r="C239" s="8" t="n"/>
      <x:c r="D239" s="8" t="n"/>
      <x:c r="E239" s="8" t="n"/>
      <x:c r="F239" s="8" t="n"/>
      <x:c r="G239" s="8" t="n"/>
    </x:row>
    <x:row r="240">
      <x:c r="A240" s="8" t="n"/>
      <x:c r="B240" s="8" t="n"/>
      <x:c r="C240" s="8" t="n"/>
      <x:c r="D240" s="8" t="n"/>
      <x:c r="E240" s="8" t="n"/>
      <x:c r="F240" s="8" t="n"/>
      <x:c r="G240" s="8" t="n"/>
    </x:row>
    <x:row r="241">
      <x:c r="A241" s="8" t="n"/>
      <x:c r="B241" s="8" t="n"/>
      <x:c r="C241" s="8" t="n"/>
      <x:c r="D241" s="8" t="n"/>
      <x:c r="E241" s="8" t="n"/>
      <x:c r="F241" s="8" t="n"/>
      <x:c r="G241" s="8" t="n"/>
    </x:row>
    <x:row r="242">
      <x:c r="A242" s="8" t="n"/>
      <x:c r="B242" s="8" t="n"/>
      <x:c r="C242" s="8" t="n"/>
      <x:c r="D242" s="8" t="n"/>
      <x:c r="E242" s="8" t="n"/>
      <x:c r="F242" s="8" t="n"/>
      <x:c r="G242" s="8" t="n"/>
    </x:row>
    <x:row r="243">
      <x:c r="A243" s="8" t="n"/>
      <x:c r="B243" s="8" t="n"/>
      <x:c r="C243" s="8" t="n"/>
      <x:c r="D243" s="8" t="n"/>
      <x:c r="E243" s="8" t="n"/>
      <x:c r="F243" s="8" t="n"/>
      <x:c r="G243" s="8" t="n"/>
    </x:row>
    <x:row r="244">
      <x:c r="A244" s="8" t="n"/>
      <x:c r="B244" s="8" t="n"/>
      <x:c r="C244" s="8" t="n"/>
      <x:c r="D244" s="8" t="n"/>
      <x:c r="E244" s="8" t="n"/>
      <x:c r="F244" s="8" t="n"/>
      <x:c r="G244" s="8" t="n"/>
    </x:row>
    <x:row r="245">
      <x:c r="A245" s="8" t="n"/>
      <x:c r="B245" s="8" t="n"/>
      <x:c r="C245" s="8" t="n"/>
      <x:c r="D245" s="8" t="n"/>
      <x:c r="E245" s="8" t="n"/>
      <x:c r="F245" s="8" t="n"/>
      <x:c r="G245" s="8" t="n"/>
    </x:row>
    <x:row r="246">
      <x:c r="A246" s="8" t="n"/>
      <x:c r="B246" s="8" t="n"/>
      <x:c r="C246" s="8" t="n"/>
      <x:c r="D246" s="8" t="n"/>
      <x:c r="E246" s="8" t="n"/>
      <x:c r="F246" s="8" t="n"/>
      <x:c r="G246" s="8" t="n"/>
    </x:row>
    <x:row r="247">
      <x:c r="A247" s="8" t="n"/>
      <x:c r="B247" s="8" t="n"/>
      <x:c r="C247" s="8" t="n"/>
      <x:c r="D247" s="8" t="n"/>
      <x:c r="E247" s="8" t="n"/>
      <x:c r="F247" s="8" t="n"/>
      <x:c r="G247" s="8" t="n"/>
    </x:row>
    <x:row r="248">
      <x:c r="A248" s="8" t="n"/>
      <x:c r="B248" s="8" t="n"/>
      <x:c r="C248" s="8" t="n"/>
      <x:c r="D248" s="8" t="n"/>
      <x:c r="E248" s="8" t="n"/>
      <x:c r="F248" s="8" t="n"/>
      <x:c r="G248" s="8" t="n"/>
    </x:row>
    <x:row r="249">
      <x:c r="A249" s="8" t="n"/>
      <x:c r="B249" s="8" t="n"/>
      <x:c r="C249" s="8" t="n"/>
      <x:c r="D249" s="8" t="n"/>
      <x:c r="E249" s="8" t="n"/>
      <x:c r="F249" s="8" t="n"/>
      <x:c r="G249" s="8" t="n"/>
    </x:row>
    <x:row r="250">
      <x:c r="A250" s="8" t="n"/>
      <x:c r="B250" s="8" t="n"/>
      <x:c r="C250" s="8" t="n"/>
      <x:c r="D250" s="8" t="n"/>
      <x:c r="E250" s="8" t="n"/>
      <x:c r="F250" s="8" t="n"/>
      <x:c r="G250" s="8" t="n"/>
    </x:row>
    <x:row r="251">
      <x:c r="A251" s="8" t="n"/>
      <x:c r="B251" s="8" t="n"/>
      <x:c r="C251" s="8" t="n"/>
      <x:c r="D251" s="8" t="n"/>
      <x:c r="E251" s="8" t="n"/>
      <x:c r="F251" s="8" t="n"/>
      <x:c r="G251" s="8" t="n"/>
    </x:row>
    <x:row r="252">
      <x:c r="A252" s="8" t="n"/>
      <x:c r="B252" s="8" t="n"/>
      <x:c r="C252" s="8" t="n"/>
      <x:c r="D252" s="8" t="n"/>
      <x:c r="E252" s="8" t="n"/>
      <x:c r="F252" s="8" t="n"/>
      <x:c r="G252" s="8" t="n"/>
    </x:row>
    <x:row r="253">
      <x:c r="A253" s="8" t="n"/>
      <x:c r="B253" s="8" t="n"/>
      <x:c r="C253" s="8" t="n"/>
      <x:c r="D253" s="8" t="n"/>
      <x:c r="E253" s="8" t="n"/>
      <x:c r="F253" s="8" t="n"/>
      <x:c r="G253" s="8" t="n"/>
    </x:row>
    <x:row r="254">
      <x:c r="A254" s="8" t="n"/>
      <x:c r="B254" s="8" t="n"/>
      <x:c r="C254" s="8" t="n"/>
      <x:c r="D254" s="8" t="n"/>
      <x:c r="E254" s="8" t="n"/>
      <x:c r="F254" s="8" t="n"/>
      <x:c r="G254" s="8" t="n"/>
    </x:row>
    <x:row r="255">
      <x:c r="A255" s="8" t="n"/>
      <x:c r="B255" s="8" t="n"/>
      <x:c r="C255" s="8" t="n"/>
      <x:c r="D255" s="8" t="n"/>
      <x:c r="E255" s="8" t="n"/>
      <x:c r="F255" s="8" t="n"/>
      <x:c r="G255" s="8" t="n"/>
    </x:row>
    <x:row r="256">
      <x:c r="A256" s="8" t="n"/>
      <x:c r="B256" s="8" t="n"/>
      <x:c r="C256" s="8" t="n"/>
      <x:c r="D256" s="8" t="n"/>
      <x:c r="E256" s="8" t="n"/>
      <x:c r="F256" s="8" t="n"/>
      <x:c r="G256" s="8" t="n"/>
    </x:row>
    <x:row r="257">
      <x:c r="A257" s="8" t="n"/>
      <x:c r="B257" s="8" t="n"/>
      <x:c r="C257" s="8" t="n"/>
      <x:c r="D257" s="8" t="n"/>
      <x:c r="E257" s="8" t="n"/>
      <x:c r="F257" s="8" t="n"/>
      <x:c r="G257" s="8" t="n"/>
    </x:row>
    <x:row r="258">
      <x:c r="A258" s="8" t="n"/>
      <x:c r="B258" s="8" t="n"/>
      <x:c r="C258" s="8" t="n"/>
      <x:c r="D258" s="8" t="n"/>
      <x:c r="E258" s="8" t="n"/>
      <x:c r="F258" s="8" t="n"/>
      <x:c r="G258" s="8" t="n"/>
    </x:row>
    <x:row r="259">
      <x:c r="A259" s="8" t="n"/>
      <x:c r="B259" s="8" t="n"/>
      <x:c r="C259" s="8" t="n"/>
      <x:c r="D259" s="8" t="n"/>
      <x:c r="E259" s="8" t="n"/>
      <x:c r="F259" s="8" t="n"/>
      <x:c r="G259" s="8" t="n"/>
    </x:row>
    <x:row r="260">
      <x:c r="A260" s="8" t="n"/>
      <x:c r="B260" s="8" t="n"/>
      <x:c r="C260" s="8" t="n"/>
      <x:c r="D260" s="8" t="n"/>
      <x:c r="E260" s="8" t="n"/>
      <x:c r="F260" s="8" t="n"/>
      <x:c r="G260" s="8" t="n"/>
    </x:row>
    <x:row r="261">
      <x:c r="A261" s="8" t="n"/>
      <x:c r="B261" s="8" t="n"/>
      <x:c r="C261" s="8" t="n"/>
      <x:c r="D261" s="8" t="n"/>
      <x:c r="E261" s="8" t="n"/>
      <x:c r="F261" s="8" t="n"/>
      <x:c r="G261" s="8" t="n"/>
    </x:row>
    <x:row r="262">
      <x:c r="A262" s="8" t="n"/>
      <x:c r="B262" s="8" t="n"/>
      <x:c r="C262" s="8" t="n"/>
      <x:c r="D262" s="8" t="n"/>
      <x:c r="E262" s="8" t="n"/>
      <x:c r="F262" s="8" t="n"/>
      <x:c r="G262" s="8" t="n"/>
    </x:row>
    <x:row r="263">
      <x:c r="A263" s="8" t="n"/>
      <x:c r="B263" s="8" t="n"/>
      <x:c r="C263" s="8" t="n"/>
      <x:c r="D263" s="8" t="n"/>
      <x:c r="E263" s="8" t="n"/>
      <x:c r="F263" s="8" t="n"/>
      <x:c r="G263" s="8" t="n"/>
    </x:row>
    <x:row r="264">
      <x:c r="A264" s="8" t="n"/>
      <x:c r="B264" s="8" t="n"/>
      <x:c r="C264" s="8" t="n"/>
      <x:c r="D264" s="8" t="n"/>
      <x:c r="E264" s="8" t="n"/>
      <x:c r="F264" s="8" t="n"/>
      <x:c r="G264" s="8" t="n"/>
    </x:row>
    <x:row r="265">
      <x:c r="A265" s="8" t="n"/>
      <x:c r="B265" s="8" t="n"/>
      <x:c r="C265" s="8" t="n"/>
      <x:c r="D265" s="8" t="n"/>
      <x:c r="E265" s="8" t="n"/>
      <x:c r="F265" s="8" t="n"/>
      <x:c r="G265" s="8" t="n"/>
    </x:row>
    <x:row r="266">
      <x:c r="A266" s="8" t="n"/>
      <x:c r="B266" s="8" t="n"/>
      <x:c r="C266" s="8" t="n"/>
      <x:c r="D266" s="8" t="n"/>
      <x:c r="E266" s="8" t="n"/>
      <x:c r="F266" s="8" t="n"/>
      <x:c r="G266" s="8" t="n"/>
    </x:row>
    <x:row r="267">
      <x:c r="A267" s="8" t="n"/>
      <x:c r="B267" s="8" t="n"/>
      <x:c r="C267" s="8" t="n"/>
      <x:c r="D267" s="8" t="n"/>
      <x:c r="E267" s="8" t="n"/>
      <x:c r="F267" s="8" t="n"/>
      <x:c r="G267" s="8" t="n"/>
    </x:row>
    <x:row r="268">
      <x:c r="A268" s="8" t="n"/>
      <x:c r="B268" s="8" t="n"/>
      <x:c r="C268" s="8" t="n"/>
      <x:c r="D268" s="8" t="n"/>
      <x:c r="E268" s="8" t="n"/>
      <x:c r="F268" s="8" t="n"/>
      <x:c r="G268" s="8" t="n"/>
    </x:row>
    <x:row r="269">
      <x:c r="A269" s="8" t="n"/>
      <x:c r="B269" s="8" t="n"/>
      <x:c r="C269" s="8" t="n"/>
      <x:c r="D269" s="8" t="n"/>
      <x:c r="E269" s="8" t="n"/>
      <x:c r="F269" s="8" t="n"/>
      <x:c r="G269" s="8" t="n"/>
    </x:row>
    <x:row r="270">
      <x:c r="A270" s="8" t="n"/>
      <x:c r="B270" s="8" t="n"/>
      <x:c r="C270" s="8" t="n"/>
      <x:c r="D270" s="8" t="n"/>
      <x:c r="E270" s="8" t="n"/>
      <x:c r="F270" s="8" t="n"/>
      <x:c r="G270" s="8" t="n"/>
    </x:row>
    <x:row r="271">
      <x:c r="A271" s="8" t="n"/>
      <x:c r="B271" s="8" t="n"/>
      <x:c r="C271" s="8" t="n"/>
      <x:c r="D271" s="8" t="n"/>
      <x:c r="E271" s="8" t="n"/>
      <x:c r="F271" s="8" t="n"/>
      <x:c r="G271" s="8" t="n"/>
    </x:row>
    <x:row r="272">
      <x:c r="A272" s="8" t="n"/>
      <x:c r="B272" s="8" t="n"/>
      <x:c r="C272" s="8" t="n"/>
      <x:c r="D272" s="8" t="n"/>
      <x:c r="E272" s="8" t="n"/>
      <x:c r="F272" s="8" t="n"/>
      <x:c r="G272" s="8" t="n"/>
    </x:row>
    <x:row r="273">
      <x:c r="A273" s="8" t="n"/>
      <x:c r="B273" s="8" t="n"/>
      <x:c r="C273" s="8" t="n"/>
      <x:c r="D273" s="8" t="n"/>
      <x:c r="E273" s="8" t="n"/>
      <x:c r="F273" s="8" t="n"/>
      <x:c r="G273" s="8" t="n"/>
    </x:row>
    <x:row r="274">
      <x:c r="A274" s="8" t="n"/>
      <x:c r="B274" s="8" t="n"/>
      <x:c r="C274" s="8" t="n"/>
      <x:c r="D274" s="8" t="n"/>
      <x:c r="E274" s="8" t="n"/>
      <x:c r="F274" s="8" t="n"/>
      <x:c r="G274" s="8" t="n"/>
    </x:row>
    <x:row r="275">
      <x:c r="A275" s="8" t="n"/>
      <x:c r="B275" s="8" t="n"/>
      <x:c r="C275" s="8" t="n"/>
      <x:c r="D275" s="8" t="n"/>
      <x:c r="E275" s="8" t="n"/>
      <x:c r="F275" s="8" t="n"/>
      <x:c r="G275" s="8" t="n"/>
    </x:row>
    <x:row r="276">
      <x:c r="A276" s="8" t="n"/>
      <x:c r="B276" s="8" t="n"/>
      <x:c r="C276" s="8" t="n"/>
      <x:c r="D276" s="8" t="n"/>
      <x:c r="E276" s="8" t="n"/>
      <x:c r="F276" s="8" t="n"/>
      <x:c r="G276" s="8" t="n"/>
    </x:row>
    <x:row r="277">
      <x:c r="A277" s="8" t="n"/>
      <x:c r="B277" s="8" t="n"/>
      <x:c r="C277" s="8" t="n"/>
      <x:c r="D277" s="8" t="n"/>
      <x:c r="E277" s="8" t="n"/>
      <x:c r="F277" s="8" t="n"/>
      <x:c r="G277" s="8" t="n"/>
    </x:row>
    <x:row r="278">
      <x:c r="A278" s="8" t="n"/>
      <x:c r="B278" s="8" t="n"/>
      <x:c r="C278" s="8" t="n"/>
      <x:c r="D278" s="8" t="n"/>
      <x:c r="E278" s="8" t="n"/>
      <x:c r="F278" s="8" t="n"/>
      <x:c r="G278" s="8" t="n"/>
    </x:row>
    <x:row r="279">
      <x:c r="A279" s="8" t="n"/>
      <x:c r="B279" s="8" t="n"/>
      <x:c r="C279" s="8" t="n"/>
      <x:c r="D279" s="8" t="n"/>
      <x:c r="E279" s="8" t="n"/>
      <x:c r="F279" s="8" t="n"/>
      <x:c r="G279" s="8" t="n"/>
    </x:row>
    <x:row r="280">
      <x:c r="A280" s="8" t="n"/>
      <x:c r="B280" s="8" t="n"/>
      <x:c r="C280" s="8" t="n"/>
      <x:c r="D280" s="8" t="n"/>
      <x:c r="E280" s="8" t="n"/>
      <x:c r="F280" s="8" t="n"/>
      <x:c r="G280" s="8" t="n"/>
    </x:row>
    <x:row r="281">
      <x:c r="A281" s="8" t="n"/>
      <x:c r="B281" s="8" t="n"/>
      <x:c r="C281" s="8" t="n"/>
      <x:c r="D281" s="8" t="n"/>
      <x:c r="E281" s="8" t="n"/>
      <x:c r="F281" s="8" t="n"/>
      <x:c r="G281" s="8" t="n"/>
    </x:row>
    <x:row r="282">
      <x:c r="A282" s="8" t="n"/>
      <x:c r="B282" s="8" t="n"/>
      <x:c r="C282" s="8" t="n"/>
      <x:c r="D282" s="8" t="n"/>
      <x:c r="E282" s="8" t="n"/>
      <x:c r="F282" s="8" t="n"/>
      <x:c r="G282" s="8" t="n"/>
    </x:row>
    <x:row r="283">
      <x:c r="A283" s="8" t="n"/>
      <x:c r="B283" s="8" t="n"/>
      <x:c r="C283" s="8" t="n"/>
      <x:c r="D283" s="8" t="n"/>
      <x:c r="E283" s="8" t="n"/>
      <x:c r="F283" s="8" t="n"/>
      <x:c r="G283" s="8" t="n"/>
    </x:row>
    <x:row r="284">
      <x:c r="A284" s="8" t="n"/>
      <x:c r="B284" s="8" t="n"/>
      <x:c r="C284" s="8" t="n"/>
      <x:c r="D284" s="8" t="n"/>
      <x:c r="E284" s="8" t="n"/>
      <x:c r="F284" s="8" t="n"/>
      <x:c r="G284" s="8" t="n"/>
    </x:row>
    <x:row r="285">
      <x:c r="A285" s="8" t="n"/>
      <x:c r="B285" s="8" t="n"/>
      <x:c r="C285" s="8" t="n"/>
      <x:c r="D285" s="8" t="n"/>
      <x:c r="E285" s="8" t="n"/>
      <x:c r="F285" s="8" t="n"/>
      <x:c r="G285" s="8" t="n"/>
    </x:row>
    <x:row r="286">
      <x:c r="A286" s="8" t="n"/>
      <x:c r="B286" s="8" t="n"/>
      <x:c r="C286" s="8" t="n"/>
      <x:c r="D286" s="8" t="n"/>
      <x:c r="E286" s="8" t="n"/>
      <x:c r="F286" s="8" t="n"/>
      <x:c r="G286" s="8" t="n"/>
    </x:row>
    <x:row r="287">
      <x:c r="A287" s="8" t="n"/>
      <x:c r="B287" s="8" t="n"/>
      <x:c r="C287" s="8" t="n"/>
      <x:c r="D287" s="8" t="n"/>
      <x:c r="E287" s="8" t="n"/>
      <x:c r="F287" s="8" t="n"/>
      <x:c r="G287" s="8" t="n"/>
    </x:row>
    <x:row r="288">
      <x:c r="A288" s="8" t="n"/>
      <x:c r="B288" s="8" t="n"/>
      <x:c r="C288" s="8" t="n"/>
      <x:c r="D288" s="8" t="n"/>
      <x:c r="E288" s="8" t="n"/>
      <x:c r="F288" s="8" t="n"/>
      <x:c r="G288" s="8" t="n"/>
    </x:row>
    <x:row r="289">
      <x:c r="A289" s="8" t="n"/>
      <x:c r="B289" s="8" t="n"/>
      <x:c r="C289" s="8" t="n"/>
      <x:c r="D289" s="8" t="n"/>
      <x:c r="E289" s="8" t="n"/>
      <x:c r="F289" s="8" t="n"/>
      <x:c r="G289" s="8" t="n"/>
    </x:row>
    <x:row r="290">
      <x:c r="A290" s="8" t="n"/>
      <x:c r="B290" s="8" t="n"/>
      <x:c r="C290" s="8" t="n"/>
      <x:c r="D290" s="8" t="n"/>
      <x:c r="E290" s="8" t="n"/>
      <x:c r="F290" s="8" t="n"/>
      <x:c r="G290" s="8" t="n"/>
    </x:row>
    <x:row r="291">
      <x:c r="A291" s="8" t="n"/>
      <x:c r="B291" s="8" t="n"/>
      <x:c r="C291" s="8" t="n"/>
      <x:c r="D291" s="8" t="n"/>
      <x:c r="E291" s="8" t="n"/>
      <x:c r="F291" s="8" t="n"/>
      <x:c r="G291" s="8" t="n"/>
    </x:row>
    <x:row r="292">
      <x:c r="A292" s="8" t="n"/>
      <x:c r="B292" s="8" t="n"/>
      <x:c r="C292" s="8" t="n"/>
      <x:c r="D292" s="8" t="n"/>
      <x:c r="E292" s="8" t="n"/>
      <x:c r="F292" s="8" t="n"/>
      <x:c r="G292" s="8" t="n"/>
    </x:row>
    <x:row r="293">
      <x:c r="A293" s="8" t="n"/>
      <x:c r="B293" s="8" t="n"/>
      <x:c r="C293" s="8" t="n"/>
      <x:c r="D293" s="8" t="n"/>
      <x:c r="E293" s="8" t="n"/>
      <x:c r="F293" s="8" t="n"/>
      <x:c r="G293" s="8" t="n"/>
    </x:row>
    <x:row r="294">
      <x:c r="A294" s="8" t="n"/>
      <x:c r="B294" s="8" t="n"/>
      <x:c r="C294" s="8" t="n"/>
      <x:c r="D294" s="8" t="n"/>
      <x:c r="E294" s="8" t="n"/>
      <x:c r="F294" s="8" t="n"/>
      <x:c r="G294" s="8" t="n"/>
    </x:row>
    <x:row r="295">
      <x:c r="A295" s="8" t="n"/>
      <x:c r="B295" s="8" t="n"/>
      <x:c r="C295" s="8" t="n"/>
      <x:c r="D295" s="8" t="n"/>
      <x:c r="E295" s="8" t="n"/>
      <x:c r="F295" s="8" t="n"/>
      <x:c r="G295" s="8" t="n"/>
    </x:row>
    <x:row r="296">
      <x:c r="A296" s="8" t="n"/>
      <x:c r="B296" s="8" t="n"/>
      <x:c r="C296" s="8" t="n"/>
      <x:c r="D296" s="8" t="n"/>
      <x:c r="E296" s="8" t="n"/>
      <x:c r="F296" s="8" t="n"/>
      <x:c r="G296" s="8" t="n"/>
    </x:row>
    <x:row r="297">
      <x:c r="A297" s="8" t="n"/>
      <x:c r="B297" s="8" t="n"/>
      <x:c r="C297" s="8" t="n"/>
      <x:c r="D297" s="8" t="n"/>
      <x:c r="E297" s="8" t="n"/>
      <x:c r="F297" s="8" t="n"/>
      <x:c r="G297" s="8" t="n"/>
    </x:row>
    <x:row r="298">
      <x:c r="A298" s="8" t="n"/>
      <x:c r="B298" s="8" t="n"/>
      <x:c r="C298" s="8" t="n"/>
      <x:c r="D298" s="8" t="n"/>
      <x:c r="E298" s="8" t="n"/>
      <x:c r="F298" s="8" t="n"/>
      <x:c r="G298" s="8" t="n"/>
    </x:row>
    <x:row r="299">
      <x:c r="A299" s="8" t="n"/>
      <x:c r="B299" s="8" t="n"/>
      <x:c r="C299" s="8" t="n"/>
      <x:c r="D299" s="8" t="n"/>
      <x:c r="E299" s="8" t="n"/>
      <x:c r="F299" s="8" t="n"/>
      <x:c r="G299" s="8" t="n"/>
    </x:row>
    <x:row r="300">
      <x:c r="A300" s="8" t="n"/>
      <x:c r="B300" s="8" t="n"/>
      <x:c r="C300" s="8" t="n"/>
      <x:c r="D300" s="8" t="n"/>
      <x:c r="E300" s="8" t="n"/>
      <x:c r="F300" s="8" t="n"/>
      <x:c r="G300" s="8" t="n"/>
    </x:row>
    <x:row r="301">
      <x:c r="A301" s="8" t="n"/>
      <x:c r="B301" s="8" t="n"/>
      <x:c r="C301" s="8" t="n"/>
      <x:c r="D301" s="8" t="n"/>
      <x:c r="E301" s="8" t="n"/>
      <x:c r="F301" s="8" t="n"/>
      <x:c r="G301" s="8" t="n"/>
    </x:row>
    <x:row r="302">
      <x:c r="A302" s="8" t="n"/>
      <x:c r="B302" s="8" t="n"/>
      <x:c r="C302" s="8" t="n"/>
      <x:c r="D302" s="8" t="n"/>
      <x:c r="E302" s="8" t="n"/>
      <x:c r="F302" s="8" t="n"/>
      <x:c r="G302" s="8" t="n"/>
    </x:row>
    <x:row r="303">
      <x:c r="A303" s="8" t="n"/>
      <x:c r="B303" s="8" t="n"/>
      <x:c r="C303" s="8" t="n"/>
      <x:c r="D303" s="8" t="n"/>
      <x:c r="E303" s="8" t="n"/>
      <x:c r="F303" s="8" t="n"/>
      <x:c r="G303" s="8" t="n"/>
    </x:row>
    <x:row r="304">
      <x:c r="A304" s="8" t="n"/>
      <x:c r="B304" s="8" t="n"/>
      <x:c r="C304" s="8" t="n"/>
      <x:c r="D304" s="8" t="n"/>
      <x:c r="E304" s="8" t="n"/>
      <x:c r="F304" s="8" t="n"/>
      <x:c r="G304" s="8" t="n"/>
    </x:row>
    <x:row r="305">
      <x:c r="A305" s="8" t="n"/>
      <x:c r="B305" s="8" t="n"/>
      <x:c r="C305" s="8" t="n"/>
      <x:c r="D305" s="8" t="n"/>
      <x:c r="E305" s="8" t="n"/>
      <x:c r="F305" s="8" t="n"/>
      <x:c r="G305" s="8" t="n"/>
    </x:row>
    <x:row r="306">
      <x:c r="A306" s="8" t="n"/>
      <x:c r="B306" s="8" t="n"/>
      <x:c r="C306" s="8" t="n"/>
      <x:c r="D306" s="8" t="n"/>
      <x:c r="E306" s="8" t="n"/>
      <x:c r="F306" s="8" t="n"/>
      <x:c r="G306" s="8" t="n"/>
    </x:row>
    <x:row r="307">
      <x:c r="A307" s="8" t="n"/>
      <x:c r="B307" s="8" t="n"/>
      <x:c r="C307" s="8" t="n"/>
      <x:c r="D307" s="8" t="n"/>
      <x:c r="E307" s="8" t="n"/>
      <x:c r="F307" s="8" t="n"/>
      <x:c r="G307" s="8" t="n"/>
    </x:row>
    <x:row r="308">
      <x:c r="A308" s="8" t="n"/>
      <x:c r="B308" s="8" t="n"/>
      <x:c r="C308" s="8" t="n"/>
      <x:c r="D308" s="8" t="n"/>
      <x:c r="E308" s="8" t="n"/>
      <x:c r="F308" s="8" t="n"/>
      <x:c r="G308" s="8" t="n"/>
    </x:row>
    <x:row r="309">
      <x:c r="A309" s="8" t="n"/>
      <x:c r="B309" s="8" t="n"/>
      <x:c r="C309" s="8" t="n"/>
      <x:c r="D309" s="8" t="n"/>
      <x:c r="E309" s="8" t="n"/>
      <x:c r="F309" s="8" t="n"/>
      <x:c r="G309" s="8" t="n"/>
    </x:row>
    <x:row r="310">
      <x:c r="A310" s="8" t="n"/>
      <x:c r="B310" s="8" t="n"/>
      <x:c r="C310" s="8" t="n"/>
      <x:c r="D310" s="8" t="n"/>
      <x:c r="E310" s="8" t="n"/>
      <x:c r="F310" s="8" t="n"/>
      <x:c r="G310" s="8" t="n"/>
    </x:row>
    <x:row r="311">
      <x:c r="A311" s="8" t="n"/>
      <x:c r="B311" s="8" t="n"/>
      <x:c r="C311" s="8" t="n"/>
      <x:c r="D311" s="8" t="n"/>
      <x:c r="E311" s="8" t="n"/>
      <x:c r="F311" s="8" t="n"/>
      <x:c r="G311" s="8" t="n"/>
    </x:row>
    <x:row r="312">
      <x:c r="A312" s="8" t="n"/>
      <x:c r="B312" s="8" t="n"/>
      <x:c r="C312" s="8" t="n"/>
      <x:c r="D312" s="8" t="n"/>
      <x:c r="E312" s="8" t="n"/>
      <x:c r="F312" s="8" t="n"/>
      <x:c r="G312" s="8" t="n"/>
    </x:row>
    <x:row r="313">
      <x:c r="A313" s="8" t="n"/>
      <x:c r="B313" s="8" t="n"/>
      <x:c r="C313" s="8" t="n"/>
      <x:c r="D313" s="8" t="n"/>
      <x:c r="E313" s="8" t="n"/>
      <x:c r="F313" s="8" t="n"/>
      <x:c r="G313" s="8" t="n"/>
    </x:row>
    <x:row r="314">
      <x:c r="A314" s="8" t="n"/>
      <x:c r="B314" s="8" t="n"/>
      <x:c r="C314" s="8" t="n"/>
      <x:c r="D314" s="8" t="n"/>
      <x:c r="E314" s="8" t="n"/>
      <x:c r="F314" s="8" t="n"/>
      <x:c r="G314" s="8" t="n"/>
    </x:row>
    <x:row r="315">
      <x:c r="A315" s="8" t="n"/>
      <x:c r="B315" s="8" t="n"/>
      <x:c r="C315" s="8" t="n"/>
      <x:c r="D315" s="8" t="n"/>
      <x:c r="E315" s="8" t="n"/>
      <x:c r="F315" s="8" t="n"/>
      <x:c r="G315" s="8" t="n"/>
    </x:row>
    <x:row r="316">
      <x:c r="A316" s="8" t="n"/>
      <x:c r="B316" s="8" t="n"/>
      <x:c r="C316" s="8" t="n"/>
      <x:c r="D316" s="8" t="n"/>
      <x:c r="E316" s="8" t="n"/>
      <x:c r="F316" s="8" t="n"/>
      <x:c r="G316" s="8" t="n"/>
    </x:row>
    <x:row r="317">
      <x:c r="A317" s="8" t="n"/>
      <x:c r="B317" s="8" t="n"/>
      <x:c r="C317" s="8" t="n"/>
      <x:c r="D317" s="8" t="n"/>
      <x:c r="E317" s="8" t="n"/>
      <x:c r="F317" s="8" t="n"/>
      <x:c r="G317" s="8" t="n"/>
    </x:row>
    <x:row r="318">
      <x:c r="A318" s="8" t="n"/>
      <x:c r="B318" s="8" t="n"/>
      <x:c r="C318" s="8" t="n"/>
      <x:c r="D318" s="8" t="n"/>
      <x:c r="E318" s="8" t="n"/>
      <x:c r="F318" s="8" t="n"/>
      <x:c r="G318" s="8" t="n"/>
    </x:row>
    <x:row r="319">
      <x:c r="A319" s="8" t="n"/>
      <x:c r="B319" s="8" t="n"/>
      <x:c r="C319" s="8" t="n"/>
      <x:c r="D319" s="8" t="n"/>
      <x:c r="E319" s="8" t="n"/>
      <x:c r="F319" s="8" t="n"/>
      <x:c r="G319" s="8" t="n"/>
    </x:row>
    <x:row r="320">
      <x:c r="A320" s="8" t="n"/>
      <x:c r="B320" s="8" t="n"/>
      <x:c r="C320" s="8" t="n"/>
      <x:c r="D320" s="8" t="n"/>
      <x:c r="E320" s="8" t="n"/>
      <x:c r="F320" s="8" t="n"/>
      <x:c r="G320" s="8" t="n"/>
    </x:row>
    <x:row r="321">
      <x:c r="A321" s="8" t="n"/>
      <x:c r="B321" s="8" t="n"/>
      <x:c r="C321" s="8" t="n"/>
      <x:c r="D321" s="8" t="n"/>
      <x:c r="E321" s="8" t="n"/>
      <x:c r="F321" s="8" t="n"/>
      <x:c r="G321" s="8" t="n"/>
    </x:row>
    <x:row r="322">
      <x:c r="A322" s="8" t="n"/>
      <x:c r="B322" s="8" t="n"/>
      <x:c r="C322" s="8" t="n"/>
      <x:c r="D322" s="8" t="n"/>
      <x:c r="E322" s="8" t="n"/>
      <x:c r="F322" s="8" t="n"/>
      <x:c r="G322" s="8" t="n"/>
    </x:row>
    <x:row r="323">
      <x:c r="A323" s="8" t="n"/>
      <x:c r="B323" s="8" t="n"/>
      <x:c r="C323" s="8" t="n"/>
      <x:c r="D323" s="8" t="n"/>
      <x:c r="E323" s="8" t="n"/>
      <x:c r="F323" s="8" t="n"/>
      <x:c r="G323" s="8" t="n"/>
    </x:row>
    <x:row r="324">
      <x:c r="A324" s="8" t="n"/>
      <x:c r="B324" s="8" t="n"/>
      <x:c r="C324" s="8" t="n"/>
      <x:c r="D324" s="8" t="n"/>
      <x:c r="E324" s="8" t="n"/>
      <x:c r="F324" s="8" t="n"/>
      <x:c r="G324" s="8" t="n"/>
    </x:row>
    <x:row r="325">
      <x:c r="A325" s="8" t="n"/>
      <x:c r="B325" s="8" t="n"/>
      <x:c r="C325" s="8" t="n"/>
      <x:c r="D325" s="8" t="n"/>
      <x:c r="E325" s="8" t="n"/>
      <x:c r="F325" s="8" t="n"/>
      <x:c r="G325" s="8" t="n"/>
    </x:row>
    <x:row r="326">
      <x:c r="A326" s="8" t="n"/>
      <x:c r="B326" s="8" t="n"/>
      <x:c r="C326" s="8" t="n"/>
      <x:c r="D326" s="8" t="n"/>
      <x:c r="E326" s="8" t="n"/>
      <x:c r="F326" s="8" t="n"/>
      <x:c r="G326" s="8" t="n"/>
    </x:row>
    <x:row r="327">
      <x:c r="A327" s="8" t="n"/>
      <x:c r="B327" s="8" t="n"/>
      <x:c r="C327" s="8" t="n"/>
      <x:c r="D327" s="8" t="n"/>
      <x:c r="E327" s="8" t="n"/>
      <x:c r="F327" s="8" t="n"/>
      <x:c r="G327" s="8" t="n"/>
    </x:row>
    <x:row r="328">
      <x:c r="A328" s="8" t="n"/>
      <x:c r="B328" s="8" t="n"/>
      <x:c r="C328" s="8" t="n"/>
      <x:c r="D328" s="8" t="n"/>
      <x:c r="E328" s="8" t="n"/>
      <x:c r="F328" s="8" t="n"/>
      <x:c r="G328" s="8" t="n"/>
    </x:row>
    <x:row r="329">
      <x:c r="A329" s="8" t="n"/>
      <x:c r="B329" s="8" t="n"/>
      <x:c r="C329" s="8" t="n"/>
      <x:c r="D329" s="8" t="n"/>
      <x:c r="E329" s="8" t="n"/>
      <x:c r="F329" s="8" t="n"/>
      <x:c r="G329" s="8" t="n"/>
    </x:row>
    <x:row r="330">
      <x:c r="A330" s="8" t="n"/>
      <x:c r="B330" s="8" t="n"/>
      <x:c r="C330" s="8" t="n"/>
      <x:c r="D330" s="8" t="n"/>
      <x:c r="E330" s="8" t="n"/>
      <x:c r="F330" s="8" t="n"/>
      <x:c r="G330" s="8" t="n"/>
    </x:row>
    <x:row r="331">
      <x:c r="A331" s="8" t="n"/>
      <x:c r="B331" s="8" t="n"/>
      <x:c r="C331" s="8" t="n"/>
      <x:c r="D331" s="8" t="n"/>
      <x:c r="E331" s="8" t="n"/>
      <x:c r="F331" s="8" t="n"/>
      <x:c r="G331" s="8" t="n"/>
    </x:row>
    <x:row r="332">
      <x:c r="A332" s="8" t="n"/>
      <x:c r="B332" s="8" t="n"/>
      <x:c r="C332" s="8" t="n"/>
      <x:c r="D332" s="8" t="n"/>
      <x:c r="E332" s="8" t="n"/>
      <x:c r="F332" s="8" t="n"/>
      <x:c r="G332" s="8" t="n"/>
    </x:row>
    <x:row r="333">
      <x:c r="A333" s="8" t="n"/>
      <x:c r="B333" s="8" t="n"/>
      <x:c r="C333" s="8" t="n"/>
      <x:c r="D333" s="8" t="n"/>
      <x:c r="E333" s="8" t="n"/>
      <x:c r="F333" s="8" t="n"/>
      <x:c r="G333" s="8" t="n"/>
    </x:row>
    <x:row r="334">
      <x:c r="A334" s="8" t="n"/>
      <x:c r="B334" s="8" t="n"/>
      <x:c r="C334" s="8" t="n"/>
      <x:c r="D334" s="8" t="n"/>
      <x:c r="E334" s="8" t="n"/>
      <x:c r="F334" s="8" t="n"/>
      <x:c r="G334" s="8" t="n"/>
    </x:row>
    <x:row r="335">
      <x:c r="A335" s="8" t="n"/>
      <x:c r="B335" s="8" t="n"/>
      <x:c r="C335" s="8" t="n"/>
      <x:c r="D335" s="8" t="n"/>
      <x:c r="E335" s="8" t="n"/>
      <x:c r="F335" s="8" t="n"/>
      <x:c r="G335" s="8" t="n"/>
    </x:row>
    <x:row r="336">
      <x:c r="A336" s="8" t="n"/>
      <x:c r="B336" s="8" t="n"/>
      <x:c r="C336" s="8" t="n"/>
      <x:c r="D336" s="8" t="n"/>
      <x:c r="E336" s="8" t="n"/>
      <x:c r="F336" s="8" t="n"/>
      <x:c r="G336" s="8" t="n"/>
    </x:row>
    <x:row r="337">
      <x:c r="A337" s="8" t="n"/>
      <x:c r="B337" s="8" t="n"/>
      <x:c r="C337" s="8" t="n"/>
      <x:c r="D337" s="8" t="n"/>
      <x:c r="E337" s="8" t="n"/>
      <x:c r="F337" s="8" t="n"/>
      <x:c r="G337" s="8" t="n"/>
    </x:row>
    <x:row r="338">
      <x:c r="A338" s="8" t="n"/>
      <x:c r="B338" s="8" t="n"/>
      <x:c r="C338" s="8" t="n"/>
      <x:c r="D338" s="8" t="n"/>
      <x:c r="E338" s="8" t="n"/>
      <x:c r="F338" s="8" t="n"/>
      <x:c r="G338" s="8" t="n"/>
    </x:row>
    <x:row r="339">
      <x:c r="A339" s="8" t="n"/>
      <x:c r="B339" s="8" t="n"/>
      <x:c r="C339" s="8" t="n"/>
      <x:c r="D339" s="8" t="n"/>
      <x:c r="E339" s="8" t="n"/>
      <x:c r="F339" s="8" t="n"/>
      <x:c r="G339" s="8" t="n"/>
    </x:row>
    <x:row r="340">
      <x:c r="A340" s="8" t="n"/>
      <x:c r="B340" s="8" t="n"/>
      <x:c r="C340" s="8" t="n"/>
      <x:c r="D340" s="8" t="n"/>
      <x:c r="E340" s="8" t="n"/>
      <x:c r="F340" s="8" t="n"/>
      <x:c r="G340" s="8" t="n"/>
    </x:row>
    <x:row r="341">
      <x:c r="A341" s="8" t="n"/>
      <x:c r="B341" s="8" t="n"/>
      <x:c r="C341" s="8" t="n"/>
      <x:c r="D341" s="8" t="n"/>
      <x:c r="E341" s="8" t="n"/>
      <x:c r="F341" s="8" t="n"/>
      <x:c r="G341" s="8" t="n"/>
    </x:row>
    <x:row r="342">
      <x:c r="A342" s="8" t="n"/>
      <x:c r="B342" s="8" t="n"/>
      <x:c r="C342" s="8" t="n"/>
      <x:c r="D342" s="8" t="n"/>
      <x:c r="E342" s="8" t="n"/>
      <x:c r="F342" s="8" t="n"/>
      <x:c r="G342" s="8" t="n"/>
    </x:row>
    <x:row r="343">
      <x:c r="A343" s="8" t="n"/>
      <x:c r="B343" s="8" t="n"/>
      <x:c r="C343" s="8" t="n"/>
      <x:c r="D343" s="8" t="n"/>
      <x:c r="E343" s="8" t="n"/>
      <x:c r="F343" s="8" t="n"/>
      <x:c r="G343" s="8" t="n"/>
    </x:row>
    <x:row r="344">
      <x:c r="A344" s="8" t="n"/>
      <x:c r="B344" s="8" t="n"/>
      <x:c r="C344" s="8" t="n"/>
      <x:c r="D344" s="8" t="n"/>
      <x:c r="E344" s="8" t="n"/>
      <x:c r="F344" s="8" t="n"/>
      <x:c r="G344" s="8" t="n"/>
    </x:row>
    <x:row r="345">
      <x:c r="A345" s="8" t="n"/>
      <x:c r="B345" s="8" t="n"/>
      <x:c r="C345" s="8" t="n"/>
      <x:c r="D345" s="8" t="n"/>
      <x:c r="E345" s="8" t="n"/>
      <x:c r="F345" s="8" t="n"/>
      <x:c r="G345" s="8" t="n"/>
    </x:row>
    <x:row r="346">
      <x:c r="A346" s="8" t="n"/>
      <x:c r="B346" s="8" t="n"/>
      <x:c r="C346" s="8" t="n"/>
      <x:c r="D346" s="8" t="n"/>
      <x:c r="E346" s="8" t="n"/>
      <x:c r="F346" s="8" t="n"/>
      <x:c r="G346" s="8" t="n"/>
    </x:row>
    <x:row r="347">
      <x:c r="A347" s="8" t="n"/>
      <x:c r="B347" s="8" t="n"/>
      <x:c r="C347" s="8" t="n"/>
      <x:c r="D347" s="8" t="n"/>
      <x:c r="E347" s="8" t="n"/>
      <x:c r="F347" s="8" t="n"/>
      <x:c r="G347" s="8" t="n"/>
    </x:row>
    <x:row r="348">
      <x:c r="A348" s="8" t="n"/>
      <x:c r="B348" s="8" t="n"/>
      <x:c r="C348" s="8" t="n"/>
      <x:c r="D348" s="8" t="n"/>
      <x:c r="E348" s="8" t="n"/>
      <x:c r="F348" s="8" t="n"/>
      <x:c r="G348" s="8" t="n"/>
    </x:row>
    <x:row r="349">
      <x:c r="A349" s="8" t="n"/>
      <x:c r="B349" s="8" t="n"/>
      <x:c r="C349" s="8" t="n"/>
      <x:c r="D349" s="8" t="n"/>
      <x:c r="E349" s="8" t="n"/>
      <x:c r="F349" s="8" t="n"/>
      <x:c r="G349" s="8" t="n"/>
    </x:row>
    <x:row r="350">
      <x:c r="A350" s="8" t="n"/>
      <x:c r="B350" s="8" t="n"/>
      <x:c r="C350" s="8" t="n"/>
      <x:c r="D350" s="8" t="n"/>
      <x:c r="E350" s="8" t="n"/>
      <x:c r="F350" s="8" t="n"/>
      <x:c r="G350" s="8" t="n"/>
    </x:row>
    <x:row r="351">
      <x:c r="A351" s="8" t="n"/>
      <x:c r="B351" s="8" t="n"/>
      <x:c r="C351" s="8" t="n"/>
      <x:c r="D351" s="8" t="n"/>
      <x:c r="E351" s="8" t="n"/>
      <x:c r="F351" s="8" t="n"/>
      <x:c r="G351" s="8" t="n"/>
    </x:row>
    <x:row r="352">
      <x:c r="A352" s="8" t="n"/>
      <x:c r="B352" s="8" t="n"/>
      <x:c r="C352" s="8" t="n"/>
      <x:c r="D352" s="8" t="n"/>
      <x:c r="E352" s="8" t="n"/>
      <x:c r="F352" s="8" t="n"/>
      <x:c r="G352" s="8" t="n"/>
    </x:row>
    <x:row r="353">
      <x:c r="A353" s="8" t="n"/>
      <x:c r="B353" s="8" t="n"/>
      <x:c r="C353" s="8" t="n"/>
      <x:c r="D353" s="8" t="n"/>
      <x:c r="E353" s="8" t="n"/>
      <x:c r="F353" s="8" t="n"/>
      <x:c r="G353" s="8" t="n"/>
    </x:row>
    <x:row r="354">
      <x:c r="A354" s="8" t="n"/>
      <x:c r="B354" s="8" t="n"/>
      <x:c r="C354" s="8" t="n"/>
      <x:c r="D354" s="8" t="n"/>
      <x:c r="E354" s="8" t="n"/>
      <x:c r="F354" s="8" t="n"/>
      <x:c r="G354" s="8" t="n"/>
    </x:row>
    <x:row r="355">
      <x:c r="A355" s="8" t="n"/>
      <x:c r="B355" s="8" t="n"/>
      <x:c r="C355" s="8" t="n"/>
      <x:c r="D355" s="8" t="n"/>
      <x:c r="E355" s="8" t="n"/>
      <x:c r="F355" s="8" t="n"/>
      <x:c r="G355" s="8" t="n"/>
    </x:row>
    <x:row r="356">
      <x:c r="A356" s="8" t="n"/>
      <x:c r="B356" s="8" t="n"/>
      <x:c r="C356" s="8" t="n"/>
      <x:c r="D356" s="8" t="n"/>
      <x:c r="E356" s="8" t="n"/>
      <x:c r="F356" s="8" t="n"/>
      <x:c r="G356" s="8" t="n"/>
    </x:row>
    <x:row r="357">
      <x:c r="A357" s="8" t="n"/>
      <x:c r="B357" s="8" t="n"/>
      <x:c r="C357" s="8" t="n"/>
      <x:c r="D357" s="8" t="n"/>
      <x:c r="E357" s="8" t="n"/>
      <x:c r="F357" s="8" t="n"/>
      <x:c r="G357" s="8" t="n"/>
    </x:row>
    <x:row r="358">
      <x:c r="A358" s="8" t="n"/>
      <x:c r="B358" s="8" t="n"/>
      <x:c r="C358" s="8" t="n"/>
      <x:c r="D358" s="8" t="n"/>
      <x:c r="E358" s="8" t="n"/>
      <x:c r="F358" s="8" t="n"/>
      <x:c r="G358" s="8" t="n"/>
    </x:row>
    <x:row r="359">
      <x:c r="A359" s="8" t="n"/>
      <x:c r="B359" s="8" t="n"/>
      <x:c r="C359" s="8" t="n"/>
      <x:c r="D359" s="8" t="n"/>
      <x:c r="E359" s="8" t="n"/>
      <x:c r="F359" s="8" t="n"/>
      <x:c r="G359" s="8" t="n"/>
    </x:row>
    <x:row r="360">
      <x:c r="A360" s="8" t="n"/>
      <x:c r="B360" s="8" t="n"/>
      <x:c r="C360" s="8" t="n"/>
      <x:c r="D360" s="8" t="n"/>
      <x:c r="E360" s="8" t="n"/>
      <x:c r="F360" s="8" t="n"/>
      <x:c r="G360" s="8" t="n"/>
    </x:row>
    <x:row r="361">
      <x:c r="A361" s="8" t="n"/>
      <x:c r="B361" s="8" t="n"/>
      <x:c r="C361" s="8" t="n"/>
      <x:c r="D361" s="8" t="n"/>
      <x:c r="E361" s="8" t="n"/>
      <x:c r="F361" s="8" t="n"/>
      <x:c r="G361" s="8" t="n"/>
    </x:row>
    <x:row r="362">
      <x:c r="A362" s="8" t="n"/>
      <x:c r="B362" s="8" t="n"/>
      <x:c r="C362" s="8" t="n"/>
      <x:c r="D362" s="8" t="n"/>
      <x:c r="E362" s="8" t="n"/>
      <x:c r="F362" s="8" t="n"/>
      <x:c r="G362" s="8" t="n"/>
    </x:row>
    <x:row r="363">
      <x:c r="A363" s="8" t="n"/>
      <x:c r="B363" s="8" t="n"/>
      <x:c r="C363" s="8" t="n"/>
      <x:c r="D363" s="8" t="n"/>
      <x:c r="E363" s="8" t="n"/>
      <x:c r="F363" s="8" t="n"/>
      <x:c r="G363" s="8" t="n"/>
    </x:row>
    <x:row r="364">
      <x:c r="A364" s="8" t="n"/>
      <x:c r="B364" s="8" t="n"/>
      <x:c r="C364" s="8" t="n"/>
      <x:c r="D364" s="8" t="n"/>
      <x:c r="E364" s="8" t="n"/>
      <x:c r="F364" s="8" t="n"/>
      <x:c r="G364" s="8" t="n"/>
    </x:row>
    <x:row r="365">
      <x:c r="A365" s="8" t="n"/>
      <x:c r="B365" s="8" t="n"/>
      <x:c r="C365" s="8" t="n"/>
      <x:c r="D365" s="8" t="n"/>
      <x:c r="E365" s="8" t="n"/>
      <x:c r="F365" s="8" t="n"/>
      <x:c r="G365" s="8" t="n"/>
    </x:row>
    <x:row r="366">
      <x:c r="A366" s="8" t="n"/>
      <x:c r="B366" s="8" t="n"/>
      <x:c r="C366" s="8" t="n"/>
      <x:c r="D366" s="8" t="n"/>
      <x:c r="E366" s="8" t="n"/>
      <x:c r="F366" s="8" t="n"/>
      <x:c r="G366" s="8" t="n"/>
    </x:row>
    <x:row r="367">
      <x:c r="A367" s="8" t="n"/>
      <x:c r="B367" s="8" t="n"/>
      <x:c r="C367" s="8" t="n"/>
      <x:c r="D367" s="8" t="n"/>
      <x:c r="E367" s="8" t="n"/>
      <x:c r="F367" s="8" t="n"/>
      <x:c r="G367" s="8" t="n"/>
    </x:row>
    <x:row r="368">
      <x:c r="A368" s="8" t="n"/>
      <x:c r="B368" s="8" t="n"/>
      <x:c r="C368" s="8" t="n"/>
      <x:c r="D368" s="8" t="n"/>
      <x:c r="E368" s="8" t="n"/>
      <x:c r="F368" s="8" t="n"/>
      <x:c r="G368" s="8" t="n"/>
    </x:row>
    <x:row r="369">
      <x:c r="A369" s="8" t="n"/>
      <x:c r="B369" s="8" t="n"/>
      <x:c r="C369" s="8" t="n"/>
      <x:c r="D369" s="8" t="n"/>
      <x:c r="E369" s="8" t="n"/>
      <x:c r="F369" s="8" t="n"/>
      <x:c r="G369" s="8" t="n"/>
    </x:row>
    <x:row r="370">
      <x:c r="A370" s="8" t="n"/>
      <x:c r="B370" s="8" t="n"/>
      <x:c r="C370" s="8" t="n"/>
      <x:c r="D370" s="8" t="n"/>
      <x:c r="E370" s="8" t="n"/>
      <x:c r="F370" s="8" t="n"/>
      <x:c r="G370" s="8" t="n"/>
    </x:row>
    <x:row r="371">
      <x:c r="A371" s="8" t="n"/>
      <x:c r="B371" s="8" t="n"/>
      <x:c r="C371" s="8" t="n"/>
      <x:c r="D371" s="8" t="n"/>
      <x:c r="E371" s="8" t="n"/>
      <x:c r="F371" s="8" t="n"/>
      <x:c r="G371" s="8" t="n"/>
    </x:row>
    <x:row r="372">
      <x:c r="A372" s="8" t="n"/>
      <x:c r="B372" s="8" t="n"/>
      <x:c r="C372" s="8" t="n"/>
      <x:c r="D372" s="8" t="n"/>
      <x:c r="E372" s="8" t="n"/>
      <x:c r="F372" s="8" t="n"/>
      <x:c r="G372" s="8" t="n"/>
    </x:row>
    <x:row r="373">
      <x:c r="A373" s="8" t="n"/>
      <x:c r="B373" s="8" t="n"/>
      <x:c r="C373" s="8" t="n"/>
      <x:c r="D373" s="8" t="n"/>
      <x:c r="E373" s="8" t="n"/>
      <x:c r="F373" s="8" t="n"/>
      <x:c r="G373" s="8" t="n"/>
    </x:row>
    <x:row r="374">
      <x:c r="A374" s="8" t="n"/>
      <x:c r="B374" s="8" t="n"/>
      <x:c r="C374" s="8" t="n"/>
      <x:c r="D374" s="8" t="n"/>
      <x:c r="E374" s="8" t="n"/>
      <x:c r="F374" s="8" t="n"/>
      <x:c r="G374" s="8" t="n"/>
    </x:row>
    <x:row r="375">
      <x:c r="A375" s="8" t="n"/>
      <x:c r="B375" s="8" t="n"/>
      <x:c r="C375" s="8" t="n"/>
      <x:c r="D375" s="8" t="n"/>
      <x:c r="E375" s="8" t="n"/>
      <x:c r="F375" s="8" t="n"/>
      <x:c r="G375" s="8" t="n"/>
    </x:row>
    <x:row r="376">
      <x:c r="A376" s="8" t="n"/>
      <x:c r="B376" s="8" t="n"/>
      <x:c r="C376" s="8" t="n"/>
      <x:c r="D376" s="8" t="n"/>
      <x:c r="E376" s="8" t="n"/>
      <x:c r="F376" s="8" t="n"/>
      <x:c r="G376" s="8" t="n"/>
    </x:row>
    <x:row r="377">
      <x:c r="A377" s="8" t="n"/>
      <x:c r="B377" s="8" t="n"/>
      <x:c r="C377" s="8" t="n"/>
      <x:c r="D377" s="8" t="n"/>
      <x:c r="E377" s="8" t="n"/>
      <x:c r="F377" s="8" t="n"/>
      <x:c r="G377" s="8" t="n"/>
    </x:row>
    <x:row r="378">
      <x:c r="A378" s="8" t="n"/>
      <x:c r="B378" s="8" t="n"/>
      <x:c r="C378" s="8" t="n"/>
      <x:c r="D378" s="8" t="n"/>
      <x:c r="E378" s="8" t="n"/>
      <x:c r="F378" s="8" t="n"/>
      <x:c r="G378" s="8" t="n"/>
    </x:row>
    <x:row r="379">
      <x:c r="A379" s="8" t="n"/>
      <x:c r="B379" s="8" t="n"/>
      <x:c r="C379" s="8" t="n"/>
      <x:c r="D379" s="8" t="n"/>
      <x:c r="E379" s="8" t="n"/>
      <x:c r="F379" s="8" t="n"/>
      <x:c r="G379" s="8" t="n"/>
    </x:row>
    <x:row r="380">
      <x:c r="A380" s="8" t="n"/>
      <x:c r="B380" s="8" t="n"/>
      <x:c r="C380" s="8" t="n"/>
      <x:c r="D380" s="8" t="n"/>
      <x:c r="E380" s="8" t="n"/>
      <x:c r="F380" s="8" t="n"/>
      <x:c r="G380" s="8" t="n"/>
    </x:row>
    <x:row r="381">
      <x:c r="A381" s="8" t="n"/>
      <x:c r="B381" s="8" t="n"/>
      <x:c r="C381" s="8" t="n"/>
      <x:c r="D381" s="8" t="n"/>
      <x:c r="E381" s="8" t="n"/>
      <x:c r="F381" s="8" t="n"/>
      <x:c r="G381" s="8" t="n"/>
    </x:row>
    <x:row r="382">
      <x:c r="A382" s="8" t="n"/>
      <x:c r="B382" s="8" t="n"/>
      <x:c r="C382" s="8" t="n"/>
      <x:c r="D382" s="8" t="n"/>
      <x:c r="E382" s="8" t="n"/>
      <x:c r="F382" s="8" t="n"/>
      <x:c r="G382" s="8" t="n"/>
    </x:row>
    <x:row r="383">
      <x:c r="A383" s="8" t="n"/>
      <x:c r="B383" s="8" t="n"/>
      <x:c r="C383" s="8" t="n"/>
      <x:c r="D383" s="8" t="n"/>
      <x:c r="E383" s="8" t="n"/>
      <x:c r="F383" s="8" t="n"/>
      <x:c r="G383" s="8" t="n"/>
    </x:row>
    <x:row r="384">
      <x:c r="A384" s="8" t="n"/>
      <x:c r="B384" s="8" t="n"/>
      <x:c r="C384" s="8" t="n"/>
      <x:c r="D384" s="8" t="n"/>
      <x:c r="E384" s="8" t="n"/>
      <x:c r="F384" s="8" t="n"/>
      <x:c r="G384" s="8" t="n"/>
    </x:row>
    <x:row r="385">
      <x:c r="A385" s="8" t="n"/>
      <x:c r="B385" s="8" t="n"/>
      <x:c r="C385" s="8" t="n"/>
      <x:c r="D385" s="8" t="n"/>
      <x:c r="E385" s="8" t="n"/>
      <x:c r="F385" s="8" t="n"/>
      <x:c r="G385" s="8" t="n"/>
    </x:row>
    <x:row r="386">
      <x:c r="A386" s="8" t="n"/>
      <x:c r="B386" s="8" t="n"/>
      <x:c r="C386" s="8" t="n"/>
      <x:c r="D386" s="8" t="n"/>
      <x:c r="E386" s="8" t="n"/>
      <x:c r="F386" s="8" t="n"/>
      <x:c r="G386" s="8" t="n"/>
    </x:row>
    <x:row r="387">
      <x:c r="A387" s="8" t="n"/>
      <x:c r="B387" s="8" t="n"/>
      <x:c r="C387" s="8" t="n"/>
      <x:c r="D387" s="8" t="n"/>
      <x:c r="E387" s="8" t="n"/>
      <x:c r="F387" s="8" t="n"/>
      <x:c r="G387" s="8" t="n"/>
    </x:row>
    <x:row r="388">
      <x:c r="A388" s="8" t="n"/>
      <x:c r="B388" s="8" t="n"/>
      <x:c r="C388" s="8" t="n"/>
      <x:c r="D388" s="8" t="n"/>
      <x:c r="E388" s="8" t="n"/>
      <x:c r="F388" s="8" t="n"/>
      <x:c r="G388" s="8" t="n"/>
    </x:row>
    <x:row r="389">
      <x:c r="A389" s="8" t="n"/>
      <x:c r="B389" s="8" t="n"/>
      <x:c r="C389" s="8" t="n"/>
      <x:c r="D389" s="8" t="n"/>
      <x:c r="E389" s="8" t="n"/>
      <x:c r="F389" s="8" t="n"/>
      <x:c r="G389" s="8" t="n"/>
    </x:row>
    <x:row r="390">
      <x:c r="A390" s="8" t="n"/>
      <x:c r="B390" s="8" t="n"/>
      <x:c r="C390" s="8" t="n"/>
      <x:c r="D390" s="8" t="n"/>
      <x:c r="E390" s="8" t="n"/>
      <x:c r="F390" s="8" t="n"/>
      <x:c r="G390" s="8" t="n"/>
    </x:row>
    <x:row r="391">
      <x:c r="A391" s="8" t="n"/>
      <x:c r="B391" s="8" t="n"/>
      <x:c r="C391" s="8" t="n"/>
      <x:c r="D391" s="8" t="n"/>
      <x:c r="E391" s="8" t="n"/>
      <x:c r="F391" s="8" t="n"/>
      <x:c r="G391" s="8" t="n"/>
    </x:row>
    <x:row r="392">
      <x:c r="A392" s="8" t="n"/>
      <x:c r="B392" s="8" t="n"/>
      <x:c r="C392" s="8" t="n"/>
      <x:c r="D392" s="8" t="n"/>
      <x:c r="E392" s="8" t="n"/>
      <x:c r="F392" s="8" t="n"/>
      <x:c r="G392" s="8" t="n"/>
    </x:row>
    <x:row r="393">
      <x:c r="A393" s="8" t="n"/>
      <x:c r="B393" s="8" t="n"/>
      <x:c r="C393" s="8" t="n"/>
      <x:c r="D393" s="8" t="n"/>
      <x:c r="E393" s="8" t="n"/>
      <x:c r="F393" s="8" t="n"/>
      <x:c r="G393" s="8" t="n"/>
    </x:row>
    <x:row r="394">
      <x:c r="A394" s="8" t="n"/>
      <x:c r="B394" s="8" t="n"/>
      <x:c r="C394" s="8" t="n"/>
      <x:c r="D394" s="8" t="n"/>
      <x:c r="E394" s="8" t="n"/>
      <x:c r="F394" s="8" t="n"/>
      <x:c r="G394" s="8" t="n"/>
    </x:row>
    <x:row r="395">
      <x:c r="A395" s="8" t="n"/>
      <x:c r="B395" s="8" t="n"/>
      <x:c r="C395" s="8" t="n"/>
      <x:c r="D395" s="8" t="n"/>
      <x:c r="E395" s="8" t="n"/>
      <x:c r="F395" s="8" t="n"/>
      <x:c r="G395" s="8" t="n"/>
    </x:row>
    <x:row r="396">
      <x:c r="A396" s="8" t="n"/>
      <x:c r="B396" s="8" t="n"/>
      <x:c r="C396" s="8" t="n"/>
      <x:c r="D396" s="8" t="n"/>
      <x:c r="E396" s="8" t="n"/>
      <x:c r="F396" s="8" t="n"/>
      <x:c r="G396" s="8" t="n"/>
    </x:row>
    <x:row r="397">
      <x:c r="A397" s="8" t="n"/>
      <x:c r="B397" s="8" t="n"/>
      <x:c r="C397" s="8" t="n"/>
      <x:c r="D397" s="8" t="n"/>
      <x:c r="E397" s="8" t="n"/>
      <x:c r="F397" s="8" t="n"/>
      <x:c r="G397" s="8" t="n"/>
    </x:row>
    <x:row r="398">
      <x:c r="A398" s="8" t="n"/>
      <x:c r="B398" s="8" t="n"/>
      <x:c r="C398" s="8" t="n"/>
      <x:c r="D398" s="8" t="n"/>
      <x:c r="E398" s="8" t="n"/>
      <x:c r="F398" s="8" t="n"/>
      <x:c r="G398" s="8" t="n"/>
    </x:row>
    <x:row r="399">
      <x:c r="A399" s="8" t="n"/>
      <x:c r="B399" s="8" t="n"/>
      <x:c r="C399" s="8" t="n"/>
      <x:c r="D399" s="8" t="n"/>
      <x:c r="E399" s="8" t="n"/>
      <x:c r="F399" s="8" t="n"/>
      <x:c r="G399" s="8" t="n"/>
    </x:row>
    <x:row r="400">
      <x:c r="A400" s="8" t="n"/>
      <x:c r="B400" s="8" t="n"/>
      <x:c r="C400" s="8" t="n"/>
      <x:c r="D400" s="8" t="n"/>
      <x:c r="E400" s="8" t="n"/>
      <x:c r="F400" s="8" t="n"/>
      <x:c r="G400" s="8" t="n"/>
    </x:row>
    <x:row r="401">
      <x:c r="A401" s="8" t="n"/>
      <x:c r="B401" s="8" t="n"/>
      <x:c r="C401" s="8" t="n"/>
      <x:c r="D401" s="8" t="n"/>
      <x:c r="E401" s="8" t="n"/>
      <x:c r="F401" s="8" t="n"/>
      <x:c r="G401" s="8" t="n"/>
    </x:row>
    <x:row r="402">
      <x:c r="A402" s="8" t="n"/>
      <x:c r="B402" s="8" t="n"/>
      <x:c r="C402" s="8" t="n"/>
      <x:c r="D402" s="8" t="n"/>
      <x:c r="E402" s="8" t="n"/>
      <x:c r="F402" s="8" t="n"/>
      <x:c r="G402" s="8" t="n"/>
    </x:row>
    <x:row r="403">
      <x:c r="A403" s="8" t="n"/>
      <x:c r="B403" s="8" t="n"/>
      <x:c r="C403" s="8" t="n"/>
      <x:c r="D403" s="8" t="n"/>
      <x:c r="E403" s="8" t="n"/>
      <x:c r="F403" s="8" t="n"/>
      <x:c r="G403" s="8" t="n"/>
    </x:row>
    <x:row r="404">
      <x:c r="A404" s="8" t="n"/>
      <x:c r="B404" s="8" t="n"/>
      <x:c r="C404" s="8" t="n"/>
      <x:c r="D404" s="8" t="n"/>
      <x:c r="E404" s="8" t="n"/>
      <x:c r="F404" s="8" t="n"/>
      <x:c r="G404" s="8" t="n"/>
    </x:row>
    <x:row r="405">
      <x:c r="A405" s="8" t="n"/>
      <x:c r="B405" s="8" t="n"/>
      <x:c r="C405" s="8" t="n"/>
      <x:c r="D405" s="8" t="n"/>
      <x:c r="E405" s="8" t="n"/>
      <x:c r="F405" s="8" t="n"/>
      <x:c r="G405" s="8" t="n"/>
    </x:row>
    <x:row r="406">
      <x:c r="A406" s="8" t="n"/>
      <x:c r="B406" s="8" t="n"/>
      <x:c r="C406" s="8" t="n"/>
      <x:c r="D406" s="8" t="n"/>
      <x:c r="E406" s="8" t="n"/>
      <x:c r="F406" s="8" t="n"/>
      <x:c r="G406" s="8" t="n"/>
    </x:row>
    <x:row r="407">
      <x:c r="A407" s="8" t="n"/>
      <x:c r="B407" s="8" t="n"/>
      <x:c r="C407" s="8" t="n"/>
      <x:c r="D407" s="8" t="n"/>
      <x:c r="E407" s="8" t="n"/>
      <x:c r="F407" s="8" t="n"/>
      <x:c r="G407" s="8" t="n"/>
    </x:row>
    <x:row r="408">
      <x:c r="A408" s="8" t="n"/>
      <x:c r="B408" s="8" t="n"/>
      <x:c r="C408" s="8" t="n"/>
      <x:c r="D408" s="8" t="n"/>
      <x:c r="E408" s="8" t="n"/>
      <x:c r="F408" s="8" t="n"/>
      <x:c r="G408" s="8" t="n"/>
    </x:row>
    <x:row r="409">
      <x:c r="A409" s="8" t="n"/>
      <x:c r="B409" s="8" t="n"/>
      <x:c r="C409" s="8" t="n"/>
      <x:c r="D409" s="8" t="n"/>
      <x:c r="E409" s="8" t="n"/>
      <x:c r="F409" s="8" t="n"/>
      <x:c r="G409" s="8" t="n"/>
    </x:row>
    <x:row r="410">
      <x:c r="A410" s="8" t="n"/>
      <x:c r="B410" s="8" t="n"/>
      <x:c r="C410" s="8" t="n"/>
      <x:c r="D410" s="8" t="n"/>
      <x:c r="E410" s="8" t="n"/>
      <x:c r="F410" s="8" t="n"/>
      <x:c r="G410" s="8" t="n"/>
    </x:row>
    <x:row r="411">
      <x:c r="A411" s="8" t="n"/>
      <x:c r="B411" s="8" t="n"/>
      <x:c r="C411" s="8" t="n"/>
      <x:c r="D411" s="8" t="n"/>
      <x:c r="E411" s="8" t="n"/>
      <x:c r="F411" s="8" t="n"/>
      <x:c r="G411" s="8" t="n"/>
    </x:row>
    <x:row r="412">
      <x:c r="A412" s="8" t="n"/>
      <x:c r="B412" s="8" t="n"/>
      <x:c r="C412" s="8" t="n"/>
      <x:c r="D412" s="8" t="n"/>
      <x:c r="E412" s="8" t="n"/>
      <x:c r="F412" s="8" t="n"/>
      <x:c r="G412" s="8" t="n"/>
    </x:row>
    <x:row r="413">
      <x:c r="A413" s="8" t="n"/>
      <x:c r="B413" s="8" t="n"/>
      <x:c r="C413" s="8" t="n"/>
      <x:c r="D413" s="8" t="n"/>
      <x:c r="E413" s="8" t="n"/>
      <x:c r="F413" s="8" t="n"/>
      <x:c r="G413" s="8" t="n"/>
    </x:row>
    <x:row r="414">
      <x:c r="A414" s="8" t="n"/>
      <x:c r="B414" s="8" t="n"/>
      <x:c r="C414" s="8" t="n"/>
      <x:c r="D414" s="8" t="n"/>
      <x:c r="E414" s="8" t="n"/>
      <x:c r="F414" s="8" t="n"/>
      <x:c r="G414" s="8" t="n"/>
    </x:row>
    <x:row r="415">
      <x:c r="A415" s="8" t="n"/>
      <x:c r="B415" s="8" t="n"/>
      <x:c r="C415" s="8" t="n"/>
      <x:c r="D415" s="8" t="n"/>
      <x:c r="E415" s="8" t="n"/>
      <x:c r="F415" s="8" t="n"/>
      <x:c r="G415" s="8" t="n"/>
    </x:row>
    <x:row r="416">
      <x:c r="A416" s="8" t="n"/>
      <x:c r="B416" s="8" t="n"/>
      <x:c r="C416" s="8" t="n"/>
      <x:c r="D416" s="8" t="n"/>
      <x:c r="E416" s="8" t="n"/>
      <x:c r="F416" s="8" t="n"/>
      <x:c r="G416" s="8" t="n"/>
    </x:row>
    <x:row r="417">
      <x:c r="A417" s="8" t="n"/>
      <x:c r="B417" s="8" t="n"/>
      <x:c r="C417" s="8" t="n"/>
      <x:c r="D417" s="8" t="n"/>
      <x:c r="E417" s="8" t="n"/>
      <x:c r="F417" s="8" t="n"/>
      <x:c r="G417" s="8" t="n"/>
    </x:row>
    <x:row r="418">
      <x:c r="A418" s="8" t="n"/>
      <x:c r="B418" s="8" t="n"/>
      <x:c r="C418" s="8" t="n"/>
      <x:c r="D418" s="8" t="n"/>
      <x:c r="E418" s="8" t="n"/>
      <x:c r="F418" s="8" t="n"/>
      <x:c r="G418" s="8" t="n"/>
    </x:row>
    <x:row r="419">
      <x:c r="A419" s="8" t="n"/>
      <x:c r="B419" s="8" t="n"/>
      <x:c r="C419" s="8" t="n"/>
      <x:c r="D419" s="8" t="n"/>
      <x:c r="E419" s="8" t="n"/>
      <x:c r="F419" s="8" t="n"/>
      <x:c r="G419" s="8" t="n"/>
    </x:row>
    <x:row r="420">
      <x:c r="A420" s="8" t="n"/>
      <x:c r="B420" s="8" t="n"/>
      <x:c r="C420" s="8" t="n"/>
      <x:c r="D420" s="8" t="n"/>
      <x:c r="E420" s="8" t="n"/>
      <x:c r="F420" s="8" t="n"/>
      <x:c r="G420" s="8" t="n"/>
    </x:row>
    <x:row r="421">
      <x:c r="A421" s="8" t="n"/>
      <x:c r="B421" s="8" t="n"/>
      <x:c r="C421" s="8" t="n"/>
      <x:c r="D421" s="8" t="n"/>
      <x:c r="E421" s="8" t="n"/>
      <x:c r="F421" s="8" t="n"/>
      <x:c r="G421" s="8" t="n"/>
    </x:row>
    <x:row r="422">
      <x:c r="A422" s="8" t="n"/>
      <x:c r="B422" s="8" t="n"/>
      <x:c r="C422" s="8" t="n"/>
      <x:c r="D422" s="8" t="n"/>
      <x:c r="E422" s="8" t="n"/>
      <x:c r="F422" s="8" t="n"/>
      <x:c r="G422" s="8" t="n"/>
    </x:row>
    <x:row r="423">
      <x:c r="A423" s="8" t="n"/>
      <x:c r="B423" s="8" t="n"/>
      <x:c r="C423" s="8" t="n"/>
      <x:c r="D423" s="8" t="n"/>
      <x:c r="E423" s="8" t="n"/>
      <x:c r="F423" s="8" t="n"/>
      <x:c r="G423" s="8" t="n"/>
    </x:row>
    <x:row r="424">
      <x:c r="A424" s="8" t="n"/>
      <x:c r="B424" s="8" t="n"/>
      <x:c r="C424" s="8" t="n"/>
      <x:c r="D424" s="8" t="n"/>
      <x:c r="E424" s="8" t="n"/>
      <x:c r="F424" s="8" t="n"/>
      <x:c r="G424" s="8" t="n"/>
    </x:row>
    <x:row r="425">
      <x:c r="A425" s="8" t="n"/>
      <x:c r="B425" s="8" t="n"/>
      <x:c r="C425" s="8" t="n"/>
      <x:c r="D425" s="8" t="n"/>
      <x:c r="E425" s="8" t="n"/>
      <x:c r="F425" s="8" t="n"/>
      <x:c r="G425" s="8" t="n"/>
    </x:row>
    <x:row r="426">
      <x:c r="A426" s="8" t="n"/>
      <x:c r="B426" s="8" t="n"/>
      <x:c r="C426" s="8" t="n"/>
      <x:c r="D426" s="8" t="n"/>
      <x:c r="E426" s="8" t="n"/>
      <x:c r="F426" s="8" t="n"/>
      <x:c r="G426" s="8" t="n"/>
    </x:row>
    <x:row r="427">
      <x:c r="A427" s="8" t="n"/>
      <x:c r="B427" s="8" t="n"/>
      <x:c r="C427" s="8" t="n"/>
      <x:c r="D427" s="8" t="n"/>
      <x:c r="E427" s="8" t="n"/>
      <x:c r="F427" s="8" t="n"/>
      <x:c r="G427" s="8" t="n"/>
    </x:row>
    <x:row r="428">
      <x:c r="A428" s="8" t="n"/>
      <x:c r="B428" s="8" t="n"/>
      <x:c r="C428" s="8" t="n"/>
      <x:c r="D428" s="8" t="n"/>
      <x:c r="E428" s="8" t="n"/>
      <x:c r="F428" s="8" t="n"/>
      <x:c r="G428" s="8" t="n"/>
    </x:row>
    <x:row r="429">
      <x:c r="A429" s="8" t="n"/>
      <x:c r="B429" s="8" t="n"/>
      <x:c r="C429" s="8" t="n"/>
      <x:c r="D429" s="8" t="n"/>
      <x:c r="E429" s="8" t="n"/>
      <x:c r="F429" s="8" t="n"/>
      <x:c r="G429" s="8" t="n"/>
    </x:row>
    <x:row r="430">
      <x:c r="A430" s="8" t="n"/>
      <x:c r="B430" s="8" t="n"/>
      <x:c r="C430" s="8" t="n"/>
      <x:c r="D430" s="8" t="n"/>
      <x:c r="E430" s="8" t="n"/>
      <x:c r="F430" s="8" t="n"/>
      <x:c r="G430" s="8" t="n"/>
    </x:row>
    <x:row r="431">
      <x:c r="A431" s="8" t="n"/>
      <x:c r="B431" s="8" t="n"/>
      <x:c r="C431" s="8" t="n"/>
      <x:c r="D431" s="8" t="n"/>
      <x:c r="E431" s="8" t="n"/>
      <x:c r="F431" s="8" t="n"/>
      <x:c r="G431" s="8" t="n"/>
    </x:row>
    <x:row r="432">
      <x:c r="A432" s="8" t="n"/>
      <x:c r="B432" s="8" t="n"/>
      <x:c r="C432" s="8" t="n"/>
      <x:c r="D432" s="8" t="n"/>
      <x:c r="E432" s="8" t="n"/>
      <x:c r="F432" s="8" t="n"/>
      <x:c r="G432" s="8" t="n"/>
    </x:row>
    <x:row r="433">
      <x:c r="A433" s="8" t="n"/>
      <x:c r="B433" s="8" t="n"/>
      <x:c r="C433" s="8" t="n"/>
      <x:c r="D433" s="8" t="n"/>
      <x:c r="E433" s="8" t="n"/>
      <x:c r="F433" s="8" t="n"/>
      <x:c r="G433" s="8" t="n"/>
    </x:row>
    <x:row r="434">
      <x:c r="A434" s="8" t="n"/>
      <x:c r="B434" s="8" t="n"/>
      <x:c r="C434" s="8" t="n"/>
      <x:c r="D434" s="8" t="n"/>
      <x:c r="E434" s="8" t="n"/>
      <x:c r="F434" s="8" t="n"/>
      <x:c r="G434" s="8" t="n"/>
    </x:row>
    <x:row r="435">
      <x:c r="A435" s="8" t="n"/>
      <x:c r="B435" s="8" t="n"/>
      <x:c r="C435" s="8" t="n"/>
      <x:c r="D435" s="8" t="n"/>
      <x:c r="E435" s="8" t="n"/>
      <x:c r="F435" s="8" t="n"/>
      <x:c r="G435" s="8" t="n"/>
    </x:row>
    <x:row r="436">
      <x:c r="A436" s="8" t="n"/>
      <x:c r="B436" s="8" t="n"/>
      <x:c r="C436" s="8" t="n"/>
      <x:c r="D436" s="8" t="n"/>
      <x:c r="E436" s="8" t="n"/>
      <x:c r="F436" s="8" t="n"/>
      <x:c r="G436" s="8" t="n"/>
    </x:row>
    <x:row r="437">
      <x:c r="A437" s="8" t="n"/>
      <x:c r="B437" s="8" t="n"/>
      <x:c r="C437" s="8" t="n"/>
      <x:c r="D437" s="8" t="n"/>
      <x:c r="E437" s="8" t="n"/>
      <x:c r="F437" s="8" t="n"/>
      <x:c r="G437" s="8" t="n"/>
    </x:row>
    <x:row r="438">
      <x:c r="A438" s="8" t="n"/>
      <x:c r="B438" s="8" t="n"/>
      <x:c r="C438" s="8" t="n"/>
      <x:c r="D438" s="8" t="n"/>
      <x:c r="E438" s="8" t="n"/>
      <x:c r="F438" s="8" t="n"/>
      <x:c r="G438" s="8" t="n"/>
    </x:row>
    <x:row r="439">
      <x:c r="A439" s="8" t="n"/>
      <x:c r="B439" s="8" t="n"/>
      <x:c r="C439" s="8" t="n"/>
      <x:c r="D439" s="8" t="n"/>
      <x:c r="E439" s="8" t="n"/>
      <x:c r="F439" s="8" t="n"/>
      <x:c r="G439" s="8" t="n"/>
    </x:row>
    <x:row r="440">
      <x:c r="A440" s="8" t="n"/>
      <x:c r="B440" s="8" t="n"/>
      <x:c r="C440" s="8" t="n"/>
      <x:c r="D440" s="8" t="n"/>
      <x:c r="E440" s="8" t="n"/>
      <x:c r="F440" s="8" t="n"/>
      <x:c r="G440" s="8" t="n"/>
    </x:row>
    <x:row r="441">
      <x:c r="A441" s="8" t="n"/>
      <x:c r="B441" s="8" t="n"/>
      <x:c r="C441" s="8" t="n"/>
      <x:c r="D441" s="8" t="n"/>
      <x:c r="E441" s="8" t="n"/>
      <x:c r="F441" s="8" t="n"/>
      <x:c r="G441" s="8" t="n"/>
    </x:row>
    <x:row r="442">
      <x:c r="A442" s="8" t="n"/>
      <x:c r="B442" s="8" t="n"/>
      <x:c r="C442" s="8" t="n"/>
      <x:c r="D442" s="8" t="n"/>
      <x:c r="E442" s="8" t="n"/>
      <x:c r="F442" s="8" t="n"/>
      <x:c r="G442" s="8" t="n"/>
    </x:row>
    <x:row r="443">
      <x:c r="A443" s="8" t="n"/>
      <x:c r="B443" s="8" t="n"/>
      <x:c r="C443" s="8" t="n"/>
      <x:c r="D443" s="8" t="n"/>
      <x:c r="E443" s="8" t="n"/>
      <x:c r="F443" s="8" t="n"/>
      <x:c r="G443" s="8" t="n"/>
    </x:row>
    <x:row r="444">
      <x:c r="A444" s="8" t="n"/>
      <x:c r="B444" s="8" t="n"/>
      <x:c r="C444" s="8" t="n"/>
      <x:c r="D444" s="8" t="n"/>
      <x:c r="E444" s="8" t="n"/>
      <x:c r="F444" s="8" t="n"/>
      <x:c r="G444" s="8" t="n"/>
    </x:row>
    <x:row r="445">
      <x:c r="A445" s="8" t="n"/>
      <x:c r="B445" s="8" t="n"/>
      <x:c r="C445" s="8" t="n"/>
      <x:c r="D445" s="8" t="n"/>
      <x:c r="E445" s="8" t="n"/>
      <x:c r="F445" s="8" t="n"/>
      <x:c r="G445" s="8" t="n"/>
    </x:row>
    <x:row r="446">
      <x:c r="A446" s="8" t="n"/>
      <x:c r="B446" s="8" t="n"/>
      <x:c r="C446" s="8" t="n"/>
      <x:c r="D446" s="8" t="n"/>
      <x:c r="E446" s="8" t="n"/>
      <x:c r="F446" s="8" t="n"/>
      <x:c r="G446" s="8" t="n"/>
    </x:row>
    <x:row r="447">
      <x:c r="A447" s="8" t="n"/>
      <x:c r="B447" s="8" t="n"/>
      <x:c r="C447" s="8" t="n"/>
      <x:c r="D447" s="8" t="n"/>
      <x:c r="E447" s="8" t="n"/>
      <x:c r="F447" s="8" t="n"/>
      <x:c r="G447" s="8" t="n"/>
    </x:row>
    <x:row r="448">
      <x:c r="A448" s="8" t="n"/>
      <x:c r="B448" s="8" t="n"/>
      <x:c r="C448" s="8" t="n"/>
      <x:c r="D448" s="8" t="n"/>
      <x:c r="E448" s="8" t="n"/>
      <x:c r="F448" s="8" t="n"/>
      <x:c r="G448" s="8" t="n"/>
    </x:row>
    <x:row r="449">
      <x:c r="A449" s="8" t="n"/>
      <x:c r="B449" s="8" t="n"/>
      <x:c r="C449" s="8" t="n"/>
      <x:c r="D449" s="8" t="n"/>
      <x:c r="E449" s="8" t="n"/>
      <x:c r="F449" s="8" t="n"/>
      <x:c r="G449" s="8" t="n"/>
    </x:row>
    <x:row r="450">
      <x:c r="A450" s="8" t="n"/>
      <x:c r="B450" s="8" t="n"/>
      <x:c r="C450" s="8" t="n"/>
      <x:c r="D450" s="8" t="n"/>
      <x:c r="E450" s="8" t="n"/>
      <x:c r="F450" s="8" t="n"/>
      <x:c r="G450" s="8" t="n"/>
    </x:row>
    <x:row r="451">
      <x:c r="A451" s="8" t="n"/>
      <x:c r="B451" s="8" t="n"/>
      <x:c r="C451" s="8" t="n"/>
      <x:c r="D451" s="8" t="n"/>
      <x:c r="E451" s="8" t="n"/>
      <x:c r="F451" s="8" t="n"/>
      <x:c r="G451" s="8" t="n"/>
    </x:row>
    <x:row r="452">
      <x:c r="A452" s="8" t="n"/>
      <x:c r="B452" s="8" t="n"/>
      <x:c r="C452" s="8" t="n"/>
      <x:c r="D452" s="8" t="n"/>
      <x:c r="E452" s="8" t="n"/>
      <x:c r="F452" s="8" t="n"/>
      <x:c r="G452" s="8" t="n"/>
    </x:row>
    <x:row r="453">
      <x:c r="A453" s="8" t="n"/>
      <x:c r="B453" s="8" t="n"/>
      <x:c r="C453" s="8" t="n"/>
      <x:c r="D453" s="8" t="n"/>
      <x:c r="E453" s="8" t="n"/>
      <x:c r="F453" s="8" t="n"/>
      <x:c r="G453" s="8" t="n"/>
    </x:row>
    <x:row r="454">
      <x:c r="A454" s="8" t="n"/>
      <x:c r="B454" s="8" t="n"/>
      <x:c r="C454" s="8" t="n"/>
      <x:c r="D454" s="8" t="n"/>
      <x:c r="E454" s="8" t="n"/>
      <x:c r="F454" s="8" t="n"/>
      <x:c r="G454" s="8" t="n"/>
    </x:row>
    <x:row r="455">
      <x:c r="A455" s="8" t="n"/>
      <x:c r="B455" s="8" t="n"/>
      <x:c r="C455" s="8" t="n"/>
      <x:c r="D455" s="8" t="n"/>
      <x:c r="E455" s="8" t="n"/>
      <x:c r="F455" s="8" t="n"/>
      <x:c r="G455" s="8" t="n"/>
    </x:row>
    <x:row r="456">
      <x:c r="A456" s="8" t="n"/>
      <x:c r="B456" s="8" t="n"/>
      <x:c r="C456" s="8" t="n"/>
      <x:c r="D456" s="8" t="n"/>
      <x:c r="E456" s="8" t="n"/>
      <x:c r="F456" s="8" t="n"/>
      <x:c r="G456" s="8" t="n"/>
    </x:row>
    <x:row r="457">
      <x:c r="A457" s="8" t="n"/>
      <x:c r="B457" s="8" t="n"/>
      <x:c r="C457" s="8" t="n"/>
      <x:c r="D457" s="8" t="n"/>
      <x:c r="E457" s="8" t="n"/>
      <x:c r="F457" s="8" t="n"/>
      <x:c r="G457" s="8" t="n"/>
    </x:row>
    <x:row r="458">
      <x:c r="A458" s="8" t="n"/>
      <x:c r="B458" s="8" t="n"/>
      <x:c r="C458" s="8" t="n"/>
      <x:c r="D458" s="8" t="n"/>
      <x:c r="E458" s="8" t="n"/>
      <x:c r="F458" s="8" t="n"/>
      <x:c r="G458" s="8" t="n"/>
    </x:row>
    <x:row r="459">
      <x:c r="A459" s="8" t="n"/>
      <x:c r="B459" s="8" t="n"/>
      <x:c r="C459" s="8" t="n"/>
      <x:c r="D459" s="8" t="n"/>
      <x:c r="E459" s="8" t="n"/>
      <x:c r="F459" s="8" t="n"/>
      <x:c r="G459" s="8" t="n"/>
    </x:row>
    <x:row r="460">
      <x:c r="A460" s="8" t="n"/>
      <x:c r="B460" s="8" t="n"/>
      <x:c r="C460" s="8" t="n"/>
      <x:c r="D460" s="8" t="n"/>
      <x:c r="E460" s="8" t="n"/>
      <x:c r="F460" s="8" t="n"/>
      <x:c r="G460" s="8" t="n"/>
    </x:row>
    <x:row r="461">
      <x:c r="A461" s="8" t="n"/>
      <x:c r="B461" s="8" t="n"/>
      <x:c r="C461" s="8" t="n"/>
      <x:c r="D461" s="8" t="n"/>
      <x:c r="E461" s="8" t="n"/>
      <x:c r="F461" s="8" t="n"/>
      <x:c r="G461" s="8" t="n"/>
    </x:row>
    <x:row r="462">
      <x:c r="A462" s="8" t="n"/>
      <x:c r="B462" s="8" t="n"/>
      <x:c r="C462" s="8" t="n"/>
      <x:c r="D462" s="8" t="n"/>
      <x:c r="E462" s="8" t="n"/>
      <x:c r="F462" s="8" t="n"/>
      <x:c r="G462" s="8" t="n"/>
    </x:row>
    <x:row r="463">
      <x:c r="A463" s="8" t="n"/>
      <x:c r="B463" s="8" t="n"/>
      <x:c r="C463" s="8" t="n"/>
      <x:c r="D463" s="8" t="n"/>
      <x:c r="E463" s="8" t="n"/>
      <x:c r="F463" s="8" t="n"/>
      <x:c r="G463" s="8" t="n"/>
    </x:row>
    <x:row r="464">
      <x:c r="A464" s="8" t="n"/>
      <x:c r="B464" s="8" t="n"/>
      <x:c r="C464" s="8" t="n"/>
      <x:c r="D464" s="8" t="n"/>
      <x:c r="E464" s="8" t="n"/>
      <x:c r="F464" s="8" t="n"/>
      <x:c r="G464" s="8" t="n"/>
    </x:row>
    <x:row r="465">
      <x:c r="A465" s="8" t="n"/>
      <x:c r="B465" s="8" t="n"/>
      <x:c r="C465" s="8" t="n"/>
      <x:c r="D465" s="8" t="n"/>
      <x:c r="E465" s="8" t="n"/>
      <x:c r="F465" s="8" t="n"/>
      <x:c r="G465" s="8" t="n"/>
    </x:row>
    <x:row r="466">
      <x:c r="A466" s="8" t="n"/>
      <x:c r="B466" s="8" t="n"/>
      <x:c r="C466" s="8" t="n"/>
      <x:c r="D466" s="8" t="n"/>
      <x:c r="E466" s="8" t="n"/>
      <x:c r="F466" s="8" t="n"/>
      <x:c r="G466" s="8" t="n"/>
    </x:row>
    <x:row r="467">
      <x:c r="A467" s="8" t="n"/>
      <x:c r="B467" s="8" t="n"/>
      <x:c r="C467" s="8" t="n"/>
      <x:c r="D467" s="8" t="n"/>
      <x:c r="E467" s="8" t="n"/>
      <x:c r="F467" s="8" t="n"/>
      <x:c r="G467" s="8" t="n"/>
    </x:row>
    <x:row r="468">
      <x:c r="A468" s="8" t="n"/>
      <x:c r="B468" s="8" t="n"/>
      <x:c r="C468" s="8" t="n"/>
      <x:c r="D468" s="8" t="n"/>
      <x:c r="E468" s="8" t="n"/>
      <x:c r="F468" s="8" t="n"/>
      <x:c r="G468" s="8" t="n"/>
    </x:row>
    <x:row r="469">
      <x:c r="A469" s="8" t="n"/>
      <x:c r="B469" s="8" t="n"/>
      <x:c r="C469" s="8" t="n"/>
      <x:c r="D469" s="8" t="n"/>
      <x:c r="E469" s="8" t="n"/>
      <x:c r="F469" s="8" t="n"/>
      <x:c r="G469" s="8" t="n"/>
    </x:row>
    <x:row r="470">
      <x:c r="A470" s="8" t="n"/>
      <x:c r="B470" s="8" t="n"/>
      <x:c r="C470" s="8" t="n"/>
      <x:c r="D470" s="8" t="n"/>
      <x:c r="E470" s="8" t="n"/>
      <x:c r="F470" s="8" t="n"/>
      <x:c r="G470" s="8" t="n"/>
    </x:row>
    <x:row r="471">
      <x:c r="A471" s="8" t="n"/>
      <x:c r="B471" s="8" t="n"/>
      <x:c r="C471" s="8" t="n"/>
      <x:c r="D471" s="8" t="n"/>
      <x:c r="E471" s="8" t="n"/>
      <x:c r="F471" s="8" t="n"/>
      <x:c r="G471" s="8" t="n"/>
    </x:row>
    <x:row r="472">
      <x:c r="A472" s="8" t="n"/>
      <x:c r="B472" s="8" t="n"/>
      <x:c r="C472" s="8" t="n"/>
      <x:c r="D472" s="8" t="n"/>
      <x:c r="E472" s="8" t="n"/>
      <x:c r="F472" s="8" t="n"/>
      <x:c r="G472" s="8" t="n"/>
    </x:row>
    <x:row r="473">
      <x:c r="A473" s="8" t="n"/>
      <x:c r="B473" s="8" t="n"/>
      <x:c r="C473" s="8" t="n"/>
      <x:c r="D473" s="8" t="n"/>
      <x:c r="E473" s="8" t="n"/>
      <x:c r="F473" s="8" t="n"/>
      <x:c r="G473" s="8" t="n"/>
    </x:row>
    <x:row r="474">
      <x:c r="A474" s="8" t="n"/>
      <x:c r="B474" s="8" t="n"/>
      <x:c r="C474" s="8" t="n"/>
      <x:c r="D474" s="8" t="n"/>
      <x:c r="E474" s="8" t="n"/>
      <x:c r="F474" s="8" t="n"/>
      <x:c r="G474" s="8" t="n"/>
    </x:row>
    <x:row r="475">
      <x:c r="A475" s="8" t="n"/>
      <x:c r="B475" s="8" t="n"/>
      <x:c r="C475" s="8" t="n"/>
      <x:c r="D475" s="8" t="n"/>
      <x:c r="E475" s="8" t="n"/>
      <x:c r="F475" s="8" t="n"/>
      <x:c r="G475" s="8" t="n"/>
    </x:row>
    <x:row r="476">
      <x:c r="A476" s="8" t="n"/>
      <x:c r="B476" s="8" t="n"/>
      <x:c r="C476" s="8" t="n"/>
      <x:c r="D476" s="8" t="n"/>
      <x:c r="E476" s="8" t="n"/>
      <x:c r="F476" s="8" t="n"/>
      <x:c r="G476" s="8" t="n"/>
    </x:row>
    <x:row r="477">
      <x:c r="A477" s="8" t="n"/>
      <x:c r="B477" s="8" t="n"/>
      <x:c r="C477" s="8" t="n"/>
      <x:c r="D477" s="8" t="n"/>
      <x:c r="E477" s="8" t="n"/>
      <x:c r="F477" s="8" t="n"/>
      <x:c r="G477" s="8" t="n"/>
    </x:row>
    <x:row r="478">
      <x:c r="A478" s="8" t="n"/>
      <x:c r="B478" s="8" t="n"/>
      <x:c r="C478" s="8" t="n"/>
      <x:c r="D478" s="8" t="n"/>
      <x:c r="E478" s="8" t="n"/>
      <x:c r="F478" s="8" t="n"/>
      <x:c r="G478" s="8" t="n"/>
    </x:row>
    <x:row r="479">
      <x:c r="A479" s="8" t="n"/>
      <x:c r="B479" s="8" t="n"/>
      <x:c r="C479" s="8" t="n"/>
      <x:c r="D479" s="8" t="n"/>
      <x:c r="E479" s="8" t="n"/>
      <x:c r="F479" s="8" t="n"/>
      <x:c r="G479" s="8" t="n"/>
    </x:row>
    <x:row r="480">
      <x:c r="A480" s="8" t="n"/>
      <x:c r="B480" s="8" t="n"/>
      <x:c r="C480" s="8" t="n"/>
      <x:c r="D480" s="8" t="n"/>
      <x:c r="E480" s="8" t="n"/>
      <x:c r="F480" s="8" t="n"/>
      <x:c r="G480" s="8" t="n"/>
    </x:row>
    <x:row r="481">
      <x:c r="A481" s="8" t="n"/>
      <x:c r="B481" s="8" t="n"/>
      <x:c r="C481" s="8" t="n"/>
      <x:c r="D481" s="8" t="n"/>
      <x:c r="E481" s="8" t="n"/>
      <x:c r="F481" s="8" t="n"/>
      <x:c r="G481" s="8" t="n"/>
    </x:row>
    <x:row r="482">
      <x:c r="A482" s="8" t="n"/>
      <x:c r="B482" s="8" t="n"/>
      <x:c r="C482" s="8" t="n"/>
      <x:c r="D482" s="8" t="n"/>
      <x:c r="E482" s="8" t="n"/>
      <x:c r="F482" s="8" t="n"/>
      <x:c r="G482" s="8" t="n"/>
    </x:row>
    <x:row r="483">
      <x:c r="A483" s="8" t="n"/>
      <x:c r="B483" s="8" t="n"/>
      <x:c r="C483" s="8" t="n"/>
      <x:c r="D483" s="8" t="n"/>
      <x:c r="E483" s="8" t="n"/>
      <x:c r="F483" s="8" t="n"/>
      <x:c r="G483" s="8" t="n"/>
    </x:row>
    <x:row r="484">
      <x:c r="A484" s="8" t="n"/>
      <x:c r="B484" s="8" t="n"/>
      <x:c r="C484" s="8" t="n"/>
      <x:c r="D484" s="8" t="n"/>
      <x:c r="E484" s="8" t="n"/>
      <x:c r="F484" s="8" t="n"/>
      <x:c r="G484" s="8" t="n"/>
    </x:row>
    <x:row r="485">
      <x:c r="A485" s="8" t="n"/>
      <x:c r="B485" s="8" t="n"/>
      <x:c r="C485" s="8" t="n"/>
      <x:c r="D485" s="8" t="n"/>
      <x:c r="E485" s="8" t="n"/>
      <x:c r="F485" s="8" t="n"/>
      <x:c r="G485" s="8" t="n"/>
    </x:row>
    <x:row r="486">
      <x:c r="A486" s="8" t="n"/>
      <x:c r="B486" s="8" t="n"/>
      <x:c r="C486" s="8" t="n"/>
      <x:c r="D486" s="8" t="n"/>
      <x:c r="E486" s="8" t="n"/>
      <x:c r="F486" s="8" t="n"/>
      <x:c r="G486" s="8" t="n"/>
    </x:row>
    <x:row r="487">
      <x:c r="A487" s="8" t="n"/>
      <x:c r="B487" s="8" t="n"/>
      <x:c r="C487" s="8" t="n"/>
      <x:c r="D487" s="8" t="n"/>
      <x:c r="E487" s="8" t="n"/>
      <x:c r="F487" s="8" t="n"/>
      <x:c r="G487" s="8" t="n"/>
    </x:row>
    <x:row r="488">
      <x:c r="A488" s="8" t="n"/>
      <x:c r="B488" s="8" t="n"/>
      <x:c r="C488" s="8" t="n"/>
      <x:c r="D488" s="8" t="n"/>
      <x:c r="E488" s="8" t="n"/>
      <x:c r="F488" s="8" t="n"/>
      <x:c r="G488" s="8" t="n"/>
    </x:row>
    <x:row r="489">
      <x:c r="A489" s="8" t="n"/>
      <x:c r="B489" s="8" t="n"/>
      <x:c r="C489" s="8" t="n"/>
      <x:c r="D489" s="8" t="n"/>
      <x:c r="E489" s="8" t="n"/>
      <x:c r="F489" s="8" t="n"/>
      <x:c r="G489" s="8" t="n"/>
    </x:row>
    <x:row r="490">
      <x:c r="A490" s="8" t="n"/>
      <x:c r="B490" s="8" t="n"/>
      <x:c r="C490" s="8" t="n"/>
      <x:c r="D490" s="8" t="n"/>
      <x:c r="E490" s="8" t="n"/>
      <x:c r="F490" s="8" t="n"/>
      <x:c r="G490" s="8" t="n"/>
    </x:row>
    <x:row r="491">
      <x:c r="A491" s="8" t="n"/>
      <x:c r="B491" s="8" t="n"/>
      <x:c r="C491" s="8" t="n"/>
      <x:c r="D491" s="8" t="n"/>
      <x:c r="E491" s="8" t="n"/>
      <x:c r="F491" s="8" t="n"/>
      <x:c r="G491" s="8" t="n"/>
    </x:row>
    <x:row r="492">
      <x:c r="A492" s="8" t="n"/>
      <x:c r="B492" s="8" t="n"/>
      <x:c r="C492" s="8" t="n"/>
      <x:c r="D492" s="8" t="n"/>
      <x:c r="E492" s="8" t="n"/>
      <x:c r="F492" s="8" t="n"/>
      <x:c r="G492" s="8" t="n"/>
    </x:row>
    <x:row r="493">
      <x:c r="A493" s="8" t="n"/>
      <x:c r="B493" s="8" t="n"/>
      <x:c r="C493" s="8" t="n"/>
      <x:c r="D493" s="8" t="n"/>
      <x:c r="E493" s="8" t="n"/>
      <x:c r="F493" s="8" t="n"/>
      <x:c r="G493" s="8" t="n"/>
    </x:row>
    <x:row r="494">
      <x:c r="A494" s="8" t="n"/>
      <x:c r="B494" s="8" t="n"/>
      <x:c r="C494" s="8" t="n"/>
      <x:c r="D494" s="8" t="n"/>
      <x:c r="E494" s="8" t="n"/>
      <x:c r="F494" s="8" t="n"/>
      <x:c r="G494" s="8" t="n"/>
    </x:row>
    <x:row r="495">
      <x:c r="A495" s="8" t="n"/>
      <x:c r="B495" s="8" t="n"/>
      <x:c r="C495" s="8" t="n"/>
      <x:c r="D495" s="8" t="n"/>
      <x:c r="E495" s="8" t="n"/>
      <x:c r="F495" s="8" t="n"/>
      <x:c r="G495" s="8" t="n"/>
    </x:row>
    <x:row r="496">
      <x:c r="A496" s="8" t="n"/>
      <x:c r="B496" s="8" t="n"/>
      <x:c r="C496" s="8" t="n"/>
      <x:c r="D496" s="8" t="n"/>
      <x:c r="E496" s="8" t="n"/>
      <x:c r="F496" s="8" t="n"/>
      <x:c r="G496" s="8" t="n"/>
    </x:row>
    <x:row r="497">
      <x:c r="A497" s="8" t="n"/>
      <x:c r="B497" s="8" t="n"/>
      <x:c r="C497" s="8" t="n"/>
      <x:c r="D497" s="8" t="n"/>
      <x:c r="E497" s="8" t="n"/>
      <x:c r="F497" s="8" t="n"/>
      <x:c r="G497" s="8" t="n"/>
    </x:row>
    <x:row r="498">
      <x:c r="A498" s="8" t="n"/>
      <x:c r="B498" s="8" t="n"/>
      <x:c r="C498" s="8" t="n"/>
      <x:c r="D498" s="8" t="n"/>
      <x:c r="E498" s="8" t="n"/>
      <x:c r="F498" s="8" t="n"/>
      <x:c r="G498" s="8" t="n"/>
    </x:row>
    <x:row r="499">
      <x:c r="A499" s="8" t="n"/>
      <x:c r="B499" s="8" t="n"/>
      <x:c r="C499" s="8" t="n"/>
      <x:c r="D499" s="8" t="n"/>
      <x:c r="E499" s="8" t="n"/>
      <x:c r="F499" s="8" t="n"/>
      <x:c r="G499" s="8" t="n"/>
    </x:row>
    <x:row r="500">
      <x:c r="A500" s="8" t="n"/>
      <x:c r="B500" s="8" t="n"/>
      <x:c r="C500" s="8" t="n"/>
      <x:c r="D500" s="8" t="n"/>
      <x:c r="E500" s="8" t="n"/>
      <x:c r="F500" s="8" t="n"/>
      <x:c r="G500" s="8" t="n"/>
    </x:row>
    <x:row r="501">
      <x:c r="A501" s="8" t="n"/>
      <x:c r="B501" s="8" t="n"/>
      <x:c r="C501" s="8" t="n"/>
      <x:c r="D501" s="8" t="n"/>
      <x:c r="E501" s="8" t="n"/>
      <x:c r="F501" s="8" t="n"/>
      <x:c r="G501" s="8" t="n"/>
    </x:row>
    <x:row r="502">
      <x:c r="A502" s="8" t="n"/>
      <x:c r="B502" s="8" t="n"/>
      <x:c r="C502" s="8" t="n"/>
      <x:c r="D502" s="8" t="n"/>
      <x:c r="E502" s="8" t="n"/>
      <x:c r="F502" s="8" t="n"/>
      <x:c r="G502" s="8" t="n"/>
    </x:row>
    <x:row r="503">
      <x:c r="A503" s="8" t="n"/>
      <x:c r="B503" s="8" t="n"/>
      <x:c r="C503" s="8" t="n"/>
      <x:c r="D503" s="8" t="n"/>
      <x:c r="E503" s="8" t="n"/>
      <x:c r="F503" s="8" t="n"/>
      <x:c r="G503" s="8" t="n"/>
    </x:row>
    <x:row r="504">
      <x:c r="A504" s="8" t="n"/>
      <x:c r="B504" s="8" t="n"/>
      <x:c r="C504" s="8" t="n"/>
      <x:c r="D504" s="8" t="n"/>
      <x:c r="E504" s="8" t="n"/>
      <x:c r="F504" s="8" t="n"/>
      <x:c r="G504" s="8" t="n"/>
    </x:row>
    <x:row r="505">
      <x:c r="A505" s="8" t="n"/>
      <x:c r="B505" s="8" t="n"/>
      <x:c r="C505" s="8" t="n"/>
      <x:c r="D505" s="8" t="n"/>
      <x:c r="E505" s="8" t="n"/>
      <x:c r="F505" s="8" t="n"/>
      <x:c r="G505" s="8" t="n"/>
    </x:row>
    <x:row r="506">
      <x:c r="A506" s="8" t="n"/>
      <x:c r="B506" s="8" t="n"/>
      <x:c r="C506" s="8" t="n"/>
      <x:c r="D506" s="8" t="n"/>
      <x:c r="E506" s="8" t="n"/>
      <x:c r="F506" s="8" t="n"/>
      <x:c r="G506" s="8" t="n"/>
    </x:row>
    <x:row r="507">
      <x:c r="A507" s="8" t="n"/>
      <x:c r="B507" s="8" t="n"/>
      <x:c r="C507" s="8" t="n"/>
      <x:c r="D507" s="8" t="n"/>
      <x:c r="E507" s="8" t="n"/>
      <x:c r="F507" s="8" t="n"/>
      <x:c r="G507" s="8" t="n"/>
    </x:row>
    <x:row r="508">
      <x:c r="A508" s="8" t="n"/>
      <x:c r="B508" s="8" t="n"/>
      <x:c r="C508" s="8" t="n"/>
      <x:c r="D508" s="8" t="n"/>
      <x:c r="E508" s="8" t="n"/>
      <x:c r="F508" s="8" t="n"/>
      <x:c r="G508" s="8" t="n"/>
    </x:row>
    <x:row r="509">
      <x:c r="A509" s="8" t="n"/>
      <x:c r="B509" s="8" t="n"/>
      <x:c r="C509" s="8" t="n"/>
      <x:c r="D509" s="8" t="n"/>
      <x:c r="E509" s="8" t="n"/>
      <x:c r="F509" s="8" t="n"/>
      <x:c r="G509" s="8" t="n"/>
    </x:row>
    <x:row r="510">
      <x:c r="A510" s="8" t="n"/>
      <x:c r="B510" s="8" t="n"/>
      <x:c r="C510" s="8" t="n"/>
      <x:c r="D510" s="8" t="n"/>
      <x:c r="E510" s="8" t="n"/>
      <x:c r="F510" s="8" t="n"/>
      <x:c r="G510" s="8" t="n"/>
    </x:row>
    <x:row r="511">
      <x:c r="A511" s="8" t="n"/>
      <x:c r="B511" s="8" t="n"/>
      <x:c r="C511" s="8" t="n"/>
      <x:c r="D511" s="8" t="n"/>
      <x:c r="E511" s="8" t="n"/>
      <x:c r="F511" s="8" t="n"/>
      <x:c r="G511" s="8" t="n"/>
    </x:row>
    <x:row r="512">
      <x:c r="A512" s="8" t="n"/>
      <x:c r="B512" s="8" t="n"/>
      <x:c r="C512" s="8" t="n"/>
      <x:c r="D512" s="8" t="n"/>
      <x:c r="E512" s="8" t="n"/>
      <x:c r="F512" s="8" t="n"/>
      <x:c r="G512" s="8" t="n"/>
    </x:row>
    <x:row r="513">
      <x:c r="A513" s="8" t="n"/>
      <x:c r="B513" s="8" t="n"/>
      <x:c r="C513" s="8" t="n"/>
      <x:c r="D513" s="8" t="n"/>
      <x:c r="E513" s="8" t="n"/>
      <x:c r="F513" s="8" t="n"/>
      <x:c r="G513" s="8" t="n"/>
    </x:row>
    <x:row r="514">
      <x:c r="A514" s="8" t="n"/>
      <x:c r="B514" s="8" t="n"/>
      <x:c r="C514" s="8" t="n"/>
      <x:c r="D514" s="8" t="n"/>
      <x:c r="E514" s="8" t="n"/>
      <x:c r="F514" s="8" t="n"/>
      <x:c r="G514" s="8" t="n"/>
    </x:row>
    <x:row r="515">
      <x:c r="A515" s="8" t="n"/>
      <x:c r="B515" s="8" t="n"/>
      <x:c r="C515" s="8" t="n"/>
      <x:c r="D515" s="8" t="n"/>
      <x:c r="E515" s="8" t="n"/>
      <x:c r="F515" s="8" t="n"/>
      <x:c r="G515" s="8" t="n"/>
    </x:row>
    <x:row r="516">
      <x:c r="A516" s="8" t="n"/>
      <x:c r="B516" s="8" t="n"/>
      <x:c r="C516" s="8" t="n"/>
      <x:c r="D516" s="8" t="n"/>
      <x:c r="E516" s="8" t="n"/>
      <x:c r="F516" s="8" t="n"/>
      <x:c r="G516" s="8" t="n"/>
    </x:row>
    <x:row r="517">
      <x:c r="A517" s="8" t="n"/>
      <x:c r="B517" s="8" t="n"/>
      <x:c r="C517" s="8" t="n"/>
      <x:c r="D517" s="8" t="n"/>
      <x:c r="E517" s="8" t="n"/>
      <x:c r="F517" s="8" t="n"/>
      <x:c r="G517" s="8" t="n"/>
    </x:row>
    <x:row r="518">
      <x:c r="A518" s="8" t="n"/>
      <x:c r="B518" s="8" t="n"/>
      <x:c r="C518" s="8" t="n"/>
      <x:c r="D518" s="8" t="n"/>
      <x:c r="E518" s="8" t="n"/>
      <x:c r="F518" s="8" t="n"/>
      <x:c r="G518" s="8" t="n"/>
    </x:row>
    <x:row r="519">
      <x:c r="A519" s="8" t="n"/>
      <x:c r="B519" s="8" t="n"/>
      <x:c r="C519" s="8" t="n"/>
      <x:c r="D519" s="8" t="n"/>
      <x:c r="E519" s="8" t="n"/>
      <x:c r="F519" s="8" t="n"/>
      <x:c r="G519" s="8" t="n"/>
    </x:row>
    <x:row r="520">
      <x:c r="A520" s="8" t="n"/>
      <x:c r="B520" s="8" t="n"/>
      <x:c r="C520" s="8" t="n"/>
      <x:c r="D520" s="8" t="n"/>
      <x:c r="E520" s="8" t="n"/>
      <x:c r="F520" s="8" t="n"/>
      <x:c r="G520" s="8" t="n"/>
    </x:row>
    <x:row r="521">
      <x:c r="A521" s="8" t="n"/>
      <x:c r="B521" s="8" t="n"/>
      <x:c r="C521" s="8" t="n"/>
      <x:c r="D521" s="8" t="n"/>
      <x:c r="E521" s="8" t="n"/>
      <x:c r="F521" s="8" t="n"/>
      <x:c r="G521" s="8" t="n"/>
    </x:row>
    <x:row r="522">
      <x:c r="A522" s="8" t="n"/>
      <x:c r="B522" s="8" t="n"/>
      <x:c r="C522" s="8" t="n"/>
      <x:c r="D522" s="8" t="n"/>
      <x:c r="E522" s="8" t="n"/>
      <x:c r="F522" s="8" t="n"/>
      <x:c r="G522" s="8" t="n"/>
    </x:row>
    <x:row r="523">
      <x:c r="A523" s="8" t="n"/>
      <x:c r="B523" s="8" t="n"/>
      <x:c r="C523" s="8" t="n"/>
      <x:c r="D523" s="8" t="n"/>
      <x:c r="E523" s="8" t="n"/>
      <x:c r="F523" s="8" t="n"/>
      <x:c r="G523" s="8" t="n"/>
    </x:row>
    <x:row r="524">
      <x:c r="A524" s="8" t="n"/>
      <x:c r="B524" s="8" t="n"/>
      <x:c r="C524" s="8" t="n"/>
      <x:c r="D524" s="8" t="n"/>
      <x:c r="E524" s="8" t="n"/>
      <x:c r="F524" s="8" t="n"/>
      <x:c r="G524" s="8" t="n"/>
    </x:row>
    <x:row r="525">
      <x:c r="A525" s="8" t="n"/>
      <x:c r="B525" s="8" t="n"/>
      <x:c r="C525" s="8" t="n"/>
      <x:c r="D525" s="8" t="n"/>
      <x:c r="E525" s="8" t="n"/>
      <x:c r="F525" s="8" t="n"/>
      <x:c r="G525" s="8" t="n"/>
    </x:row>
    <x:row r="526">
      <x:c r="A526" s="8" t="n"/>
      <x:c r="B526" s="8" t="n"/>
      <x:c r="C526" s="8" t="n"/>
      <x:c r="D526" s="8" t="n"/>
      <x:c r="E526" s="8" t="n"/>
      <x:c r="F526" s="8" t="n"/>
      <x:c r="G526" s="8" t="n"/>
    </x:row>
    <x:row r="527">
      <x:c r="A527" s="8" t="n"/>
      <x:c r="B527" s="8" t="n"/>
      <x:c r="C527" s="8" t="n"/>
      <x:c r="D527" s="8" t="n"/>
      <x:c r="E527" s="8" t="n"/>
      <x:c r="F527" s="8" t="n"/>
      <x:c r="G527" s="8" t="n"/>
    </x:row>
    <x:row r="528">
      <x:c r="A528" s="8" t="n"/>
      <x:c r="B528" s="8" t="n"/>
      <x:c r="C528" s="8" t="n"/>
      <x:c r="D528" s="8" t="n"/>
      <x:c r="E528" s="8" t="n"/>
      <x:c r="F528" s="8" t="n"/>
      <x:c r="G528" s="8" t="n"/>
    </x:row>
    <x:row r="529">
      <x:c r="A529" s="8" t="n"/>
      <x:c r="B529" s="8" t="n"/>
      <x:c r="C529" s="8" t="n"/>
      <x:c r="D529" s="8" t="n"/>
      <x:c r="E529" s="8" t="n"/>
      <x:c r="F529" s="8" t="n"/>
      <x:c r="G529" s="8" t="n"/>
    </x:row>
    <x:row r="530">
      <x:c r="A530" s="8" t="n"/>
      <x:c r="B530" s="8" t="n"/>
      <x:c r="C530" s="8" t="n"/>
      <x:c r="D530" s="8" t="n"/>
      <x:c r="E530" s="8" t="n"/>
      <x:c r="F530" s="8" t="n"/>
      <x:c r="G530" s="8" t="n"/>
    </x:row>
    <x:row r="531">
      <x:c r="A531" s="8" t="n"/>
      <x:c r="B531" s="8" t="n"/>
      <x:c r="C531" s="8" t="n"/>
      <x:c r="D531" s="8" t="n"/>
      <x:c r="E531" s="8" t="n"/>
      <x:c r="F531" s="8" t="n"/>
      <x:c r="G531" s="8" t="n"/>
    </x:row>
    <x:row r="532">
      <x:c r="A532" s="8" t="n"/>
      <x:c r="B532" s="8" t="n"/>
      <x:c r="C532" s="8" t="n"/>
      <x:c r="D532" s="8" t="n"/>
      <x:c r="E532" s="8" t="n"/>
      <x:c r="F532" s="8" t="n"/>
      <x:c r="G532" s="8" t="n"/>
    </x:row>
    <x:row r="533">
      <x:c r="A533" s="8" t="n"/>
      <x:c r="B533" s="8" t="n"/>
      <x:c r="C533" s="8" t="n"/>
      <x:c r="D533" s="8" t="n"/>
      <x:c r="E533" s="8" t="n"/>
      <x:c r="F533" s="8" t="n"/>
      <x:c r="G533" s="8" t="n"/>
    </x:row>
    <x:row r="534">
      <x:c r="A534" s="8" t="n"/>
      <x:c r="B534" s="8" t="n"/>
      <x:c r="C534" s="8" t="n"/>
      <x:c r="D534" s="8" t="n"/>
      <x:c r="E534" s="8" t="n"/>
      <x:c r="F534" s="8" t="n"/>
      <x:c r="G534" s="8" t="n"/>
    </x:row>
    <x:row r="535">
      <x:c r="A535" s="8" t="n"/>
      <x:c r="B535" s="8" t="n"/>
      <x:c r="C535" s="8" t="n"/>
      <x:c r="D535" s="8" t="n"/>
      <x:c r="E535" s="8" t="n"/>
      <x:c r="F535" s="8" t="n"/>
      <x:c r="G535" s="8" t="n"/>
    </x:row>
    <x:row r="536">
      <x:c r="A536" s="8" t="n"/>
      <x:c r="B536" s="8" t="n"/>
      <x:c r="C536" s="8" t="n"/>
      <x:c r="D536" s="8" t="n"/>
      <x:c r="E536" s="8" t="n"/>
      <x:c r="F536" s="8" t="n"/>
      <x:c r="G536" s="8" t="n"/>
    </x:row>
    <x:row r="537">
      <x:c r="A537" s="8" t="n"/>
      <x:c r="B537" s="8" t="n"/>
      <x:c r="C537" s="8" t="n"/>
      <x:c r="D537" s="8" t="n"/>
      <x:c r="E537" s="8" t="n"/>
      <x:c r="F537" s="8" t="n"/>
      <x:c r="G537" s="8" t="n"/>
    </x:row>
    <x:row r="538">
      <x:c r="A538" s="8" t="n"/>
      <x:c r="B538" s="8" t="n"/>
      <x:c r="C538" s="8" t="n"/>
      <x:c r="D538" s="8" t="n"/>
      <x:c r="E538" s="8" t="n"/>
      <x:c r="F538" s="8" t="n"/>
      <x:c r="G538" s="8" t="n"/>
    </x:row>
    <x:row r="539">
      <x:c r="A539" s="8" t="n"/>
      <x:c r="B539" s="8" t="n"/>
      <x:c r="C539" s="8" t="n"/>
      <x:c r="D539" s="8" t="n"/>
      <x:c r="E539" s="8" t="n"/>
      <x:c r="F539" s="8" t="n"/>
      <x:c r="G539" s="8" t="n"/>
    </x:row>
    <x:row r="540">
      <x:c r="A540" s="8" t="n"/>
      <x:c r="B540" s="8" t="n"/>
      <x:c r="C540" s="8" t="n"/>
      <x:c r="D540" s="8" t="n"/>
      <x:c r="E540" s="8" t="n"/>
      <x:c r="F540" s="8" t="n"/>
      <x:c r="G540" s="8" t="n"/>
    </x:row>
    <x:row r="541">
      <x:c r="A541" s="8" t="n"/>
      <x:c r="B541" s="8" t="n"/>
      <x:c r="C541" s="8" t="n"/>
      <x:c r="D541" s="8" t="n"/>
      <x:c r="E541" s="8" t="n"/>
      <x:c r="F541" s="8" t="n"/>
      <x:c r="G541" s="8" t="n"/>
    </x:row>
    <x:row r="542">
      <x:c r="A542" s="8" t="n"/>
      <x:c r="B542" s="8" t="n"/>
      <x:c r="C542" s="8" t="n"/>
      <x:c r="D542" s="8" t="n"/>
      <x:c r="E542" s="8" t="n"/>
      <x:c r="F542" s="8" t="n"/>
      <x:c r="G542" s="8" t="n"/>
    </x:row>
    <x:row r="543">
      <x:c r="A543" s="8" t="n"/>
      <x:c r="B543" s="8" t="n"/>
      <x:c r="C543" s="8" t="n"/>
      <x:c r="D543" s="8" t="n"/>
      <x:c r="E543" s="8" t="n"/>
      <x:c r="F543" s="8" t="n"/>
      <x:c r="G543" s="8" t="n"/>
    </x:row>
    <x:row r="544">
      <x:c r="A544" s="8" t="n"/>
      <x:c r="B544" s="8" t="n"/>
      <x:c r="C544" s="8" t="n"/>
      <x:c r="D544" s="8" t="n"/>
      <x:c r="E544" s="8" t="n"/>
      <x:c r="F544" s="8" t="n"/>
      <x:c r="G544" s="8" t="n"/>
    </x:row>
    <x:row r="545">
      <x:c r="A545" s="8" t="n"/>
      <x:c r="B545" s="8" t="n"/>
      <x:c r="C545" s="8" t="n"/>
      <x:c r="D545" s="8" t="n"/>
      <x:c r="E545" s="8" t="n"/>
      <x:c r="F545" s="8" t="n"/>
      <x:c r="G545" s="8" t="n"/>
    </x:row>
    <x:row r="546">
      <x:c r="A546" s="8" t="n"/>
      <x:c r="B546" s="8" t="n"/>
      <x:c r="C546" s="8" t="n"/>
      <x:c r="D546" s="8" t="n"/>
      <x:c r="E546" s="8" t="n"/>
      <x:c r="F546" s="8" t="n"/>
      <x:c r="G546" s="8" t="n"/>
    </x:row>
    <x:row r="547">
      <x:c r="A547" s="8" t="n"/>
      <x:c r="B547" s="8" t="n"/>
      <x:c r="C547" s="8" t="n"/>
      <x:c r="D547" s="8" t="n"/>
      <x:c r="E547" s="8" t="n"/>
      <x:c r="F547" s="8" t="n"/>
      <x:c r="G547" s="8" t="n"/>
    </x:row>
    <x:row r="548">
      <x:c r="A548" s="8" t="n"/>
      <x:c r="B548" s="8" t="n"/>
      <x:c r="C548" s="8" t="n"/>
      <x:c r="D548" s="8" t="n"/>
      <x:c r="E548" s="8" t="n"/>
      <x:c r="F548" s="8" t="n"/>
      <x:c r="G548" s="8" t="n"/>
    </x:row>
    <x:row r="549">
      <x:c r="A549" s="8" t="n"/>
      <x:c r="B549" s="8" t="n"/>
      <x:c r="C549" s="8" t="n"/>
      <x:c r="D549" s="8" t="n"/>
      <x:c r="E549" s="8" t="n"/>
      <x:c r="F549" s="8" t="n"/>
      <x:c r="G549" s="8" t="n"/>
    </x:row>
    <x:row r="550">
      <x:c r="A550" s="8" t="n"/>
      <x:c r="B550" s="8" t="n"/>
      <x:c r="C550" s="8" t="n"/>
      <x:c r="D550" s="8" t="n"/>
      <x:c r="E550" s="8" t="n"/>
      <x:c r="F550" s="8" t="n"/>
      <x:c r="G550" s="8" t="n"/>
    </x:row>
    <x:row r="551">
      <x:c r="A551" s="8" t="n"/>
      <x:c r="B551" s="8" t="n"/>
      <x:c r="C551" s="8" t="n"/>
      <x:c r="D551" s="8" t="n"/>
      <x:c r="E551" s="8" t="n"/>
      <x:c r="F551" s="8" t="n"/>
      <x:c r="G551" s="8" t="n"/>
    </x:row>
    <x:row r="552">
      <x:c r="A552" s="8" t="n"/>
      <x:c r="B552" s="8" t="n"/>
      <x:c r="C552" s="8" t="n"/>
      <x:c r="D552" s="8" t="n"/>
      <x:c r="E552" s="8" t="n"/>
      <x:c r="F552" s="8" t="n"/>
      <x:c r="G552" s="8" t="n"/>
    </x:row>
    <x:row r="553">
      <x:c r="A553" s="8" t="n"/>
      <x:c r="B553" s="8" t="n"/>
      <x:c r="C553" s="8" t="n"/>
      <x:c r="D553" s="8" t="n"/>
      <x:c r="E553" s="8" t="n"/>
      <x:c r="F553" s="8" t="n"/>
      <x:c r="G553" s="8" t="n"/>
    </x:row>
    <x:row r="554">
      <x:c r="A554" s="8" t="n"/>
      <x:c r="B554" s="8" t="n"/>
      <x:c r="C554" s="8" t="n"/>
      <x:c r="D554" s="8" t="n"/>
      <x:c r="E554" s="8" t="n"/>
      <x:c r="F554" s="8" t="n"/>
      <x:c r="G554" s="8" t="n"/>
    </x:row>
    <x:row r="555">
      <x:c r="A555" s="8" t="n"/>
      <x:c r="B555" s="8" t="n"/>
      <x:c r="C555" s="8" t="n"/>
      <x:c r="D555" s="8" t="n"/>
      <x:c r="E555" s="8" t="n"/>
      <x:c r="F555" s="8" t="n"/>
      <x:c r="G555" s="8" t="n"/>
    </x:row>
    <x:row r="556">
      <x:c r="A556" s="8" t="n"/>
      <x:c r="B556" s="8" t="n"/>
      <x:c r="C556" s="8" t="n"/>
      <x:c r="D556" s="8" t="n"/>
      <x:c r="E556" s="8" t="n"/>
      <x:c r="F556" s="8" t="n"/>
      <x:c r="G556" s="8" t="n"/>
    </x:row>
    <x:row r="557">
      <x:c r="A557" s="8" t="n"/>
      <x:c r="B557" s="8" t="n"/>
      <x:c r="C557" s="8" t="n"/>
      <x:c r="D557" s="8" t="n"/>
      <x:c r="E557" s="8" t="n"/>
      <x:c r="F557" s="8" t="n"/>
      <x:c r="G557" s="8" t="n"/>
    </x:row>
    <x:row r="558">
      <x:c r="A558" s="8" t="n"/>
      <x:c r="B558" s="8" t="n"/>
      <x:c r="C558" s="8" t="n"/>
      <x:c r="D558" s="8" t="n"/>
      <x:c r="E558" s="8" t="n"/>
      <x:c r="F558" s="8" t="n"/>
      <x:c r="G558" s="8" t="n"/>
    </x:row>
    <x:row r="559">
      <x:c r="A559" s="8" t="n"/>
      <x:c r="B559" s="8" t="n"/>
      <x:c r="C559" s="8" t="n"/>
      <x:c r="D559" s="8" t="n"/>
      <x:c r="E559" s="8" t="n"/>
      <x:c r="F559" s="8" t="n"/>
      <x:c r="G559" s="8" t="n"/>
    </x:row>
    <x:row r="560">
      <x:c r="A560" s="8" t="n"/>
      <x:c r="B560" s="8" t="n"/>
      <x:c r="C560" s="8" t="n"/>
      <x:c r="D560" s="8" t="n"/>
      <x:c r="E560" s="8" t="n"/>
      <x:c r="F560" s="8" t="n"/>
      <x:c r="G560" s="8" t="n"/>
    </x:row>
    <x:row r="561">
      <x:c r="A561" s="8" t="n"/>
      <x:c r="B561" s="8" t="n"/>
      <x:c r="C561" s="8" t="n"/>
      <x:c r="D561" s="8" t="n"/>
      <x:c r="E561" s="8" t="n"/>
      <x:c r="F561" s="8" t="n"/>
      <x:c r="G561" s="8" t="n"/>
    </x:row>
    <x:row r="562">
      <x:c r="A562" s="8" t="n"/>
      <x:c r="B562" s="8" t="n"/>
      <x:c r="C562" s="8" t="n"/>
      <x:c r="D562" s="8" t="n"/>
      <x:c r="E562" s="8" t="n"/>
      <x:c r="F562" s="8" t="n"/>
      <x:c r="G562" s="8" t="n"/>
    </x:row>
    <x:row r="563">
      <x:c r="A563" s="8" t="n"/>
      <x:c r="B563" s="8" t="n"/>
      <x:c r="C563" s="8" t="n"/>
      <x:c r="D563" s="8" t="n"/>
      <x:c r="E563" s="8" t="n"/>
      <x:c r="F563" s="8" t="n"/>
      <x:c r="G563" s="8" t="n"/>
    </x:row>
    <x:row r="564">
      <x:c r="A564" s="8" t="n"/>
      <x:c r="B564" s="8" t="n"/>
      <x:c r="C564" s="8" t="n"/>
      <x:c r="D564" s="8" t="n"/>
      <x:c r="E564" s="8" t="n"/>
      <x:c r="F564" s="8" t="n"/>
      <x:c r="G564" s="8" t="n"/>
    </x:row>
    <x:row r="565">
      <x:c r="A565" s="8" t="n"/>
      <x:c r="B565" s="8" t="n"/>
      <x:c r="C565" s="8" t="n"/>
      <x:c r="D565" s="8" t="n"/>
      <x:c r="E565" s="8" t="n"/>
      <x:c r="F565" s="8" t="n"/>
      <x:c r="G565" s="8" t="n"/>
    </x:row>
    <x:row r="566">
      <x:c r="A566" s="8" t="n"/>
      <x:c r="B566" s="8" t="n"/>
      <x:c r="C566" s="8" t="n"/>
      <x:c r="D566" s="8" t="n"/>
      <x:c r="E566" s="8" t="n"/>
      <x:c r="F566" s="8" t="n"/>
      <x:c r="G566" s="8" t="n"/>
    </x:row>
    <x:row r="567">
      <x:c r="A567" s="8" t="n"/>
      <x:c r="B567" s="8" t="n"/>
      <x:c r="C567" s="8" t="n"/>
      <x:c r="D567" s="8" t="n"/>
      <x:c r="E567" s="8" t="n"/>
      <x:c r="F567" s="8" t="n"/>
      <x:c r="G567" s="8" t="n"/>
    </x:row>
    <x:row r="568">
      <x:c r="A568" s="8" t="n"/>
      <x:c r="B568" s="8" t="n"/>
      <x:c r="C568" s="8" t="n"/>
      <x:c r="D568" s="8" t="n"/>
      <x:c r="E568" s="8" t="n"/>
      <x:c r="F568" s="8" t="n"/>
      <x:c r="G568" s="8" t="n"/>
    </x:row>
    <x:row r="569">
      <x:c r="A569" s="8" t="n"/>
      <x:c r="B569" s="8" t="n"/>
      <x:c r="C569" s="8" t="n"/>
      <x:c r="D569" s="8" t="n"/>
      <x:c r="E569" s="8" t="n"/>
      <x:c r="F569" s="8" t="n"/>
      <x:c r="G569" s="8" t="n"/>
    </x:row>
    <x:row r="570">
      <x:c r="A570" s="8" t="n"/>
      <x:c r="B570" s="8" t="n"/>
      <x:c r="C570" s="8" t="n"/>
      <x:c r="D570" s="8" t="n"/>
      <x:c r="E570" s="8" t="n"/>
      <x:c r="F570" s="8" t="n"/>
      <x:c r="G570" s="8" t="n"/>
    </x:row>
    <x:row r="571">
      <x:c r="A571" s="8" t="n"/>
      <x:c r="B571" s="8" t="n"/>
      <x:c r="C571" s="8" t="n"/>
      <x:c r="D571" s="8" t="n"/>
      <x:c r="E571" s="8" t="n"/>
      <x:c r="F571" s="8" t="n"/>
      <x:c r="G571" s="8" t="n"/>
    </x:row>
    <x:row r="572">
      <x:c r="A572" s="8" t="n"/>
      <x:c r="B572" s="8" t="n"/>
      <x:c r="C572" s="8" t="n"/>
      <x:c r="D572" s="8" t="n"/>
      <x:c r="E572" s="8" t="n"/>
      <x:c r="F572" s="8" t="n"/>
      <x:c r="G572" s="8" t="n"/>
    </x:row>
    <x:row r="573">
      <x:c r="A573" s="8" t="n"/>
      <x:c r="B573" s="8" t="n"/>
      <x:c r="C573" s="8" t="n"/>
      <x:c r="D573" s="8" t="n"/>
      <x:c r="E573" s="8" t="n"/>
      <x:c r="F573" s="8" t="n"/>
      <x:c r="G573" s="8" t="n"/>
    </x:row>
    <x:row r="574">
      <x:c r="A574" s="8" t="n"/>
      <x:c r="B574" s="8" t="n"/>
      <x:c r="C574" s="8" t="n"/>
      <x:c r="D574" s="8" t="n"/>
      <x:c r="E574" s="8" t="n"/>
      <x:c r="F574" s="8" t="n"/>
      <x:c r="G574" s="8" t="n"/>
    </x:row>
    <x:row r="575">
      <x:c r="A575" s="8" t="n"/>
      <x:c r="B575" s="8" t="n"/>
      <x:c r="C575" s="8" t="n"/>
      <x:c r="D575" s="8" t="n"/>
      <x:c r="E575" s="8" t="n"/>
      <x:c r="F575" s="8" t="n"/>
      <x:c r="G575" s="8" t="n"/>
    </x:row>
    <x:row r="576">
      <x:c r="A576" s="8" t="n"/>
      <x:c r="B576" s="8" t="n"/>
      <x:c r="C576" s="8" t="n"/>
      <x:c r="D576" s="8" t="n"/>
      <x:c r="E576" s="8" t="n"/>
      <x:c r="F576" s="8" t="n"/>
      <x:c r="G576" s="8" t="n"/>
    </x:row>
    <x:row r="577">
      <x:c r="A577" s="8" t="n"/>
      <x:c r="B577" s="8" t="n"/>
      <x:c r="C577" s="8" t="n"/>
      <x:c r="D577" s="8" t="n"/>
      <x:c r="E577" s="8" t="n"/>
      <x:c r="F577" s="8" t="n"/>
      <x:c r="G577" s="8" t="n"/>
    </x:row>
    <x:row r="578">
      <x:c r="A578" s="8" t="n"/>
      <x:c r="B578" s="8" t="n"/>
      <x:c r="C578" s="8" t="n"/>
      <x:c r="D578" s="8" t="n"/>
      <x:c r="E578" s="8" t="n"/>
      <x:c r="F578" s="8" t="n"/>
      <x:c r="G578" s="8" t="n"/>
    </x:row>
    <x:row r="579">
      <x:c r="A579" s="8" t="n"/>
      <x:c r="B579" s="8" t="n"/>
      <x:c r="C579" s="8" t="n"/>
      <x:c r="D579" s="8" t="n"/>
      <x:c r="E579" s="8" t="n"/>
      <x:c r="F579" s="8" t="n"/>
      <x:c r="G579" s="8" t="n"/>
    </x:row>
    <x:row r="580">
      <x:c r="A580" s="8" t="n"/>
      <x:c r="B580" s="8" t="n"/>
      <x:c r="C580" s="8" t="n"/>
      <x:c r="D580" s="8" t="n"/>
      <x:c r="E580" s="8" t="n"/>
      <x:c r="F580" s="8" t="n"/>
      <x:c r="G580" s="8" t="n"/>
    </x:row>
    <x:row r="581">
      <x:c r="A581" s="8" t="n"/>
      <x:c r="B581" s="8" t="n"/>
      <x:c r="C581" s="8" t="n"/>
      <x:c r="D581" s="8" t="n"/>
      <x:c r="E581" s="8" t="n"/>
      <x:c r="F581" s="8" t="n"/>
      <x:c r="G581" s="8" t="n"/>
    </x:row>
    <x:row r="582">
      <x:c r="A582" s="8" t="n"/>
      <x:c r="B582" s="8" t="n"/>
      <x:c r="C582" s="8" t="n"/>
      <x:c r="D582" s="8" t="n"/>
      <x:c r="E582" s="8" t="n"/>
      <x:c r="F582" s="8" t="n"/>
      <x:c r="G582" s="8" t="n"/>
    </x:row>
    <x:row r="583">
      <x:c r="A583" s="8" t="n"/>
      <x:c r="B583" s="8" t="n"/>
      <x:c r="C583" s="8" t="n"/>
      <x:c r="D583" s="8" t="n"/>
      <x:c r="E583" s="8" t="n"/>
      <x:c r="F583" s="8" t="n"/>
      <x:c r="G583" s="8" t="n"/>
    </x:row>
    <x:row r="584">
      <x:c r="A584" s="8" t="n"/>
      <x:c r="B584" s="8" t="n"/>
      <x:c r="C584" s="8" t="n"/>
      <x:c r="D584" s="8" t="n"/>
      <x:c r="E584" s="8" t="n"/>
      <x:c r="F584" s="8" t="n"/>
      <x:c r="G584" s="8" t="n"/>
    </x:row>
    <x:row r="585">
      <x:c r="A585" s="8" t="n"/>
      <x:c r="B585" s="8" t="n"/>
      <x:c r="C585" s="8" t="n"/>
      <x:c r="D585" s="8" t="n"/>
      <x:c r="E585" s="8" t="n"/>
      <x:c r="F585" s="8" t="n"/>
      <x:c r="G585" s="8" t="n"/>
    </x:row>
    <x:row r="586">
      <x:c r="A586" s="8" t="n"/>
      <x:c r="B586" s="8" t="n"/>
      <x:c r="C586" s="8" t="n"/>
      <x:c r="D586" s="8" t="n"/>
      <x:c r="E586" s="8" t="n"/>
      <x:c r="F586" s="8" t="n"/>
      <x:c r="G586" s="8" t="n"/>
    </x:row>
    <x:row r="587">
      <x:c r="A587" s="8" t="n"/>
      <x:c r="B587" s="8" t="n"/>
      <x:c r="C587" s="8" t="n"/>
      <x:c r="D587" s="8" t="n"/>
      <x:c r="E587" s="8" t="n"/>
      <x:c r="F587" s="8" t="n"/>
      <x:c r="G587" s="8" t="n"/>
    </x:row>
    <x:row r="588">
      <x:c r="A588" s="8" t="n"/>
      <x:c r="B588" s="8" t="n"/>
      <x:c r="C588" s="8" t="n"/>
      <x:c r="D588" s="8" t="n"/>
      <x:c r="E588" s="8" t="n"/>
      <x:c r="F588" s="8" t="n"/>
      <x:c r="G588" s="8" t="n"/>
    </x:row>
    <x:row r="589">
      <x:c r="A589" s="8" t="n"/>
      <x:c r="B589" s="8" t="n"/>
      <x:c r="C589" s="8" t="n"/>
      <x:c r="D589" s="8" t="n"/>
      <x:c r="E589" s="8" t="n"/>
      <x:c r="F589" s="8" t="n"/>
      <x:c r="G589" s="8" t="n"/>
    </x:row>
    <x:row r="590">
      <x:c r="A590" s="8" t="n"/>
      <x:c r="B590" s="8" t="n"/>
      <x:c r="C590" s="8" t="n"/>
      <x:c r="D590" s="8" t="n"/>
      <x:c r="E590" s="8" t="n"/>
      <x:c r="F590" s="8" t="n"/>
      <x:c r="G590" s="8" t="n"/>
    </x:row>
    <x:row r="591">
      <x:c r="A591" s="8" t="n"/>
      <x:c r="B591" s="8" t="n"/>
      <x:c r="C591" s="8" t="n"/>
      <x:c r="D591" s="8" t="n"/>
      <x:c r="E591" s="8" t="n"/>
      <x:c r="F591" s="8" t="n"/>
      <x:c r="G591" s="8" t="n"/>
    </x:row>
    <x:row r="592">
      <x:c r="A592" s="8" t="n"/>
      <x:c r="B592" s="8" t="n"/>
      <x:c r="C592" s="8" t="n"/>
      <x:c r="D592" s="8" t="n"/>
      <x:c r="E592" s="8" t="n"/>
      <x:c r="F592" s="8" t="n"/>
      <x:c r="G592" s="8" t="n"/>
    </x:row>
    <x:row r="593">
      <x:c r="A593" s="8" t="n"/>
      <x:c r="B593" s="8" t="n"/>
      <x:c r="C593" s="8" t="n"/>
      <x:c r="D593" s="8" t="n"/>
      <x:c r="E593" s="8" t="n"/>
      <x:c r="F593" s="8" t="n"/>
      <x:c r="G593" s="8" t="n"/>
    </x:row>
    <x:row r="594">
      <x:c r="A594" s="8" t="n"/>
      <x:c r="B594" s="8" t="n"/>
      <x:c r="C594" s="8" t="n"/>
      <x:c r="D594" s="8" t="n"/>
      <x:c r="E594" s="8" t="n"/>
      <x:c r="F594" s="8" t="n"/>
      <x:c r="G594" s="8" t="n"/>
    </x:row>
    <x:row r="595">
      <x:c r="A595" s="8" t="n"/>
      <x:c r="B595" s="8" t="n"/>
      <x:c r="C595" s="8" t="n"/>
      <x:c r="D595" s="8" t="n"/>
      <x:c r="E595" s="8" t="n"/>
      <x:c r="F595" s="8" t="n"/>
      <x:c r="G595" s="8" t="n"/>
    </x:row>
    <x:row r="596">
      <x:c r="A596" s="8" t="n"/>
      <x:c r="B596" s="8" t="n"/>
      <x:c r="C596" s="8" t="n"/>
      <x:c r="D596" s="8" t="n"/>
      <x:c r="E596" s="8" t="n"/>
      <x:c r="F596" s="8" t="n"/>
      <x:c r="G596" s="8" t="n"/>
    </x:row>
    <x:row r="597">
      <x:c r="A597" s="8" t="n"/>
      <x:c r="B597" s="8" t="n"/>
      <x:c r="C597" s="8" t="n"/>
      <x:c r="D597" s="8" t="n"/>
      <x:c r="E597" s="8" t="n"/>
      <x:c r="F597" s="8" t="n"/>
      <x:c r="G597" s="8" t="n"/>
    </x:row>
    <x:row r="598">
      <x:c r="A598" s="8" t="n"/>
      <x:c r="B598" s="8" t="n"/>
      <x:c r="C598" s="8" t="n"/>
      <x:c r="D598" s="8" t="n"/>
      <x:c r="E598" s="8" t="n"/>
      <x:c r="F598" s="8" t="n"/>
      <x:c r="G598" s="8" t="n"/>
    </x:row>
    <x:row r="599">
      <x:c r="A599" s="8" t="n"/>
      <x:c r="B599" s="8" t="n"/>
      <x:c r="C599" s="8" t="n"/>
      <x:c r="D599" s="8" t="n"/>
      <x:c r="E599" s="8" t="n"/>
      <x:c r="F599" s="8" t="n"/>
      <x:c r="G599" s="8" t="n"/>
    </x:row>
    <x:row r="600">
      <x:c r="A600" s="8" t="n"/>
      <x:c r="B600" s="8" t="n"/>
      <x:c r="C600" s="8" t="n"/>
      <x:c r="D600" s="8" t="n"/>
      <x:c r="E600" s="8" t="n"/>
      <x:c r="F600" s="8" t="n"/>
      <x:c r="G600" s="8" t="n"/>
    </x:row>
    <x:row r="601">
      <x:c r="A601" s="8" t="n"/>
      <x:c r="B601" s="8" t="n"/>
      <x:c r="C601" s="8" t="n"/>
      <x:c r="D601" s="8" t="n"/>
      <x:c r="E601" s="8" t="n"/>
      <x:c r="F601" s="8" t="n"/>
      <x:c r="G601" s="8" t="n"/>
    </x:row>
    <x:row r="602">
      <x:c r="A602" s="8" t="n"/>
      <x:c r="B602" s="8" t="n"/>
      <x:c r="C602" s="8" t="n"/>
      <x:c r="D602" s="8" t="n"/>
      <x:c r="E602" s="8" t="n"/>
      <x:c r="F602" s="8" t="n"/>
      <x:c r="G602" s="8" t="n"/>
    </x:row>
    <x:row r="603">
      <x:c r="A603" s="8" t="n"/>
      <x:c r="B603" s="8" t="n"/>
      <x:c r="C603" s="8" t="n"/>
      <x:c r="D603" s="8" t="n"/>
      <x:c r="E603" s="8" t="n"/>
      <x:c r="F603" s="8" t="n"/>
      <x:c r="G603" s="8" t="n"/>
    </x:row>
    <x:row r="604">
      <x:c r="A604" s="8" t="n"/>
      <x:c r="B604" s="8" t="n"/>
      <x:c r="C604" s="8" t="n"/>
      <x:c r="D604" s="8" t="n"/>
      <x:c r="E604" s="8" t="n"/>
      <x:c r="F604" s="8" t="n"/>
      <x:c r="G604" s="8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4" customWidth="1"/>
    <x:col min="3" max="3" width="55" customWidth="1"/>
    <x:col min="4" max="4" width="40" customWidth="1"/>
  </x:cols>
  <x:sheetData>
    <x:row r="1">
      <x:c r="A1" s="4" t="inlineStr">
        <x:is>
          <x:t xml:space="preserve">Entrées - Sélections (qualité / diffusion / sources)</x:t>
        </x:is>
      </x:c>
    </x:row>
    <x:row r="2">
      <x:c r="A2" s="3" t="inlineStr">
        <x:is>
          <x:t xml:space="preserve">Format long : 1 ligne par option.
category : QUALITE / DIFFUSION / SOURCE.</x:t>
        </x:is>
      </x:c>
    </x:row>
    <x:row r="4" ht="22" customHeight="1">
      <x:c r="A4" s="11" t="inlineStr">
        <x:is>
          <x:t xml:space="preserve">submission_id</x:t>
        </x:is>
      </x:c>
      <x:c r="B4" s="11" t="inlineStr">
        <x:is>
          <x:t xml:space="preserve">category</x:t>
        </x:is>
      </x:c>
      <x:c r="C4" s="11" t="inlineStr">
        <x:is>
          <x:t xml:space="preserve">option</x:t>
        </x:is>
      </x:c>
      <x:c r="D4" s="11" t="inlineStr">
        <x:is>
          <x:t xml:space="preserve">option_detail</x:t>
        </x:is>
      </x:c>
    </x:row>
    <x:row r="5">
      <x:c r="A5" s="8" t="n"/>
      <x:c r="B5" s="8" t="n"/>
      <x:c r="C5" s="8" t="n"/>
      <x:c r="D5" s="8" t="n"/>
    </x:row>
    <x:row r="6">
      <x:c r="A6" s="8" t="n"/>
      <x:c r="B6" s="8" t="n"/>
      <x:c r="C6" s="8" t="n"/>
      <x:c r="D6" s="8" t="n"/>
    </x:row>
    <x:row r="7">
      <x:c r="A7" s="8" t="n"/>
      <x:c r="B7" s="8" t="n"/>
      <x:c r="C7" s="8" t="n"/>
      <x:c r="D7" s="8" t="n"/>
    </x:row>
    <x:row r="8">
      <x:c r="A8" s="8" t="n"/>
      <x:c r="B8" s="8" t="n"/>
      <x:c r="C8" s="8" t="n"/>
      <x:c r="D8" s="8" t="n"/>
    </x:row>
    <x:row r="9">
      <x:c r="A9" s="8" t="n"/>
      <x:c r="B9" s="8" t="n"/>
      <x:c r="C9" s="8" t="n"/>
      <x:c r="D9" s="8" t="n"/>
    </x:row>
    <x:row r="10">
      <x:c r="A10" s="8" t="n"/>
      <x:c r="B10" s="8" t="n"/>
      <x:c r="C10" s="8" t="n"/>
      <x:c r="D10" s="8" t="n"/>
    </x:row>
    <x:row r="11">
      <x:c r="A11" s="8" t="n"/>
      <x:c r="B11" s="8" t="n"/>
      <x:c r="C11" s="8" t="n"/>
      <x:c r="D11" s="8" t="n"/>
    </x:row>
    <x:row r="12">
      <x:c r="A12" s="8" t="n"/>
      <x:c r="B12" s="8" t="n"/>
      <x:c r="C12" s="8" t="n"/>
      <x:c r="D12" s="8" t="n"/>
    </x:row>
    <x:row r="13">
      <x:c r="A13" s="8" t="n"/>
      <x:c r="B13" s="8" t="n"/>
      <x:c r="C13" s="8" t="n"/>
      <x:c r="D13" s="8" t="n"/>
    </x:row>
    <x:row r="14">
      <x:c r="A14" s="8" t="n"/>
      <x:c r="B14" s="8" t="n"/>
      <x:c r="C14" s="8" t="n"/>
      <x:c r="D14" s="8" t="n"/>
    </x:row>
    <x:row r="15">
      <x:c r="A15" s="8" t="n"/>
      <x:c r="B15" s="8" t="n"/>
      <x:c r="C15" s="8" t="n"/>
      <x:c r="D15" s="8" t="n"/>
    </x:row>
    <x:row r="16">
      <x:c r="A16" s="8" t="n"/>
      <x:c r="B16" s="8" t="n"/>
      <x:c r="C16" s="8" t="n"/>
      <x:c r="D16" s="8" t="n"/>
    </x:row>
    <x:row r="17">
      <x:c r="A17" s="8" t="n"/>
      <x:c r="B17" s="8" t="n"/>
      <x:c r="C17" s="8" t="n"/>
      <x:c r="D17" s="8" t="n"/>
    </x:row>
    <x:row r="18">
      <x:c r="A18" s="8" t="n"/>
      <x:c r="B18" s="8" t="n"/>
      <x:c r="C18" s="8" t="n"/>
      <x:c r="D18" s="8" t="n"/>
    </x:row>
    <x:row r="19">
      <x:c r="A19" s="8" t="n"/>
      <x:c r="B19" s="8" t="n"/>
      <x:c r="C19" s="8" t="n"/>
      <x:c r="D19" s="8" t="n"/>
    </x:row>
    <x:row r="20">
      <x:c r="A20" s="8" t="n"/>
      <x:c r="B20" s="8" t="n"/>
      <x:c r="C20" s="8" t="n"/>
      <x:c r="D20" s="8" t="n"/>
    </x:row>
    <x:row r="21">
      <x:c r="A21" s="8" t="n"/>
      <x:c r="B21" s="8" t="n"/>
      <x:c r="C21" s="8" t="n"/>
      <x:c r="D21" s="8" t="n"/>
    </x:row>
    <x:row r="22">
      <x:c r="A22" s="8" t="n"/>
      <x:c r="B22" s="8" t="n"/>
      <x:c r="C22" s="8" t="n"/>
      <x:c r="D22" s="8" t="n"/>
    </x:row>
    <x:row r="23">
      <x:c r="A23" s="8" t="n"/>
      <x:c r="B23" s="8" t="n"/>
      <x:c r="C23" s="8" t="n"/>
      <x:c r="D23" s="8" t="n"/>
    </x:row>
    <x:row r="24">
      <x:c r="A24" s="8" t="n"/>
      <x:c r="B24" s="8" t="n"/>
      <x:c r="C24" s="8" t="n"/>
      <x:c r="D24" s="8" t="n"/>
    </x:row>
    <x:row r="25">
      <x:c r="A25" s="8" t="n"/>
      <x:c r="B25" s="8" t="n"/>
      <x:c r="C25" s="8" t="n"/>
      <x:c r="D25" s="8" t="n"/>
    </x:row>
    <x:row r="26">
      <x:c r="A26" s="8" t="n"/>
      <x:c r="B26" s="8" t="n"/>
      <x:c r="C26" s="8" t="n"/>
      <x:c r="D26" s="8" t="n"/>
    </x:row>
    <x:row r="27">
      <x:c r="A27" s="8" t="n"/>
      <x:c r="B27" s="8" t="n"/>
      <x:c r="C27" s="8" t="n"/>
      <x:c r="D27" s="8" t="n"/>
    </x:row>
    <x:row r="28">
      <x:c r="A28" s="8" t="n"/>
      <x:c r="B28" s="8" t="n"/>
      <x:c r="C28" s="8" t="n"/>
      <x:c r="D28" s="8" t="n"/>
    </x:row>
    <x:row r="29">
      <x:c r="A29" s="8" t="n"/>
      <x:c r="B29" s="8" t="n"/>
      <x:c r="C29" s="8" t="n"/>
      <x:c r="D29" s="8" t="n"/>
    </x:row>
    <x:row r="30">
      <x:c r="A30" s="8" t="n"/>
      <x:c r="B30" s="8" t="n"/>
      <x:c r="C30" s="8" t="n"/>
      <x:c r="D30" s="8" t="n"/>
    </x:row>
    <x:row r="31">
      <x:c r="A31" s="8" t="n"/>
      <x:c r="B31" s="8" t="n"/>
      <x:c r="C31" s="8" t="n"/>
      <x:c r="D31" s="8" t="n"/>
    </x:row>
    <x:row r="32">
      <x:c r="A32" s="8" t="n"/>
      <x:c r="B32" s="8" t="n"/>
      <x:c r="C32" s="8" t="n"/>
      <x:c r="D32" s="8" t="n"/>
    </x:row>
    <x:row r="33">
      <x:c r="A33" s="8" t="n"/>
      <x:c r="B33" s="8" t="n"/>
      <x:c r="C33" s="8" t="n"/>
      <x:c r="D33" s="8" t="n"/>
    </x:row>
    <x:row r="34">
      <x:c r="A34" s="8" t="n"/>
      <x:c r="B34" s="8" t="n"/>
      <x:c r="C34" s="8" t="n"/>
      <x:c r="D34" s="8" t="n"/>
    </x:row>
    <x:row r="35">
      <x:c r="A35" s="8" t="n"/>
      <x:c r="B35" s="8" t="n"/>
      <x:c r="C35" s="8" t="n"/>
      <x:c r="D35" s="8" t="n"/>
    </x:row>
    <x:row r="36">
      <x:c r="A36" s="8" t="n"/>
      <x:c r="B36" s="8" t="n"/>
      <x:c r="C36" s="8" t="n"/>
      <x:c r="D36" s="8" t="n"/>
    </x:row>
    <x:row r="37">
      <x:c r="A37" s="8" t="n"/>
      <x:c r="B37" s="8" t="n"/>
      <x:c r="C37" s="8" t="n"/>
      <x:c r="D37" s="8" t="n"/>
    </x:row>
    <x:row r="38">
      <x:c r="A38" s="8" t="n"/>
      <x:c r="B38" s="8" t="n"/>
      <x:c r="C38" s="8" t="n"/>
      <x:c r="D38" s="8" t="n"/>
    </x:row>
    <x:row r="39">
      <x:c r="A39" s="8" t="n"/>
      <x:c r="B39" s="8" t="n"/>
      <x:c r="C39" s="8" t="n"/>
      <x:c r="D39" s="8" t="n"/>
    </x:row>
    <x:row r="40">
      <x:c r="A40" s="8" t="n"/>
      <x:c r="B40" s="8" t="n"/>
      <x:c r="C40" s="8" t="n"/>
      <x:c r="D40" s="8" t="n"/>
    </x:row>
    <x:row r="41">
      <x:c r="A41" s="8" t="n"/>
      <x:c r="B41" s="8" t="n"/>
      <x:c r="C41" s="8" t="n"/>
      <x:c r="D41" s="8" t="n"/>
    </x:row>
    <x:row r="42">
      <x:c r="A42" s="8" t="n"/>
      <x:c r="B42" s="8" t="n"/>
      <x:c r="C42" s="8" t="n"/>
      <x:c r="D42" s="8" t="n"/>
    </x:row>
    <x:row r="43">
      <x:c r="A43" s="8" t="n"/>
      <x:c r="B43" s="8" t="n"/>
      <x:c r="C43" s="8" t="n"/>
      <x:c r="D43" s="8" t="n"/>
    </x:row>
    <x:row r="44">
      <x:c r="A44" s="8" t="n"/>
      <x:c r="B44" s="8" t="n"/>
      <x:c r="C44" s="8" t="n"/>
      <x:c r="D44" s="8" t="n"/>
    </x:row>
    <x:row r="45">
      <x:c r="A45" s="8" t="n"/>
      <x:c r="B45" s="8" t="n"/>
      <x:c r="C45" s="8" t="n"/>
      <x:c r="D45" s="8" t="n"/>
    </x:row>
    <x:row r="46">
      <x:c r="A46" s="8" t="n"/>
      <x:c r="B46" s="8" t="n"/>
      <x:c r="C46" s="8" t="n"/>
      <x:c r="D46" s="8" t="n"/>
    </x:row>
    <x:row r="47">
      <x:c r="A47" s="8" t="n"/>
      <x:c r="B47" s="8" t="n"/>
      <x:c r="C47" s="8" t="n"/>
      <x:c r="D47" s="8" t="n"/>
    </x:row>
    <x:row r="48">
      <x:c r="A48" s="8" t="n"/>
      <x:c r="B48" s="8" t="n"/>
      <x:c r="C48" s="8" t="n"/>
      <x:c r="D48" s="8" t="n"/>
    </x:row>
    <x:row r="49">
      <x:c r="A49" s="8" t="n"/>
      <x:c r="B49" s="8" t="n"/>
      <x:c r="C49" s="8" t="n"/>
      <x:c r="D49" s="8" t="n"/>
    </x:row>
    <x:row r="50">
      <x:c r="A50" s="8" t="n"/>
      <x:c r="B50" s="8" t="n"/>
      <x:c r="C50" s="8" t="n"/>
      <x:c r="D50" s="8" t="n"/>
    </x:row>
    <x:row r="51">
      <x:c r="A51" s="8" t="n"/>
      <x:c r="B51" s="8" t="n"/>
      <x:c r="C51" s="8" t="n"/>
      <x:c r="D51" s="8" t="n"/>
    </x:row>
    <x:row r="52">
      <x:c r="A52" s="8" t="n"/>
      <x:c r="B52" s="8" t="n"/>
      <x:c r="C52" s="8" t="n"/>
      <x:c r="D52" s="8" t="n"/>
    </x:row>
    <x:row r="53">
      <x:c r="A53" s="8" t="n"/>
      <x:c r="B53" s="8" t="n"/>
      <x:c r="C53" s="8" t="n"/>
      <x:c r="D53" s="8" t="n"/>
    </x:row>
    <x:row r="54">
      <x:c r="A54" s="8" t="n"/>
      <x:c r="B54" s="8" t="n"/>
      <x:c r="C54" s="8" t="n"/>
      <x:c r="D54" s="8" t="n"/>
    </x:row>
    <x:row r="55">
      <x:c r="A55" s="8" t="n"/>
      <x:c r="B55" s="8" t="n"/>
      <x:c r="C55" s="8" t="n"/>
      <x:c r="D55" s="8" t="n"/>
    </x:row>
    <x:row r="56">
      <x:c r="A56" s="8" t="n"/>
      <x:c r="B56" s="8" t="n"/>
      <x:c r="C56" s="8" t="n"/>
      <x:c r="D56" s="8" t="n"/>
    </x:row>
    <x:row r="57">
      <x:c r="A57" s="8" t="n"/>
      <x:c r="B57" s="8" t="n"/>
      <x:c r="C57" s="8" t="n"/>
      <x:c r="D57" s="8" t="n"/>
    </x:row>
    <x:row r="58">
      <x:c r="A58" s="8" t="n"/>
      <x:c r="B58" s="8" t="n"/>
      <x:c r="C58" s="8" t="n"/>
      <x:c r="D58" s="8" t="n"/>
    </x:row>
    <x:row r="59">
      <x:c r="A59" s="8" t="n"/>
      <x:c r="B59" s="8" t="n"/>
      <x:c r="C59" s="8" t="n"/>
      <x:c r="D59" s="8" t="n"/>
    </x:row>
    <x:row r="60">
      <x:c r="A60" s="8" t="n"/>
      <x:c r="B60" s="8" t="n"/>
      <x:c r="C60" s="8" t="n"/>
      <x:c r="D60" s="8" t="n"/>
    </x:row>
    <x:row r="61">
      <x:c r="A61" s="8" t="n"/>
      <x:c r="B61" s="8" t="n"/>
      <x:c r="C61" s="8" t="n"/>
      <x:c r="D61" s="8" t="n"/>
    </x:row>
    <x:row r="62">
      <x:c r="A62" s="8" t="n"/>
      <x:c r="B62" s="8" t="n"/>
      <x:c r="C62" s="8" t="n"/>
      <x:c r="D62" s="8" t="n"/>
    </x:row>
    <x:row r="63">
      <x:c r="A63" s="8" t="n"/>
      <x:c r="B63" s="8" t="n"/>
      <x:c r="C63" s="8" t="n"/>
      <x:c r="D63" s="8" t="n"/>
    </x:row>
    <x:row r="64">
      <x:c r="A64" s="8" t="n"/>
      <x:c r="B64" s="8" t="n"/>
      <x:c r="C64" s="8" t="n"/>
      <x:c r="D64" s="8" t="n"/>
    </x:row>
    <x:row r="65">
      <x:c r="A65" s="8" t="n"/>
      <x:c r="B65" s="8" t="n"/>
      <x:c r="C65" s="8" t="n"/>
      <x:c r="D65" s="8" t="n"/>
    </x:row>
    <x:row r="66">
      <x:c r="A66" s="8" t="n"/>
      <x:c r="B66" s="8" t="n"/>
      <x:c r="C66" s="8" t="n"/>
      <x:c r="D66" s="8" t="n"/>
    </x:row>
    <x:row r="67">
      <x:c r="A67" s="8" t="n"/>
      <x:c r="B67" s="8" t="n"/>
      <x:c r="C67" s="8" t="n"/>
      <x:c r="D67" s="8" t="n"/>
    </x:row>
    <x:row r="68">
      <x:c r="A68" s="8" t="n"/>
      <x:c r="B68" s="8" t="n"/>
      <x:c r="C68" s="8" t="n"/>
      <x:c r="D68" s="8" t="n"/>
    </x:row>
    <x:row r="69">
      <x:c r="A69" s="8" t="n"/>
      <x:c r="B69" s="8" t="n"/>
      <x:c r="C69" s="8" t="n"/>
      <x:c r="D69" s="8" t="n"/>
    </x:row>
    <x:row r="70">
      <x:c r="A70" s="8" t="n"/>
      <x:c r="B70" s="8" t="n"/>
      <x:c r="C70" s="8" t="n"/>
      <x:c r="D70" s="8" t="n"/>
    </x:row>
    <x:row r="71">
      <x:c r="A71" s="8" t="n"/>
      <x:c r="B71" s="8" t="n"/>
      <x:c r="C71" s="8" t="n"/>
      <x:c r="D71" s="8" t="n"/>
    </x:row>
    <x:row r="72">
      <x:c r="A72" s="8" t="n"/>
      <x:c r="B72" s="8" t="n"/>
      <x:c r="C72" s="8" t="n"/>
      <x:c r="D72" s="8" t="n"/>
    </x:row>
    <x:row r="73">
      <x:c r="A73" s="8" t="n"/>
      <x:c r="B73" s="8" t="n"/>
      <x:c r="C73" s="8" t="n"/>
      <x:c r="D73" s="8" t="n"/>
    </x:row>
    <x:row r="74">
      <x:c r="A74" s="8" t="n"/>
      <x:c r="B74" s="8" t="n"/>
      <x:c r="C74" s="8" t="n"/>
      <x:c r="D74" s="8" t="n"/>
    </x:row>
    <x:row r="75">
      <x:c r="A75" s="8" t="n"/>
      <x:c r="B75" s="8" t="n"/>
      <x:c r="C75" s="8" t="n"/>
      <x:c r="D75" s="8" t="n"/>
    </x:row>
    <x:row r="76">
      <x:c r="A76" s="8" t="n"/>
      <x:c r="B76" s="8" t="n"/>
      <x:c r="C76" s="8" t="n"/>
      <x:c r="D76" s="8" t="n"/>
    </x:row>
    <x:row r="77">
      <x:c r="A77" s="8" t="n"/>
      <x:c r="B77" s="8" t="n"/>
      <x:c r="C77" s="8" t="n"/>
      <x:c r="D77" s="8" t="n"/>
    </x:row>
    <x:row r="78">
      <x:c r="A78" s="8" t="n"/>
      <x:c r="B78" s="8" t="n"/>
      <x:c r="C78" s="8" t="n"/>
      <x:c r="D78" s="8" t="n"/>
    </x:row>
    <x:row r="79">
      <x:c r="A79" s="8" t="n"/>
      <x:c r="B79" s="8" t="n"/>
      <x:c r="C79" s="8" t="n"/>
      <x:c r="D79" s="8" t="n"/>
    </x:row>
    <x:row r="80">
      <x:c r="A80" s="8" t="n"/>
      <x:c r="B80" s="8" t="n"/>
      <x:c r="C80" s="8" t="n"/>
      <x:c r="D80" s="8" t="n"/>
    </x:row>
    <x:row r="81">
      <x:c r="A81" s="8" t="n"/>
      <x:c r="B81" s="8" t="n"/>
      <x:c r="C81" s="8" t="n"/>
      <x:c r="D81" s="8" t="n"/>
    </x:row>
    <x:row r="82">
      <x:c r="A82" s="8" t="n"/>
      <x:c r="B82" s="8" t="n"/>
      <x:c r="C82" s="8" t="n"/>
      <x:c r="D82" s="8" t="n"/>
    </x:row>
    <x:row r="83">
      <x:c r="A83" s="8" t="n"/>
      <x:c r="B83" s="8" t="n"/>
      <x:c r="C83" s="8" t="n"/>
      <x:c r="D83" s="8" t="n"/>
    </x:row>
    <x:row r="84">
      <x:c r="A84" s="8" t="n"/>
      <x:c r="B84" s="8" t="n"/>
      <x:c r="C84" s="8" t="n"/>
      <x:c r="D84" s="8" t="n"/>
    </x:row>
    <x:row r="85">
      <x:c r="A85" s="8" t="n"/>
      <x:c r="B85" s="8" t="n"/>
      <x:c r="C85" s="8" t="n"/>
      <x:c r="D85" s="8" t="n"/>
    </x:row>
    <x:row r="86">
      <x:c r="A86" s="8" t="n"/>
      <x:c r="B86" s="8" t="n"/>
      <x:c r="C86" s="8" t="n"/>
      <x:c r="D86" s="8" t="n"/>
    </x:row>
    <x:row r="87">
      <x:c r="A87" s="8" t="n"/>
      <x:c r="B87" s="8" t="n"/>
      <x:c r="C87" s="8" t="n"/>
      <x:c r="D87" s="8" t="n"/>
    </x:row>
    <x:row r="88">
      <x:c r="A88" s="8" t="n"/>
      <x:c r="B88" s="8" t="n"/>
      <x:c r="C88" s="8" t="n"/>
      <x:c r="D88" s="8" t="n"/>
    </x:row>
    <x:row r="89">
      <x:c r="A89" s="8" t="n"/>
      <x:c r="B89" s="8" t="n"/>
      <x:c r="C89" s="8" t="n"/>
      <x:c r="D89" s="8" t="n"/>
    </x:row>
    <x:row r="90">
      <x:c r="A90" s="8" t="n"/>
      <x:c r="B90" s="8" t="n"/>
      <x:c r="C90" s="8" t="n"/>
      <x:c r="D90" s="8" t="n"/>
    </x:row>
    <x:row r="91">
      <x:c r="A91" s="8" t="n"/>
      <x:c r="B91" s="8" t="n"/>
      <x:c r="C91" s="8" t="n"/>
      <x:c r="D91" s="8" t="n"/>
    </x:row>
    <x:row r="92">
      <x:c r="A92" s="8" t="n"/>
      <x:c r="B92" s="8" t="n"/>
      <x:c r="C92" s="8" t="n"/>
      <x:c r="D92" s="8" t="n"/>
    </x:row>
    <x:row r="93">
      <x:c r="A93" s="8" t="n"/>
      <x:c r="B93" s="8" t="n"/>
      <x:c r="C93" s="8" t="n"/>
      <x:c r="D93" s="8" t="n"/>
    </x:row>
    <x:row r="94">
      <x:c r="A94" s="8" t="n"/>
      <x:c r="B94" s="8" t="n"/>
      <x:c r="C94" s="8" t="n"/>
      <x:c r="D94" s="8" t="n"/>
    </x:row>
    <x:row r="95">
      <x:c r="A95" s="8" t="n"/>
      <x:c r="B95" s="8" t="n"/>
      <x:c r="C95" s="8" t="n"/>
      <x:c r="D95" s="8" t="n"/>
    </x:row>
    <x:row r="96">
      <x:c r="A96" s="8" t="n"/>
      <x:c r="B96" s="8" t="n"/>
      <x:c r="C96" s="8" t="n"/>
      <x:c r="D96" s="8" t="n"/>
    </x:row>
    <x:row r="97">
      <x:c r="A97" s="8" t="n"/>
      <x:c r="B97" s="8" t="n"/>
      <x:c r="C97" s="8" t="n"/>
      <x:c r="D97" s="8" t="n"/>
    </x:row>
    <x:row r="98">
      <x:c r="A98" s="8" t="n"/>
      <x:c r="B98" s="8" t="n"/>
      <x:c r="C98" s="8" t="n"/>
      <x:c r="D98" s="8" t="n"/>
    </x:row>
    <x:row r="99">
      <x:c r="A99" s="8" t="n"/>
      <x:c r="B99" s="8" t="n"/>
      <x:c r="C99" s="8" t="n"/>
      <x:c r="D99" s="8" t="n"/>
    </x:row>
    <x:row r="100">
      <x:c r="A100" s="8" t="n"/>
      <x:c r="B100" s="8" t="n"/>
      <x:c r="C100" s="8" t="n"/>
      <x:c r="D100" s="8" t="n"/>
    </x:row>
    <x:row r="101">
      <x:c r="A101" s="8" t="n"/>
      <x:c r="B101" s="8" t="n"/>
      <x:c r="C101" s="8" t="n"/>
      <x:c r="D101" s="8" t="n"/>
    </x:row>
    <x:row r="102">
      <x:c r="A102" s="8" t="n"/>
      <x:c r="B102" s="8" t="n"/>
      <x:c r="C102" s="8" t="n"/>
      <x:c r="D102" s="8" t="n"/>
    </x:row>
    <x:row r="103">
      <x:c r="A103" s="8" t="n"/>
      <x:c r="B103" s="8" t="n"/>
      <x:c r="C103" s="8" t="n"/>
      <x:c r="D103" s="8" t="n"/>
    </x:row>
    <x:row r="104">
      <x:c r="A104" s="8" t="n"/>
      <x:c r="B104" s="8" t="n"/>
      <x:c r="C104" s="8" t="n"/>
      <x:c r="D104" s="8" t="n"/>
    </x:row>
    <x:row r="105">
      <x:c r="A105" s="8" t="n"/>
      <x:c r="B105" s="8" t="n"/>
      <x:c r="C105" s="8" t="n"/>
      <x:c r="D105" s="8" t="n"/>
    </x:row>
    <x:row r="106">
      <x:c r="A106" s="8" t="n"/>
      <x:c r="B106" s="8" t="n"/>
      <x:c r="C106" s="8" t="n"/>
      <x:c r="D106" s="8" t="n"/>
    </x:row>
    <x:row r="107">
      <x:c r="A107" s="8" t="n"/>
      <x:c r="B107" s="8" t="n"/>
      <x:c r="C107" s="8" t="n"/>
      <x:c r="D107" s="8" t="n"/>
    </x:row>
    <x:row r="108">
      <x:c r="A108" s="8" t="n"/>
      <x:c r="B108" s="8" t="n"/>
      <x:c r="C108" s="8" t="n"/>
      <x:c r="D108" s="8" t="n"/>
    </x:row>
    <x:row r="109">
      <x:c r="A109" s="8" t="n"/>
      <x:c r="B109" s="8" t="n"/>
      <x:c r="C109" s="8" t="n"/>
      <x:c r="D109" s="8" t="n"/>
    </x:row>
    <x:row r="110">
      <x:c r="A110" s="8" t="n"/>
      <x:c r="B110" s="8" t="n"/>
      <x:c r="C110" s="8" t="n"/>
      <x:c r="D110" s="8" t="n"/>
    </x:row>
    <x:row r="111">
      <x:c r="A111" s="8" t="n"/>
      <x:c r="B111" s="8" t="n"/>
      <x:c r="C111" s="8" t="n"/>
      <x:c r="D111" s="8" t="n"/>
    </x:row>
    <x:row r="112">
      <x:c r="A112" s="8" t="n"/>
      <x:c r="B112" s="8" t="n"/>
      <x:c r="C112" s="8" t="n"/>
      <x:c r="D112" s="8" t="n"/>
    </x:row>
    <x:row r="113">
      <x:c r="A113" s="8" t="n"/>
      <x:c r="B113" s="8" t="n"/>
      <x:c r="C113" s="8" t="n"/>
      <x:c r="D113" s="8" t="n"/>
    </x:row>
    <x:row r="114">
      <x:c r="A114" s="8" t="n"/>
      <x:c r="B114" s="8" t="n"/>
      <x:c r="C114" s="8" t="n"/>
      <x:c r="D114" s="8" t="n"/>
    </x:row>
    <x:row r="115">
      <x:c r="A115" s="8" t="n"/>
      <x:c r="B115" s="8" t="n"/>
      <x:c r="C115" s="8" t="n"/>
      <x:c r="D115" s="8" t="n"/>
    </x:row>
    <x:row r="116">
      <x:c r="A116" s="8" t="n"/>
      <x:c r="B116" s="8" t="n"/>
      <x:c r="C116" s="8" t="n"/>
      <x:c r="D116" s="8" t="n"/>
    </x:row>
    <x:row r="117">
      <x:c r="A117" s="8" t="n"/>
      <x:c r="B117" s="8" t="n"/>
      <x:c r="C117" s="8" t="n"/>
      <x:c r="D117" s="8" t="n"/>
    </x:row>
    <x:row r="118">
      <x:c r="A118" s="8" t="n"/>
      <x:c r="B118" s="8" t="n"/>
      <x:c r="C118" s="8" t="n"/>
      <x:c r="D118" s="8" t="n"/>
    </x:row>
    <x:row r="119">
      <x:c r="A119" s="8" t="n"/>
      <x:c r="B119" s="8" t="n"/>
      <x:c r="C119" s="8" t="n"/>
      <x:c r="D119" s="8" t="n"/>
    </x:row>
    <x:row r="120">
      <x:c r="A120" s="8" t="n"/>
      <x:c r="B120" s="8" t="n"/>
      <x:c r="C120" s="8" t="n"/>
      <x:c r="D120" s="8" t="n"/>
    </x:row>
    <x:row r="121">
      <x:c r="A121" s="8" t="n"/>
      <x:c r="B121" s="8" t="n"/>
      <x:c r="C121" s="8" t="n"/>
      <x:c r="D121" s="8" t="n"/>
    </x:row>
    <x:row r="122">
      <x:c r="A122" s="8" t="n"/>
      <x:c r="B122" s="8" t="n"/>
      <x:c r="C122" s="8" t="n"/>
      <x:c r="D122" s="8" t="n"/>
    </x:row>
    <x:row r="123">
      <x:c r="A123" s="8" t="n"/>
      <x:c r="B123" s="8" t="n"/>
      <x:c r="C123" s="8" t="n"/>
      <x:c r="D123" s="8" t="n"/>
    </x:row>
    <x:row r="124">
      <x:c r="A124" s="8" t="n"/>
      <x:c r="B124" s="8" t="n"/>
      <x:c r="C124" s="8" t="n"/>
      <x:c r="D124" s="8" t="n"/>
    </x:row>
    <x:row r="125">
      <x:c r="A125" s="8" t="n"/>
      <x:c r="B125" s="8" t="n"/>
      <x:c r="C125" s="8" t="n"/>
      <x:c r="D125" s="8" t="n"/>
    </x:row>
    <x:row r="126">
      <x:c r="A126" s="8" t="n"/>
      <x:c r="B126" s="8" t="n"/>
      <x:c r="C126" s="8" t="n"/>
      <x:c r="D126" s="8" t="n"/>
    </x:row>
    <x:row r="127">
      <x:c r="A127" s="8" t="n"/>
      <x:c r="B127" s="8" t="n"/>
      <x:c r="C127" s="8" t="n"/>
      <x:c r="D127" s="8" t="n"/>
    </x:row>
    <x:row r="128">
      <x:c r="A128" s="8" t="n"/>
      <x:c r="B128" s="8" t="n"/>
      <x:c r="C128" s="8" t="n"/>
      <x:c r="D128" s="8" t="n"/>
    </x:row>
    <x:row r="129">
      <x:c r="A129" s="8" t="n"/>
      <x:c r="B129" s="8" t="n"/>
      <x:c r="C129" s="8" t="n"/>
      <x:c r="D129" s="8" t="n"/>
    </x:row>
    <x:row r="130">
      <x:c r="A130" s="8" t="n"/>
      <x:c r="B130" s="8" t="n"/>
      <x:c r="C130" s="8" t="n"/>
      <x:c r="D130" s="8" t="n"/>
    </x:row>
    <x:row r="131">
      <x:c r="A131" s="8" t="n"/>
      <x:c r="B131" s="8" t="n"/>
      <x:c r="C131" s="8" t="n"/>
      <x:c r="D131" s="8" t="n"/>
    </x:row>
    <x:row r="132">
      <x:c r="A132" s="8" t="n"/>
      <x:c r="B132" s="8" t="n"/>
      <x:c r="C132" s="8" t="n"/>
      <x:c r="D132" s="8" t="n"/>
    </x:row>
    <x:row r="133">
      <x:c r="A133" s="8" t="n"/>
      <x:c r="B133" s="8" t="n"/>
      <x:c r="C133" s="8" t="n"/>
      <x:c r="D133" s="8" t="n"/>
    </x:row>
    <x:row r="134">
      <x:c r="A134" s="8" t="n"/>
      <x:c r="B134" s="8" t="n"/>
      <x:c r="C134" s="8" t="n"/>
      <x:c r="D134" s="8" t="n"/>
    </x:row>
    <x:row r="135">
      <x:c r="A135" s="8" t="n"/>
      <x:c r="B135" s="8" t="n"/>
      <x:c r="C135" s="8" t="n"/>
      <x:c r="D135" s="8" t="n"/>
    </x:row>
    <x:row r="136">
      <x:c r="A136" s="8" t="n"/>
      <x:c r="B136" s="8" t="n"/>
      <x:c r="C136" s="8" t="n"/>
      <x:c r="D136" s="8" t="n"/>
    </x:row>
    <x:row r="137">
      <x:c r="A137" s="8" t="n"/>
      <x:c r="B137" s="8" t="n"/>
      <x:c r="C137" s="8" t="n"/>
      <x:c r="D137" s="8" t="n"/>
    </x:row>
    <x:row r="138">
      <x:c r="A138" s="8" t="n"/>
      <x:c r="B138" s="8" t="n"/>
      <x:c r="C138" s="8" t="n"/>
      <x:c r="D138" s="8" t="n"/>
    </x:row>
    <x:row r="139">
      <x:c r="A139" s="8" t="n"/>
      <x:c r="B139" s="8" t="n"/>
      <x:c r="C139" s="8" t="n"/>
      <x:c r="D139" s="8" t="n"/>
    </x:row>
    <x:row r="140">
      <x:c r="A140" s="8" t="n"/>
      <x:c r="B140" s="8" t="n"/>
      <x:c r="C140" s="8" t="n"/>
      <x:c r="D140" s="8" t="n"/>
    </x:row>
    <x:row r="141">
      <x:c r="A141" s="8" t="n"/>
      <x:c r="B141" s="8" t="n"/>
      <x:c r="C141" s="8" t="n"/>
      <x:c r="D141" s="8" t="n"/>
    </x:row>
    <x:row r="142">
      <x:c r="A142" s="8" t="n"/>
      <x:c r="B142" s="8" t="n"/>
      <x:c r="C142" s="8" t="n"/>
      <x:c r="D142" s="8" t="n"/>
    </x:row>
    <x:row r="143">
      <x:c r="A143" s="8" t="n"/>
      <x:c r="B143" s="8" t="n"/>
      <x:c r="C143" s="8" t="n"/>
      <x:c r="D143" s="8" t="n"/>
    </x:row>
    <x:row r="144">
      <x:c r="A144" s="8" t="n"/>
      <x:c r="B144" s="8" t="n"/>
      <x:c r="C144" s="8" t="n"/>
      <x:c r="D144" s="8" t="n"/>
    </x:row>
    <x:row r="145">
      <x:c r="A145" s="8" t="n"/>
      <x:c r="B145" s="8" t="n"/>
      <x:c r="C145" s="8" t="n"/>
      <x:c r="D145" s="8" t="n"/>
    </x:row>
    <x:row r="146">
      <x:c r="A146" s="8" t="n"/>
      <x:c r="B146" s="8" t="n"/>
      <x:c r="C146" s="8" t="n"/>
      <x:c r="D146" s="8" t="n"/>
    </x:row>
    <x:row r="147">
      <x:c r="A147" s="8" t="n"/>
      <x:c r="B147" s="8" t="n"/>
      <x:c r="C147" s="8" t="n"/>
      <x:c r="D147" s="8" t="n"/>
    </x:row>
    <x:row r="148">
      <x:c r="A148" s="8" t="n"/>
      <x:c r="B148" s="8" t="n"/>
      <x:c r="C148" s="8" t="n"/>
      <x:c r="D148" s="8" t="n"/>
    </x:row>
    <x:row r="149">
      <x:c r="A149" s="8" t="n"/>
      <x:c r="B149" s="8" t="n"/>
      <x:c r="C149" s="8" t="n"/>
      <x:c r="D149" s="8" t="n"/>
    </x:row>
    <x:row r="150">
      <x:c r="A150" s="8" t="n"/>
      <x:c r="B150" s="8" t="n"/>
      <x:c r="C150" s="8" t="n"/>
      <x:c r="D150" s="8" t="n"/>
    </x:row>
    <x:row r="151">
      <x:c r="A151" s="8" t="n"/>
      <x:c r="B151" s="8" t="n"/>
      <x:c r="C151" s="8" t="n"/>
      <x:c r="D151" s="8" t="n"/>
    </x:row>
    <x:row r="152">
      <x:c r="A152" s="8" t="n"/>
      <x:c r="B152" s="8" t="n"/>
      <x:c r="C152" s="8" t="n"/>
      <x:c r="D152" s="8" t="n"/>
    </x:row>
    <x:row r="153">
      <x:c r="A153" s="8" t="n"/>
      <x:c r="B153" s="8" t="n"/>
      <x:c r="C153" s="8" t="n"/>
      <x:c r="D153" s="8" t="n"/>
    </x:row>
    <x:row r="154">
      <x:c r="A154" s="8" t="n"/>
      <x:c r="B154" s="8" t="n"/>
      <x:c r="C154" s="8" t="n"/>
      <x:c r="D154" s="8" t="n"/>
    </x:row>
    <x:row r="155">
      <x:c r="A155" s="8" t="n"/>
      <x:c r="B155" s="8" t="n"/>
      <x:c r="C155" s="8" t="n"/>
      <x:c r="D155" s="8" t="n"/>
    </x:row>
    <x:row r="156">
      <x:c r="A156" s="8" t="n"/>
      <x:c r="B156" s="8" t="n"/>
      <x:c r="C156" s="8" t="n"/>
      <x:c r="D156" s="8" t="n"/>
    </x:row>
    <x:row r="157">
      <x:c r="A157" s="8" t="n"/>
      <x:c r="B157" s="8" t="n"/>
      <x:c r="C157" s="8" t="n"/>
      <x:c r="D157" s="8" t="n"/>
    </x:row>
    <x:row r="158">
      <x:c r="A158" s="8" t="n"/>
      <x:c r="B158" s="8" t="n"/>
      <x:c r="C158" s="8" t="n"/>
      <x:c r="D158" s="8" t="n"/>
    </x:row>
    <x:row r="159">
      <x:c r="A159" s="8" t="n"/>
      <x:c r="B159" s="8" t="n"/>
      <x:c r="C159" s="8" t="n"/>
      <x:c r="D159" s="8" t="n"/>
    </x:row>
    <x:row r="160">
      <x:c r="A160" s="8" t="n"/>
      <x:c r="B160" s="8" t="n"/>
      <x:c r="C160" s="8" t="n"/>
      <x:c r="D160" s="8" t="n"/>
    </x:row>
    <x:row r="161">
      <x:c r="A161" s="8" t="n"/>
      <x:c r="B161" s="8" t="n"/>
      <x:c r="C161" s="8" t="n"/>
      <x:c r="D161" s="8" t="n"/>
    </x:row>
    <x:row r="162">
      <x:c r="A162" s="8" t="n"/>
      <x:c r="B162" s="8" t="n"/>
      <x:c r="C162" s="8" t="n"/>
      <x:c r="D162" s="8" t="n"/>
    </x:row>
    <x:row r="163">
      <x:c r="A163" s="8" t="n"/>
      <x:c r="B163" s="8" t="n"/>
      <x:c r="C163" s="8" t="n"/>
      <x:c r="D163" s="8" t="n"/>
    </x:row>
    <x:row r="164">
      <x:c r="A164" s="8" t="n"/>
      <x:c r="B164" s="8" t="n"/>
      <x:c r="C164" s="8" t="n"/>
      <x:c r="D164" s="8" t="n"/>
    </x:row>
    <x:row r="165">
      <x:c r="A165" s="8" t="n"/>
      <x:c r="B165" s="8" t="n"/>
      <x:c r="C165" s="8" t="n"/>
      <x:c r="D165" s="8" t="n"/>
    </x:row>
    <x:row r="166">
      <x:c r="A166" s="8" t="n"/>
      <x:c r="B166" s="8" t="n"/>
      <x:c r="C166" s="8" t="n"/>
      <x:c r="D166" s="8" t="n"/>
    </x:row>
    <x:row r="167">
      <x:c r="A167" s="8" t="n"/>
      <x:c r="B167" s="8" t="n"/>
      <x:c r="C167" s="8" t="n"/>
      <x:c r="D167" s="8" t="n"/>
    </x:row>
    <x:row r="168">
      <x:c r="A168" s="8" t="n"/>
      <x:c r="B168" s="8" t="n"/>
      <x:c r="C168" s="8" t="n"/>
      <x:c r="D168" s="8" t="n"/>
    </x:row>
    <x:row r="169">
      <x:c r="A169" s="8" t="n"/>
      <x:c r="B169" s="8" t="n"/>
      <x:c r="C169" s="8" t="n"/>
      <x:c r="D169" s="8" t="n"/>
    </x:row>
    <x:row r="170">
      <x:c r="A170" s="8" t="n"/>
      <x:c r="B170" s="8" t="n"/>
      <x:c r="C170" s="8" t="n"/>
      <x:c r="D170" s="8" t="n"/>
    </x:row>
    <x:row r="171">
      <x:c r="A171" s="8" t="n"/>
      <x:c r="B171" s="8" t="n"/>
      <x:c r="C171" s="8" t="n"/>
      <x:c r="D171" s="8" t="n"/>
    </x:row>
    <x:row r="172">
      <x:c r="A172" s="8" t="n"/>
      <x:c r="B172" s="8" t="n"/>
      <x:c r="C172" s="8" t="n"/>
      <x:c r="D172" s="8" t="n"/>
    </x:row>
    <x:row r="173">
      <x:c r="A173" s="8" t="n"/>
      <x:c r="B173" s="8" t="n"/>
      <x:c r="C173" s="8" t="n"/>
      <x:c r="D173" s="8" t="n"/>
    </x:row>
    <x:row r="174">
      <x:c r="A174" s="8" t="n"/>
      <x:c r="B174" s="8" t="n"/>
      <x:c r="C174" s="8" t="n"/>
      <x:c r="D174" s="8" t="n"/>
    </x:row>
    <x:row r="175">
      <x:c r="A175" s="8" t="n"/>
      <x:c r="B175" s="8" t="n"/>
      <x:c r="C175" s="8" t="n"/>
      <x:c r="D175" s="8" t="n"/>
    </x:row>
    <x:row r="176">
      <x:c r="A176" s="8" t="n"/>
      <x:c r="B176" s="8" t="n"/>
      <x:c r="C176" s="8" t="n"/>
      <x:c r="D176" s="8" t="n"/>
    </x:row>
    <x:row r="177">
      <x:c r="A177" s="8" t="n"/>
      <x:c r="B177" s="8" t="n"/>
      <x:c r="C177" s="8" t="n"/>
      <x:c r="D177" s="8" t="n"/>
    </x:row>
    <x:row r="178">
      <x:c r="A178" s="8" t="n"/>
      <x:c r="B178" s="8" t="n"/>
      <x:c r="C178" s="8" t="n"/>
      <x:c r="D178" s="8" t="n"/>
    </x:row>
    <x:row r="179">
      <x:c r="A179" s="8" t="n"/>
      <x:c r="B179" s="8" t="n"/>
      <x:c r="C179" s="8" t="n"/>
      <x:c r="D179" s="8" t="n"/>
    </x:row>
    <x:row r="180">
      <x:c r="A180" s="8" t="n"/>
      <x:c r="B180" s="8" t="n"/>
      <x:c r="C180" s="8" t="n"/>
      <x:c r="D180" s="8" t="n"/>
    </x:row>
    <x:row r="181">
      <x:c r="A181" s="8" t="n"/>
      <x:c r="B181" s="8" t="n"/>
      <x:c r="C181" s="8" t="n"/>
      <x:c r="D181" s="8" t="n"/>
    </x:row>
    <x:row r="182">
      <x:c r="A182" s="8" t="n"/>
      <x:c r="B182" s="8" t="n"/>
      <x:c r="C182" s="8" t="n"/>
      <x:c r="D182" s="8" t="n"/>
    </x:row>
    <x:row r="183">
      <x:c r="A183" s="8" t="n"/>
      <x:c r="B183" s="8" t="n"/>
      <x:c r="C183" s="8" t="n"/>
      <x:c r="D183" s="8" t="n"/>
    </x:row>
    <x:row r="184">
      <x:c r="A184" s="8" t="n"/>
      <x:c r="B184" s="8" t="n"/>
      <x:c r="C184" s="8" t="n"/>
      <x:c r="D184" s="8" t="n"/>
    </x:row>
    <x:row r="185">
      <x:c r="A185" s="8" t="n"/>
      <x:c r="B185" s="8" t="n"/>
      <x:c r="C185" s="8" t="n"/>
      <x:c r="D185" s="8" t="n"/>
    </x:row>
    <x:row r="186">
      <x:c r="A186" s="8" t="n"/>
      <x:c r="B186" s="8" t="n"/>
      <x:c r="C186" s="8" t="n"/>
      <x:c r="D186" s="8" t="n"/>
    </x:row>
    <x:row r="187">
      <x:c r="A187" s="8" t="n"/>
      <x:c r="B187" s="8" t="n"/>
      <x:c r="C187" s="8" t="n"/>
      <x:c r="D187" s="8" t="n"/>
    </x:row>
    <x:row r="188">
      <x:c r="A188" s="8" t="n"/>
      <x:c r="B188" s="8" t="n"/>
      <x:c r="C188" s="8" t="n"/>
      <x:c r="D188" s="8" t="n"/>
    </x:row>
    <x:row r="189">
      <x:c r="A189" s="8" t="n"/>
      <x:c r="B189" s="8" t="n"/>
      <x:c r="C189" s="8" t="n"/>
      <x:c r="D189" s="8" t="n"/>
    </x:row>
    <x:row r="190">
      <x:c r="A190" s="8" t="n"/>
      <x:c r="B190" s="8" t="n"/>
      <x:c r="C190" s="8" t="n"/>
      <x:c r="D190" s="8" t="n"/>
    </x:row>
    <x:row r="191">
      <x:c r="A191" s="8" t="n"/>
      <x:c r="B191" s="8" t="n"/>
      <x:c r="C191" s="8" t="n"/>
      <x:c r="D191" s="8" t="n"/>
    </x:row>
    <x:row r="192">
      <x:c r="A192" s="8" t="n"/>
      <x:c r="B192" s="8" t="n"/>
      <x:c r="C192" s="8" t="n"/>
      <x:c r="D192" s="8" t="n"/>
    </x:row>
    <x:row r="193">
      <x:c r="A193" s="8" t="n"/>
      <x:c r="B193" s="8" t="n"/>
      <x:c r="C193" s="8" t="n"/>
      <x:c r="D193" s="8" t="n"/>
    </x:row>
    <x:row r="194">
      <x:c r="A194" s="8" t="n"/>
      <x:c r="B194" s="8" t="n"/>
      <x:c r="C194" s="8" t="n"/>
      <x:c r="D194" s="8" t="n"/>
    </x:row>
    <x:row r="195">
      <x:c r="A195" s="8" t="n"/>
      <x:c r="B195" s="8" t="n"/>
      <x:c r="C195" s="8" t="n"/>
      <x:c r="D195" s="8" t="n"/>
    </x:row>
    <x:row r="196">
      <x:c r="A196" s="8" t="n"/>
      <x:c r="B196" s="8" t="n"/>
      <x:c r="C196" s="8" t="n"/>
      <x:c r="D196" s="8" t="n"/>
    </x:row>
    <x:row r="197">
      <x:c r="A197" s="8" t="n"/>
      <x:c r="B197" s="8" t="n"/>
      <x:c r="C197" s="8" t="n"/>
      <x:c r="D197" s="8" t="n"/>
    </x:row>
    <x:row r="198">
      <x:c r="A198" s="8" t="n"/>
      <x:c r="B198" s="8" t="n"/>
      <x:c r="C198" s="8" t="n"/>
      <x:c r="D198" s="8" t="n"/>
    </x:row>
    <x:row r="199">
      <x:c r="A199" s="8" t="n"/>
      <x:c r="B199" s="8" t="n"/>
      <x:c r="C199" s="8" t="n"/>
      <x:c r="D199" s="8" t="n"/>
    </x:row>
    <x:row r="200">
      <x:c r="A200" s="8" t="n"/>
      <x:c r="B200" s="8" t="n"/>
      <x:c r="C200" s="8" t="n"/>
      <x:c r="D200" s="8" t="n"/>
    </x:row>
    <x:row r="201">
      <x:c r="A201" s="8" t="n"/>
      <x:c r="B201" s="8" t="n"/>
      <x:c r="C201" s="8" t="n"/>
      <x:c r="D201" s="8" t="n"/>
    </x:row>
    <x:row r="202">
      <x:c r="A202" s="8" t="n"/>
      <x:c r="B202" s="8" t="n"/>
      <x:c r="C202" s="8" t="n"/>
      <x:c r="D202" s="8" t="n"/>
    </x:row>
    <x:row r="203">
      <x:c r="A203" s="8" t="n"/>
      <x:c r="B203" s="8" t="n"/>
      <x:c r="C203" s="8" t="n"/>
      <x:c r="D203" s="8" t="n"/>
    </x:row>
    <x:row r="204">
      <x:c r="A204" s="8" t="n"/>
      <x:c r="B204" s="8" t="n"/>
      <x:c r="C204" s="8" t="n"/>
      <x:c r="D204" s="8" t="n"/>
    </x:row>
    <x:row r="205">
      <x:c r="A205" s="8" t="n"/>
      <x:c r="B205" s="8" t="n"/>
      <x:c r="C205" s="8" t="n"/>
      <x:c r="D205" s="8" t="n"/>
    </x:row>
    <x:row r="206">
      <x:c r="A206" s="8" t="n"/>
      <x:c r="B206" s="8" t="n"/>
      <x:c r="C206" s="8" t="n"/>
      <x:c r="D206" s="8" t="n"/>
    </x:row>
    <x:row r="207">
      <x:c r="A207" s="8" t="n"/>
      <x:c r="B207" s="8" t="n"/>
      <x:c r="C207" s="8" t="n"/>
      <x:c r="D207" s="8" t="n"/>
    </x:row>
    <x:row r="208">
      <x:c r="A208" s="8" t="n"/>
      <x:c r="B208" s="8" t="n"/>
      <x:c r="C208" s="8" t="n"/>
      <x:c r="D208" s="8" t="n"/>
    </x:row>
    <x:row r="209">
      <x:c r="A209" s="8" t="n"/>
      <x:c r="B209" s="8" t="n"/>
      <x:c r="C209" s="8" t="n"/>
      <x:c r="D209" s="8" t="n"/>
    </x:row>
    <x:row r="210">
      <x:c r="A210" s="8" t="n"/>
      <x:c r="B210" s="8" t="n"/>
      <x:c r="C210" s="8" t="n"/>
      <x:c r="D210" s="8" t="n"/>
    </x:row>
    <x:row r="211">
      <x:c r="A211" s="8" t="n"/>
      <x:c r="B211" s="8" t="n"/>
      <x:c r="C211" s="8" t="n"/>
      <x:c r="D211" s="8" t="n"/>
    </x:row>
    <x:row r="212">
      <x:c r="A212" s="8" t="n"/>
      <x:c r="B212" s="8" t="n"/>
      <x:c r="C212" s="8" t="n"/>
      <x:c r="D212" s="8" t="n"/>
    </x:row>
    <x:row r="213">
      <x:c r="A213" s="8" t="n"/>
      <x:c r="B213" s="8" t="n"/>
      <x:c r="C213" s="8" t="n"/>
      <x:c r="D213" s="8" t="n"/>
    </x:row>
    <x:row r="214">
      <x:c r="A214" s="8" t="n"/>
      <x:c r="B214" s="8" t="n"/>
      <x:c r="C214" s="8" t="n"/>
      <x:c r="D214" s="8" t="n"/>
    </x:row>
    <x:row r="215">
      <x:c r="A215" s="8" t="n"/>
      <x:c r="B215" s="8" t="n"/>
      <x:c r="C215" s="8" t="n"/>
      <x:c r="D215" s="8" t="n"/>
    </x:row>
    <x:row r="216">
      <x:c r="A216" s="8" t="n"/>
      <x:c r="B216" s="8" t="n"/>
      <x:c r="C216" s="8" t="n"/>
      <x:c r="D216" s="8" t="n"/>
    </x:row>
    <x:row r="217">
      <x:c r="A217" s="8" t="n"/>
      <x:c r="B217" s="8" t="n"/>
      <x:c r="C217" s="8" t="n"/>
      <x:c r="D217" s="8" t="n"/>
    </x:row>
    <x:row r="218">
      <x:c r="A218" s="8" t="n"/>
      <x:c r="B218" s="8" t="n"/>
      <x:c r="C218" s="8" t="n"/>
      <x:c r="D218" s="8" t="n"/>
    </x:row>
    <x:row r="219">
      <x:c r="A219" s="8" t="n"/>
      <x:c r="B219" s="8" t="n"/>
      <x:c r="C219" s="8" t="n"/>
      <x:c r="D219" s="8" t="n"/>
    </x:row>
    <x:row r="220">
      <x:c r="A220" s="8" t="n"/>
      <x:c r="B220" s="8" t="n"/>
      <x:c r="C220" s="8" t="n"/>
      <x:c r="D220" s="8" t="n"/>
    </x:row>
    <x:row r="221">
      <x:c r="A221" s="8" t="n"/>
      <x:c r="B221" s="8" t="n"/>
      <x:c r="C221" s="8" t="n"/>
      <x:c r="D221" s="8" t="n"/>
    </x:row>
    <x:row r="222">
      <x:c r="A222" s="8" t="n"/>
      <x:c r="B222" s="8" t="n"/>
      <x:c r="C222" s="8" t="n"/>
      <x:c r="D222" s="8" t="n"/>
    </x:row>
    <x:row r="223">
      <x:c r="A223" s="8" t="n"/>
      <x:c r="B223" s="8" t="n"/>
      <x:c r="C223" s="8" t="n"/>
      <x:c r="D223" s="8" t="n"/>
    </x:row>
    <x:row r="224">
      <x:c r="A224" s="8" t="n"/>
      <x:c r="B224" s="8" t="n"/>
      <x:c r="C224" s="8" t="n"/>
      <x:c r="D224" s="8" t="n"/>
    </x:row>
    <x:row r="225">
      <x:c r="A225" s="8" t="n"/>
      <x:c r="B225" s="8" t="n"/>
      <x:c r="C225" s="8" t="n"/>
      <x:c r="D225" s="8" t="n"/>
    </x:row>
    <x:row r="226">
      <x:c r="A226" s="8" t="n"/>
      <x:c r="B226" s="8" t="n"/>
      <x:c r="C226" s="8" t="n"/>
      <x:c r="D226" s="8" t="n"/>
    </x:row>
    <x:row r="227">
      <x:c r="A227" s="8" t="n"/>
      <x:c r="B227" s="8" t="n"/>
      <x:c r="C227" s="8" t="n"/>
      <x:c r="D227" s="8" t="n"/>
    </x:row>
    <x:row r="228">
      <x:c r="A228" s="8" t="n"/>
      <x:c r="B228" s="8" t="n"/>
      <x:c r="C228" s="8" t="n"/>
      <x:c r="D228" s="8" t="n"/>
    </x:row>
    <x:row r="229">
      <x:c r="A229" s="8" t="n"/>
      <x:c r="B229" s="8" t="n"/>
      <x:c r="C229" s="8" t="n"/>
      <x:c r="D229" s="8" t="n"/>
    </x:row>
    <x:row r="230">
      <x:c r="A230" s="8" t="n"/>
      <x:c r="B230" s="8" t="n"/>
      <x:c r="C230" s="8" t="n"/>
      <x:c r="D230" s="8" t="n"/>
    </x:row>
    <x:row r="231">
      <x:c r="A231" s="8" t="n"/>
      <x:c r="B231" s="8" t="n"/>
      <x:c r="C231" s="8" t="n"/>
      <x:c r="D231" s="8" t="n"/>
    </x:row>
    <x:row r="232">
      <x:c r="A232" s="8" t="n"/>
      <x:c r="B232" s="8" t="n"/>
      <x:c r="C232" s="8" t="n"/>
      <x:c r="D232" s="8" t="n"/>
    </x:row>
    <x:row r="233">
      <x:c r="A233" s="8" t="n"/>
      <x:c r="B233" s="8" t="n"/>
      <x:c r="C233" s="8" t="n"/>
      <x:c r="D233" s="8" t="n"/>
    </x:row>
    <x:row r="234">
      <x:c r="A234" s="8" t="n"/>
      <x:c r="B234" s="8" t="n"/>
      <x:c r="C234" s="8" t="n"/>
      <x:c r="D234" s="8" t="n"/>
    </x:row>
    <x:row r="235">
      <x:c r="A235" s="8" t="n"/>
      <x:c r="B235" s="8" t="n"/>
      <x:c r="C235" s="8" t="n"/>
      <x:c r="D235" s="8" t="n"/>
    </x:row>
    <x:row r="236">
      <x:c r="A236" s="8" t="n"/>
      <x:c r="B236" s="8" t="n"/>
      <x:c r="C236" s="8" t="n"/>
      <x:c r="D236" s="8" t="n"/>
    </x:row>
    <x:row r="237">
      <x:c r="A237" s="8" t="n"/>
      <x:c r="B237" s="8" t="n"/>
      <x:c r="C237" s="8" t="n"/>
      <x:c r="D237" s="8" t="n"/>
    </x:row>
    <x:row r="238">
      <x:c r="A238" s="8" t="n"/>
      <x:c r="B238" s="8" t="n"/>
      <x:c r="C238" s="8" t="n"/>
      <x:c r="D238" s="8" t="n"/>
    </x:row>
    <x:row r="239">
      <x:c r="A239" s="8" t="n"/>
      <x:c r="B239" s="8" t="n"/>
      <x:c r="C239" s="8" t="n"/>
      <x:c r="D239" s="8" t="n"/>
    </x:row>
    <x:row r="240">
      <x:c r="A240" s="8" t="n"/>
      <x:c r="B240" s="8" t="n"/>
      <x:c r="C240" s="8" t="n"/>
      <x:c r="D240" s="8" t="n"/>
    </x:row>
    <x:row r="241">
      <x:c r="A241" s="8" t="n"/>
      <x:c r="B241" s="8" t="n"/>
      <x:c r="C241" s="8" t="n"/>
      <x:c r="D241" s="8" t="n"/>
    </x:row>
    <x:row r="242">
      <x:c r="A242" s="8" t="n"/>
      <x:c r="B242" s="8" t="n"/>
      <x:c r="C242" s="8" t="n"/>
      <x:c r="D242" s="8" t="n"/>
    </x:row>
    <x:row r="243">
      <x:c r="A243" s="8" t="n"/>
      <x:c r="B243" s="8" t="n"/>
      <x:c r="C243" s="8" t="n"/>
      <x:c r="D243" s="8" t="n"/>
    </x:row>
    <x:row r="244">
      <x:c r="A244" s="8" t="n"/>
      <x:c r="B244" s="8" t="n"/>
      <x:c r="C244" s="8" t="n"/>
      <x:c r="D244" s="8" t="n"/>
    </x:row>
    <x:row r="245">
      <x:c r="A245" s="8" t="n"/>
      <x:c r="B245" s="8" t="n"/>
      <x:c r="C245" s="8" t="n"/>
      <x:c r="D245" s="8" t="n"/>
    </x:row>
    <x:row r="246">
      <x:c r="A246" s="8" t="n"/>
      <x:c r="B246" s="8" t="n"/>
      <x:c r="C246" s="8" t="n"/>
      <x:c r="D246" s="8" t="n"/>
    </x:row>
    <x:row r="247">
      <x:c r="A247" s="8" t="n"/>
      <x:c r="B247" s="8" t="n"/>
      <x:c r="C247" s="8" t="n"/>
      <x:c r="D247" s="8" t="n"/>
    </x:row>
    <x:row r="248">
      <x:c r="A248" s="8" t="n"/>
      <x:c r="B248" s="8" t="n"/>
      <x:c r="C248" s="8" t="n"/>
      <x:c r="D248" s="8" t="n"/>
    </x:row>
    <x:row r="249">
      <x:c r="A249" s="8" t="n"/>
      <x:c r="B249" s="8" t="n"/>
      <x:c r="C249" s="8" t="n"/>
      <x:c r="D249" s="8" t="n"/>
    </x:row>
    <x:row r="250">
      <x:c r="A250" s="8" t="n"/>
      <x:c r="B250" s="8" t="n"/>
      <x:c r="C250" s="8" t="n"/>
      <x:c r="D250" s="8" t="n"/>
    </x:row>
    <x:row r="251">
      <x:c r="A251" s="8" t="n"/>
      <x:c r="B251" s="8" t="n"/>
      <x:c r="C251" s="8" t="n"/>
      <x:c r="D251" s="8" t="n"/>
    </x:row>
    <x:row r="252">
      <x:c r="A252" s="8" t="n"/>
      <x:c r="B252" s="8" t="n"/>
      <x:c r="C252" s="8" t="n"/>
      <x:c r="D252" s="8" t="n"/>
    </x:row>
    <x:row r="253">
      <x:c r="A253" s="8" t="n"/>
      <x:c r="B253" s="8" t="n"/>
      <x:c r="C253" s="8" t="n"/>
      <x:c r="D253" s="8" t="n"/>
    </x:row>
    <x:row r="254">
      <x:c r="A254" s="8" t="n"/>
      <x:c r="B254" s="8" t="n"/>
      <x:c r="C254" s="8" t="n"/>
      <x:c r="D254" s="8" t="n"/>
    </x:row>
    <x:row r="255">
      <x:c r="A255" s="8" t="n"/>
      <x:c r="B255" s="8" t="n"/>
      <x:c r="C255" s="8" t="n"/>
      <x:c r="D255" s="8" t="n"/>
    </x:row>
    <x:row r="256">
      <x:c r="A256" s="8" t="n"/>
      <x:c r="B256" s="8" t="n"/>
      <x:c r="C256" s="8" t="n"/>
      <x:c r="D256" s="8" t="n"/>
    </x:row>
    <x:row r="257">
      <x:c r="A257" s="8" t="n"/>
      <x:c r="B257" s="8" t="n"/>
      <x:c r="C257" s="8" t="n"/>
      <x:c r="D257" s="8" t="n"/>
    </x:row>
    <x:row r="258">
      <x:c r="A258" s="8" t="n"/>
      <x:c r="B258" s="8" t="n"/>
      <x:c r="C258" s="8" t="n"/>
      <x:c r="D258" s="8" t="n"/>
    </x:row>
    <x:row r="259">
      <x:c r="A259" s="8" t="n"/>
      <x:c r="B259" s="8" t="n"/>
      <x:c r="C259" s="8" t="n"/>
      <x:c r="D259" s="8" t="n"/>
    </x:row>
    <x:row r="260">
      <x:c r="A260" s="8" t="n"/>
      <x:c r="B260" s="8" t="n"/>
      <x:c r="C260" s="8" t="n"/>
      <x:c r="D260" s="8" t="n"/>
    </x:row>
    <x:row r="261">
      <x:c r="A261" s="8" t="n"/>
      <x:c r="B261" s="8" t="n"/>
      <x:c r="C261" s="8" t="n"/>
      <x:c r="D261" s="8" t="n"/>
    </x:row>
    <x:row r="262">
      <x:c r="A262" s="8" t="n"/>
      <x:c r="B262" s="8" t="n"/>
      <x:c r="C262" s="8" t="n"/>
      <x:c r="D262" s="8" t="n"/>
    </x:row>
    <x:row r="263">
      <x:c r="A263" s="8" t="n"/>
      <x:c r="B263" s="8" t="n"/>
      <x:c r="C263" s="8" t="n"/>
      <x:c r="D263" s="8" t="n"/>
    </x:row>
    <x:row r="264">
      <x:c r="A264" s="8" t="n"/>
      <x:c r="B264" s="8" t="n"/>
      <x:c r="C264" s="8" t="n"/>
      <x:c r="D264" s="8" t="n"/>
    </x:row>
    <x:row r="265">
      <x:c r="A265" s="8" t="n"/>
      <x:c r="B265" s="8" t="n"/>
      <x:c r="C265" s="8" t="n"/>
      <x:c r="D265" s="8" t="n"/>
    </x:row>
    <x:row r="266">
      <x:c r="A266" s="8" t="n"/>
      <x:c r="B266" s="8" t="n"/>
      <x:c r="C266" s="8" t="n"/>
      <x:c r="D266" s="8" t="n"/>
    </x:row>
    <x:row r="267">
      <x:c r="A267" s="8" t="n"/>
      <x:c r="B267" s="8" t="n"/>
      <x:c r="C267" s="8" t="n"/>
      <x:c r="D267" s="8" t="n"/>
    </x:row>
    <x:row r="268">
      <x:c r="A268" s="8" t="n"/>
      <x:c r="B268" s="8" t="n"/>
      <x:c r="C268" s="8" t="n"/>
      <x:c r="D268" s="8" t="n"/>
    </x:row>
    <x:row r="269">
      <x:c r="A269" s="8" t="n"/>
      <x:c r="B269" s="8" t="n"/>
      <x:c r="C269" s="8" t="n"/>
      <x:c r="D269" s="8" t="n"/>
    </x:row>
    <x:row r="270">
      <x:c r="A270" s="8" t="n"/>
      <x:c r="B270" s="8" t="n"/>
      <x:c r="C270" s="8" t="n"/>
      <x:c r="D270" s="8" t="n"/>
    </x:row>
    <x:row r="271">
      <x:c r="A271" s="8" t="n"/>
      <x:c r="B271" s="8" t="n"/>
      <x:c r="C271" s="8" t="n"/>
      <x:c r="D271" s="8" t="n"/>
    </x:row>
    <x:row r="272">
      <x:c r="A272" s="8" t="n"/>
      <x:c r="B272" s="8" t="n"/>
      <x:c r="C272" s="8" t="n"/>
      <x:c r="D272" s="8" t="n"/>
    </x:row>
    <x:row r="273">
      <x:c r="A273" s="8" t="n"/>
      <x:c r="B273" s="8" t="n"/>
      <x:c r="C273" s="8" t="n"/>
      <x:c r="D273" s="8" t="n"/>
    </x:row>
    <x:row r="274">
      <x:c r="A274" s="8" t="n"/>
      <x:c r="B274" s="8" t="n"/>
      <x:c r="C274" s="8" t="n"/>
      <x:c r="D274" s="8" t="n"/>
    </x:row>
    <x:row r="275">
      <x:c r="A275" s="8" t="n"/>
      <x:c r="B275" s="8" t="n"/>
      <x:c r="C275" s="8" t="n"/>
      <x:c r="D275" s="8" t="n"/>
    </x:row>
    <x:row r="276">
      <x:c r="A276" s="8" t="n"/>
      <x:c r="B276" s="8" t="n"/>
      <x:c r="C276" s="8" t="n"/>
      <x:c r="D276" s="8" t="n"/>
    </x:row>
    <x:row r="277">
      <x:c r="A277" s="8" t="n"/>
      <x:c r="B277" s="8" t="n"/>
      <x:c r="C277" s="8" t="n"/>
      <x:c r="D277" s="8" t="n"/>
    </x:row>
    <x:row r="278">
      <x:c r="A278" s="8" t="n"/>
      <x:c r="B278" s="8" t="n"/>
      <x:c r="C278" s="8" t="n"/>
      <x:c r="D278" s="8" t="n"/>
    </x:row>
    <x:row r="279">
      <x:c r="A279" s="8" t="n"/>
      <x:c r="B279" s="8" t="n"/>
      <x:c r="C279" s="8" t="n"/>
      <x:c r="D279" s="8" t="n"/>
    </x:row>
    <x:row r="280">
      <x:c r="A280" s="8" t="n"/>
      <x:c r="B280" s="8" t="n"/>
      <x:c r="C280" s="8" t="n"/>
      <x:c r="D280" s="8" t="n"/>
    </x:row>
    <x:row r="281">
      <x:c r="A281" s="8" t="n"/>
      <x:c r="B281" s="8" t="n"/>
      <x:c r="C281" s="8" t="n"/>
      <x:c r="D281" s="8" t="n"/>
    </x:row>
    <x:row r="282">
      <x:c r="A282" s="8" t="n"/>
      <x:c r="B282" s="8" t="n"/>
      <x:c r="C282" s="8" t="n"/>
      <x:c r="D282" s="8" t="n"/>
    </x:row>
    <x:row r="283">
      <x:c r="A283" s="8" t="n"/>
      <x:c r="B283" s="8" t="n"/>
      <x:c r="C283" s="8" t="n"/>
      <x:c r="D283" s="8" t="n"/>
    </x:row>
    <x:row r="284">
      <x:c r="A284" s="8" t="n"/>
      <x:c r="B284" s="8" t="n"/>
      <x:c r="C284" s="8" t="n"/>
      <x:c r="D284" s="8" t="n"/>
    </x:row>
    <x:row r="285">
      <x:c r="A285" s="8" t="n"/>
      <x:c r="B285" s="8" t="n"/>
      <x:c r="C285" s="8" t="n"/>
      <x:c r="D285" s="8" t="n"/>
    </x:row>
    <x:row r="286">
      <x:c r="A286" s="8" t="n"/>
      <x:c r="B286" s="8" t="n"/>
      <x:c r="C286" s="8" t="n"/>
      <x:c r="D286" s="8" t="n"/>
    </x:row>
    <x:row r="287">
      <x:c r="A287" s="8" t="n"/>
      <x:c r="B287" s="8" t="n"/>
      <x:c r="C287" s="8" t="n"/>
      <x:c r="D287" s="8" t="n"/>
    </x:row>
    <x:row r="288">
      <x:c r="A288" s="8" t="n"/>
      <x:c r="B288" s="8" t="n"/>
      <x:c r="C288" s="8" t="n"/>
      <x:c r="D288" s="8" t="n"/>
    </x:row>
    <x:row r="289">
      <x:c r="A289" s="8" t="n"/>
      <x:c r="B289" s="8" t="n"/>
      <x:c r="C289" s="8" t="n"/>
      <x:c r="D289" s="8" t="n"/>
    </x:row>
    <x:row r="290">
      <x:c r="A290" s="8" t="n"/>
      <x:c r="B290" s="8" t="n"/>
      <x:c r="C290" s="8" t="n"/>
      <x:c r="D290" s="8" t="n"/>
    </x:row>
    <x:row r="291">
      <x:c r="A291" s="8" t="n"/>
      <x:c r="B291" s="8" t="n"/>
      <x:c r="C291" s="8" t="n"/>
      <x:c r="D291" s="8" t="n"/>
    </x:row>
    <x:row r="292">
      <x:c r="A292" s="8" t="n"/>
      <x:c r="B292" s="8" t="n"/>
      <x:c r="C292" s="8" t="n"/>
      <x:c r="D292" s="8" t="n"/>
    </x:row>
    <x:row r="293">
      <x:c r="A293" s="8" t="n"/>
      <x:c r="B293" s="8" t="n"/>
      <x:c r="C293" s="8" t="n"/>
      <x:c r="D293" s="8" t="n"/>
    </x:row>
    <x:row r="294">
      <x:c r="A294" s="8" t="n"/>
      <x:c r="B294" s="8" t="n"/>
      <x:c r="C294" s="8" t="n"/>
      <x:c r="D294" s="8" t="n"/>
    </x:row>
    <x:row r="295">
      <x:c r="A295" s="8" t="n"/>
      <x:c r="B295" s="8" t="n"/>
      <x:c r="C295" s="8" t="n"/>
      <x:c r="D295" s="8" t="n"/>
    </x:row>
    <x:row r="296">
      <x:c r="A296" s="8" t="n"/>
      <x:c r="B296" s="8" t="n"/>
      <x:c r="C296" s="8" t="n"/>
      <x:c r="D296" s="8" t="n"/>
    </x:row>
    <x:row r="297">
      <x:c r="A297" s="8" t="n"/>
      <x:c r="B297" s="8" t="n"/>
      <x:c r="C297" s="8" t="n"/>
      <x:c r="D297" s="8" t="n"/>
    </x:row>
    <x:row r="298">
      <x:c r="A298" s="8" t="n"/>
      <x:c r="B298" s="8" t="n"/>
      <x:c r="C298" s="8" t="n"/>
      <x:c r="D298" s="8" t="n"/>
    </x:row>
    <x:row r="299">
      <x:c r="A299" s="8" t="n"/>
      <x:c r="B299" s="8" t="n"/>
      <x:c r="C299" s="8" t="n"/>
      <x:c r="D299" s="8" t="n"/>
    </x:row>
    <x:row r="300">
      <x:c r="A300" s="8" t="n"/>
      <x:c r="B300" s="8" t="n"/>
      <x:c r="C300" s="8" t="n"/>
      <x:c r="D300" s="8" t="n"/>
    </x:row>
    <x:row r="301">
      <x:c r="A301" s="8" t="n"/>
      <x:c r="B301" s="8" t="n"/>
      <x:c r="C301" s="8" t="n"/>
      <x:c r="D301" s="8" t="n"/>
    </x:row>
    <x:row r="302">
      <x:c r="A302" s="8" t="n"/>
      <x:c r="B302" s="8" t="n"/>
      <x:c r="C302" s="8" t="n"/>
      <x:c r="D302" s="8" t="n"/>
    </x:row>
    <x:row r="303">
      <x:c r="A303" s="8" t="n"/>
      <x:c r="B303" s="8" t="n"/>
      <x:c r="C303" s="8" t="n"/>
      <x:c r="D303" s="8" t="n"/>
    </x:row>
    <x:row r="304">
      <x:c r="A304" s="8" t="n"/>
      <x:c r="B304" s="8" t="n"/>
      <x:c r="C304" s="8" t="n"/>
      <x:c r="D304" s="8" t="n"/>
    </x:row>
    <x:row r="305">
      <x:c r="A305" s="8" t="n"/>
      <x:c r="B305" s="8" t="n"/>
      <x:c r="C305" s="8" t="n"/>
      <x:c r="D305" s="8" t="n"/>
    </x:row>
    <x:row r="306">
      <x:c r="A306" s="8" t="n"/>
      <x:c r="B306" s="8" t="n"/>
      <x:c r="C306" s="8" t="n"/>
      <x:c r="D306" s="8" t="n"/>
    </x:row>
    <x:row r="307">
      <x:c r="A307" s="8" t="n"/>
      <x:c r="B307" s="8" t="n"/>
      <x:c r="C307" s="8" t="n"/>
      <x:c r="D307" s="8" t="n"/>
    </x:row>
    <x:row r="308">
      <x:c r="A308" s="8" t="n"/>
      <x:c r="B308" s="8" t="n"/>
      <x:c r="C308" s="8" t="n"/>
      <x:c r="D308" s="8" t="n"/>
    </x:row>
    <x:row r="309">
      <x:c r="A309" s="8" t="n"/>
      <x:c r="B309" s="8" t="n"/>
      <x:c r="C309" s="8" t="n"/>
      <x:c r="D309" s="8" t="n"/>
    </x:row>
    <x:row r="310">
      <x:c r="A310" s="8" t="n"/>
      <x:c r="B310" s="8" t="n"/>
      <x:c r="C310" s="8" t="n"/>
      <x:c r="D310" s="8" t="n"/>
    </x:row>
    <x:row r="311">
      <x:c r="A311" s="8" t="n"/>
      <x:c r="B311" s="8" t="n"/>
      <x:c r="C311" s="8" t="n"/>
      <x:c r="D311" s="8" t="n"/>
    </x:row>
    <x:row r="312">
      <x:c r="A312" s="8" t="n"/>
      <x:c r="B312" s="8" t="n"/>
      <x:c r="C312" s="8" t="n"/>
      <x:c r="D312" s="8" t="n"/>
    </x:row>
    <x:row r="313">
      <x:c r="A313" s="8" t="n"/>
      <x:c r="B313" s="8" t="n"/>
      <x:c r="C313" s="8" t="n"/>
      <x:c r="D313" s="8" t="n"/>
    </x:row>
    <x:row r="314">
      <x:c r="A314" s="8" t="n"/>
      <x:c r="B314" s="8" t="n"/>
      <x:c r="C314" s="8" t="n"/>
      <x:c r="D314" s="8" t="n"/>
    </x:row>
    <x:row r="315">
      <x:c r="A315" s="8" t="n"/>
      <x:c r="B315" s="8" t="n"/>
      <x:c r="C315" s="8" t="n"/>
      <x:c r="D315" s="8" t="n"/>
    </x:row>
    <x:row r="316">
      <x:c r="A316" s="8" t="n"/>
      <x:c r="B316" s="8" t="n"/>
      <x:c r="C316" s="8" t="n"/>
      <x:c r="D316" s="8" t="n"/>
    </x:row>
    <x:row r="317">
      <x:c r="A317" s="8" t="n"/>
      <x:c r="B317" s="8" t="n"/>
      <x:c r="C317" s="8" t="n"/>
      <x:c r="D317" s="8" t="n"/>
    </x:row>
    <x:row r="318">
      <x:c r="A318" s="8" t="n"/>
      <x:c r="B318" s="8" t="n"/>
      <x:c r="C318" s="8" t="n"/>
      <x:c r="D318" s="8" t="n"/>
    </x:row>
    <x:row r="319">
      <x:c r="A319" s="8" t="n"/>
      <x:c r="B319" s="8" t="n"/>
      <x:c r="C319" s="8" t="n"/>
      <x:c r="D319" s="8" t="n"/>
    </x:row>
    <x:row r="320">
      <x:c r="A320" s="8" t="n"/>
      <x:c r="B320" s="8" t="n"/>
      <x:c r="C320" s="8" t="n"/>
      <x:c r="D320" s="8" t="n"/>
    </x:row>
    <x:row r="321">
      <x:c r="A321" s="8" t="n"/>
      <x:c r="B321" s="8" t="n"/>
      <x:c r="C321" s="8" t="n"/>
      <x:c r="D321" s="8" t="n"/>
    </x:row>
    <x:row r="322">
      <x:c r="A322" s="8" t="n"/>
      <x:c r="B322" s="8" t="n"/>
      <x:c r="C322" s="8" t="n"/>
      <x:c r="D322" s="8" t="n"/>
    </x:row>
    <x:row r="323">
      <x:c r="A323" s="8" t="n"/>
      <x:c r="B323" s="8" t="n"/>
      <x:c r="C323" s="8" t="n"/>
      <x:c r="D323" s="8" t="n"/>
    </x:row>
    <x:row r="324">
      <x:c r="A324" s="8" t="n"/>
      <x:c r="B324" s="8" t="n"/>
      <x:c r="C324" s="8" t="n"/>
      <x:c r="D324" s="8" t="n"/>
    </x:row>
    <x:row r="325">
      <x:c r="A325" s="8" t="n"/>
      <x:c r="B325" s="8" t="n"/>
      <x:c r="C325" s="8" t="n"/>
      <x:c r="D325" s="8" t="n"/>
    </x:row>
    <x:row r="326">
      <x:c r="A326" s="8" t="n"/>
      <x:c r="B326" s="8" t="n"/>
      <x:c r="C326" s="8" t="n"/>
      <x:c r="D326" s="8" t="n"/>
    </x:row>
    <x:row r="327">
      <x:c r="A327" s="8" t="n"/>
      <x:c r="B327" s="8" t="n"/>
      <x:c r="C327" s="8" t="n"/>
      <x:c r="D327" s="8" t="n"/>
    </x:row>
    <x:row r="328">
      <x:c r="A328" s="8" t="n"/>
      <x:c r="B328" s="8" t="n"/>
      <x:c r="C328" s="8" t="n"/>
      <x:c r="D328" s="8" t="n"/>
    </x:row>
    <x:row r="329">
      <x:c r="A329" s="8" t="n"/>
      <x:c r="B329" s="8" t="n"/>
      <x:c r="C329" s="8" t="n"/>
      <x:c r="D329" s="8" t="n"/>
    </x:row>
    <x:row r="330">
      <x:c r="A330" s="8" t="n"/>
      <x:c r="B330" s="8" t="n"/>
      <x:c r="C330" s="8" t="n"/>
      <x:c r="D330" s="8" t="n"/>
    </x:row>
    <x:row r="331">
      <x:c r="A331" s="8" t="n"/>
      <x:c r="B331" s="8" t="n"/>
      <x:c r="C331" s="8" t="n"/>
      <x:c r="D331" s="8" t="n"/>
    </x:row>
    <x:row r="332">
      <x:c r="A332" s="8" t="n"/>
      <x:c r="B332" s="8" t="n"/>
      <x:c r="C332" s="8" t="n"/>
      <x:c r="D332" s="8" t="n"/>
    </x:row>
    <x:row r="333">
      <x:c r="A333" s="8" t="n"/>
      <x:c r="B333" s="8" t="n"/>
      <x:c r="C333" s="8" t="n"/>
      <x:c r="D333" s="8" t="n"/>
    </x:row>
    <x:row r="334">
      <x:c r="A334" s="8" t="n"/>
      <x:c r="B334" s="8" t="n"/>
      <x:c r="C334" s="8" t="n"/>
      <x:c r="D334" s="8" t="n"/>
    </x:row>
    <x:row r="335">
      <x:c r="A335" s="8" t="n"/>
      <x:c r="B335" s="8" t="n"/>
      <x:c r="C335" s="8" t="n"/>
      <x:c r="D335" s="8" t="n"/>
    </x:row>
    <x:row r="336">
      <x:c r="A336" s="8" t="n"/>
      <x:c r="B336" s="8" t="n"/>
      <x:c r="C336" s="8" t="n"/>
      <x:c r="D336" s="8" t="n"/>
    </x:row>
    <x:row r="337">
      <x:c r="A337" s="8" t="n"/>
      <x:c r="B337" s="8" t="n"/>
      <x:c r="C337" s="8" t="n"/>
      <x:c r="D337" s="8" t="n"/>
    </x:row>
    <x:row r="338">
      <x:c r="A338" s="8" t="n"/>
      <x:c r="B338" s="8" t="n"/>
      <x:c r="C338" s="8" t="n"/>
      <x:c r="D338" s="8" t="n"/>
    </x:row>
    <x:row r="339">
      <x:c r="A339" s="8" t="n"/>
      <x:c r="B339" s="8" t="n"/>
      <x:c r="C339" s="8" t="n"/>
      <x:c r="D339" s="8" t="n"/>
    </x:row>
    <x:row r="340">
      <x:c r="A340" s="8" t="n"/>
      <x:c r="B340" s="8" t="n"/>
      <x:c r="C340" s="8" t="n"/>
      <x:c r="D340" s="8" t="n"/>
    </x:row>
    <x:row r="341">
      <x:c r="A341" s="8" t="n"/>
      <x:c r="B341" s="8" t="n"/>
      <x:c r="C341" s="8" t="n"/>
      <x:c r="D341" s="8" t="n"/>
    </x:row>
    <x:row r="342">
      <x:c r="A342" s="8" t="n"/>
      <x:c r="B342" s="8" t="n"/>
      <x:c r="C342" s="8" t="n"/>
      <x:c r="D342" s="8" t="n"/>
    </x:row>
    <x:row r="343">
      <x:c r="A343" s="8" t="n"/>
      <x:c r="B343" s="8" t="n"/>
      <x:c r="C343" s="8" t="n"/>
      <x:c r="D343" s="8" t="n"/>
    </x:row>
    <x:row r="344">
      <x:c r="A344" s="8" t="n"/>
      <x:c r="B344" s="8" t="n"/>
      <x:c r="C344" s="8" t="n"/>
      <x:c r="D344" s="8" t="n"/>
    </x:row>
    <x:row r="345">
      <x:c r="A345" s="8" t="n"/>
      <x:c r="B345" s="8" t="n"/>
      <x:c r="C345" s="8" t="n"/>
      <x:c r="D345" s="8" t="n"/>
    </x:row>
    <x:row r="346">
      <x:c r="A346" s="8" t="n"/>
      <x:c r="B346" s="8" t="n"/>
      <x:c r="C346" s="8" t="n"/>
      <x:c r="D346" s="8" t="n"/>
    </x:row>
    <x:row r="347">
      <x:c r="A347" s="8" t="n"/>
      <x:c r="B347" s="8" t="n"/>
      <x:c r="C347" s="8" t="n"/>
      <x:c r="D347" s="8" t="n"/>
    </x:row>
    <x:row r="348">
      <x:c r="A348" s="8" t="n"/>
      <x:c r="B348" s="8" t="n"/>
      <x:c r="C348" s="8" t="n"/>
      <x:c r="D348" s="8" t="n"/>
    </x:row>
    <x:row r="349">
      <x:c r="A349" s="8" t="n"/>
      <x:c r="B349" s="8" t="n"/>
      <x:c r="C349" s="8" t="n"/>
      <x:c r="D349" s="8" t="n"/>
    </x:row>
    <x:row r="350">
      <x:c r="A350" s="8" t="n"/>
      <x:c r="B350" s="8" t="n"/>
      <x:c r="C350" s="8" t="n"/>
      <x:c r="D350" s="8" t="n"/>
    </x:row>
    <x:row r="351">
      <x:c r="A351" s="8" t="n"/>
      <x:c r="B351" s="8" t="n"/>
      <x:c r="C351" s="8" t="n"/>
      <x:c r="D351" s="8" t="n"/>
    </x:row>
    <x:row r="352">
      <x:c r="A352" s="8" t="n"/>
      <x:c r="B352" s="8" t="n"/>
      <x:c r="C352" s="8" t="n"/>
      <x:c r="D352" s="8" t="n"/>
    </x:row>
    <x:row r="353">
      <x:c r="A353" s="8" t="n"/>
      <x:c r="B353" s="8" t="n"/>
      <x:c r="C353" s="8" t="n"/>
      <x:c r="D353" s="8" t="n"/>
    </x:row>
    <x:row r="354">
      <x:c r="A354" s="8" t="n"/>
      <x:c r="B354" s="8" t="n"/>
      <x:c r="C354" s="8" t="n"/>
      <x:c r="D354" s="8" t="n"/>
    </x:row>
    <x:row r="355">
      <x:c r="A355" s="8" t="n"/>
      <x:c r="B355" s="8" t="n"/>
      <x:c r="C355" s="8" t="n"/>
      <x:c r="D355" s="8" t="n"/>
    </x:row>
    <x:row r="356">
      <x:c r="A356" s="8" t="n"/>
      <x:c r="B356" s="8" t="n"/>
      <x:c r="C356" s="8" t="n"/>
      <x:c r="D356" s="8" t="n"/>
    </x:row>
    <x:row r="357">
      <x:c r="A357" s="8" t="n"/>
      <x:c r="B357" s="8" t="n"/>
      <x:c r="C357" s="8" t="n"/>
      <x:c r="D357" s="8" t="n"/>
    </x:row>
    <x:row r="358">
      <x:c r="A358" s="8" t="n"/>
      <x:c r="B358" s="8" t="n"/>
      <x:c r="C358" s="8" t="n"/>
      <x:c r="D358" s="8" t="n"/>
    </x:row>
    <x:row r="359">
      <x:c r="A359" s="8" t="n"/>
      <x:c r="B359" s="8" t="n"/>
      <x:c r="C359" s="8" t="n"/>
      <x:c r="D359" s="8" t="n"/>
    </x:row>
    <x:row r="360">
      <x:c r="A360" s="8" t="n"/>
      <x:c r="B360" s="8" t="n"/>
      <x:c r="C360" s="8" t="n"/>
      <x:c r="D360" s="8" t="n"/>
    </x:row>
    <x:row r="361">
      <x:c r="A361" s="8" t="n"/>
      <x:c r="B361" s="8" t="n"/>
      <x:c r="C361" s="8" t="n"/>
      <x:c r="D361" s="8" t="n"/>
    </x:row>
    <x:row r="362">
      <x:c r="A362" s="8" t="n"/>
      <x:c r="B362" s="8" t="n"/>
      <x:c r="C362" s="8" t="n"/>
      <x:c r="D362" s="8" t="n"/>
    </x:row>
    <x:row r="363">
      <x:c r="A363" s="8" t="n"/>
      <x:c r="B363" s="8" t="n"/>
      <x:c r="C363" s="8" t="n"/>
      <x:c r="D363" s="8" t="n"/>
    </x:row>
    <x:row r="364">
      <x:c r="A364" s="8" t="n"/>
      <x:c r="B364" s="8" t="n"/>
      <x:c r="C364" s="8" t="n"/>
      <x:c r="D364" s="8" t="n"/>
    </x:row>
    <x:row r="365">
      <x:c r="A365" s="8" t="n"/>
      <x:c r="B365" s="8" t="n"/>
      <x:c r="C365" s="8" t="n"/>
      <x:c r="D365" s="8" t="n"/>
    </x:row>
    <x:row r="366">
      <x:c r="A366" s="8" t="n"/>
      <x:c r="B366" s="8" t="n"/>
      <x:c r="C366" s="8" t="n"/>
      <x:c r="D366" s="8" t="n"/>
    </x:row>
    <x:row r="367">
      <x:c r="A367" s="8" t="n"/>
      <x:c r="B367" s="8" t="n"/>
      <x:c r="C367" s="8" t="n"/>
      <x:c r="D367" s="8" t="n"/>
    </x:row>
    <x:row r="368">
      <x:c r="A368" s="8" t="n"/>
      <x:c r="B368" s="8" t="n"/>
      <x:c r="C368" s="8" t="n"/>
      <x:c r="D368" s="8" t="n"/>
    </x:row>
    <x:row r="369">
      <x:c r="A369" s="8" t="n"/>
      <x:c r="B369" s="8" t="n"/>
      <x:c r="C369" s="8" t="n"/>
      <x:c r="D369" s="8" t="n"/>
    </x:row>
    <x:row r="370">
      <x:c r="A370" s="8" t="n"/>
      <x:c r="B370" s="8" t="n"/>
      <x:c r="C370" s="8" t="n"/>
      <x:c r="D370" s="8" t="n"/>
    </x:row>
    <x:row r="371">
      <x:c r="A371" s="8" t="n"/>
      <x:c r="B371" s="8" t="n"/>
      <x:c r="C371" s="8" t="n"/>
      <x:c r="D371" s="8" t="n"/>
    </x:row>
    <x:row r="372">
      <x:c r="A372" s="8" t="n"/>
      <x:c r="B372" s="8" t="n"/>
      <x:c r="C372" s="8" t="n"/>
      <x:c r="D372" s="8" t="n"/>
    </x:row>
    <x:row r="373">
      <x:c r="A373" s="8" t="n"/>
      <x:c r="B373" s="8" t="n"/>
      <x:c r="C373" s="8" t="n"/>
      <x:c r="D373" s="8" t="n"/>
    </x:row>
    <x:row r="374">
      <x:c r="A374" s="8" t="n"/>
      <x:c r="B374" s="8" t="n"/>
      <x:c r="C374" s="8" t="n"/>
      <x:c r="D374" s="8" t="n"/>
    </x:row>
    <x:row r="375">
      <x:c r="A375" s="8" t="n"/>
      <x:c r="B375" s="8" t="n"/>
      <x:c r="C375" s="8" t="n"/>
      <x:c r="D375" s="8" t="n"/>
    </x:row>
    <x:row r="376">
      <x:c r="A376" s="8" t="n"/>
      <x:c r="B376" s="8" t="n"/>
      <x:c r="C376" s="8" t="n"/>
      <x:c r="D376" s="8" t="n"/>
    </x:row>
    <x:row r="377">
      <x:c r="A377" s="8" t="n"/>
      <x:c r="B377" s="8" t="n"/>
      <x:c r="C377" s="8" t="n"/>
      <x:c r="D377" s="8" t="n"/>
    </x:row>
    <x:row r="378">
      <x:c r="A378" s="8" t="n"/>
      <x:c r="B378" s="8" t="n"/>
      <x:c r="C378" s="8" t="n"/>
      <x:c r="D378" s="8" t="n"/>
    </x:row>
    <x:row r="379">
      <x:c r="A379" s="8" t="n"/>
      <x:c r="B379" s="8" t="n"/>
      <x:c r="C379" s="8" t="n"/>
      <x:c r="D379" s="8" t="n"/>
    </x:row>
    <x:row r="380">
      <x:c r="A380" s="8" t="n"/>
      <x:c r="B380" s="8" t="n"/>
      <x:c r="C380" s="8" t="n"/>
      <x:c r="D380" s="8" t="n"/>
    </x:row>
    <x:row r="381">
      <x:c r="A381" s="8" t="n"/>
      <x:c r="B381" s="8" t="n"/>
      <x:c r="C381" s="8" t="n"/>
      <x:c r="D381" s="8" t="n"/>
    </x:row>
    <x:row r="382">
      <x:c r="A382" s="8" t="n"/>
      <x:c r="B382" s="8" t="n"/>
      <x:c r="C382" s="8" t="n"/>
      <x:c r="D382" s="8" t="n"/>
    </x:row>
    <x:row r="383">
      <x:c r="A383" s="8" t="n"/>
      <x:c r="B383" s="8" t="n"/>
      <x:c r="C383" s="8" t="n"/>
      <x:c r="D383" s="8" t="n"/>
    </x:row>
    <x:row r="384">
      <x:c r="A384" s="8" t="n"/>
      <x:c r="B384" s="8" t="n"/>
      <x:c r="C384" s="8" t="n"/>
      <x:c r="D384" s="8" t="n"/>
    </x:row>
    <x:row r="385">
      <x:c r="A385" s="8" t="n"/>
      <x:c r="B385" s="8" t="n"/>
      <x:c r="C385" s="8" t="n"/>
      <x:c r="D385" s="8" t="n"/>
    </x:row>
    <x:row r="386">
      <x:c r="A386" s="8" t="n"/>
      <x:c r="B386" s="8" t="n"/>
      <x:c r="C386" s="8" t="n"/>
      <x:c r="D386" s="8" t="n"/>
    </x:row>
    <x:row r="387">
      <x:c r="A387" s="8" t="n"/>
      <x:c r="B387" s="8" t="n"/>
      <x:c r="C387" s="8" t="n"/>
      <x:c r="D387" s="8" t="n"/>
    </x:row>
    <x:row r="388">
      <x:c r="A388" s="8" t="n"/>
      <x:c r="B388" s="8" t="n"/>
      <x:c r="C388" s="8" t="n"/>
      <x:c r="D388" s="8" t="n"/>
    </x:row>
    <x:row r="389">
      <x:c r="A389" s="8" t="n"/>
      <x:c r="B389" s="8" t="n"/>
      <x:c r="C389" s="8" t="n"/>
      <x:c r="D389" s="8" t="n"/>
    </x:row>
    <x:row r="390">
      <x:c r="A390" s="8" t="n"/>
      <x:c r="B390" s="8" t="n"/>
      <x:c r="C390" s="8" t="n"/>
      <x:c r="D390" s="8" t="n"/>
    </x:row>
    <x:row r="391">
      <x:c r="A391" s="8" t="n"/>
      <x:c r="B391" s="8" t="n"/>
      <x:c r="C391" s="8" t="n"/>
      <x:c r="D391" s="8" t="n"/>
    </x:row>
    <x:row r="392">
      <x:c r="A392" s="8" t="n"/>
      <x:c r="B392" s="8" t="n"/>
      <x:c r="C392" s="8" t="n"/>
      <x:c r="D392" s="8" t="n"/>
    </x:row>
    <x:row r="393">
      <x:c r="A393" s="8" t="n"/>
      <x:c r="B393" s="8" t="n"/>
      <x:c r="C393" s="8" t="n"/>
      <x:c r="D393" s="8" t="n"/>
    </x:row>
    <x:row r="394">
      <x:c r="A394" s="8" t="n"/>
      <x:c r="B394" s="8" t="n"/>
      <x:c r="C394" s="8" t="n"/>
      <x:c r="D394" s="8" t="n"/>
    </x:row>
    <x:row r="395">
      <x:c r="A395" s="8" t="n"/>
      <x:c r="B395" s="8" t="n"/>
      <x:c r="C395" s="8" t="n"/>
      <x:c r="D395" s="8" t="n"/>
    </x:row>
    <x:row r="396">
      <x:c r="A396" s="8" t="n"/>
      <x:c r="B396" s="8" t="n"/>
      <x:c r="C396" s="8" t="n"/>
      <x:c r="D396" s="8" t="n"/>
    </x:row>
    <x:row r="397">
      <x:c r="A397" s="8" t="n"/>
      <x:c r="B397" s="8" t="n"/>
      <x:c r="C397" s="8" t="n"/>
      <x:c r="D397" s="8" t="n"/>
    </x:row>
    <x:row r="398">
      <x:c r="A398" s="8" t="n"/>
      <x:c r="B398" s="8" t="n"/>
      <x:c r="C398" s="8" t="n"/>
      <x:c r="D398" s="8" t="n"/>
    </x:row>
    <x:row r="399">
      <x:c r="A399" s="8" t="n"/>
      <x:c r="B399" s="8" t="n"/>
      <x:c r="C399" s="8" t="n"/>
      <x:c r="D399" s="8" t="n"/>
    </x:row>
    <x:row r="400">
      <x:c r="A400" s="8" t="n"/>
      <x:c r="B400" s="8" t="n"/>
      <x:c r="C400" s="8" t="n"/>
      <x:c r="D400" s="8" t="n"/>
    </x:row>
    <x:row r="401">
      <x:c r="A401" s="8" t="n"/>
      <x:c r="B401" s="8" t="n"/>
      <x:c r="C401" s="8" t="n"/>
      <x:c r="D401" s="8" t="n"/>
    </x:row>
    <x:row r="402">
      <x:c r="A402" s="8" t="n"/>
      <x:c r="B402" s="8" t="n"/>
      <x:c r="C402" s="8" t="n"/>
      <x:c r="D402" s="8" t="n"/>
    </x:row>
    <x:row r="403">
      <x:c r="A403" s="8" t="n"/>
      <x:c r="B403" s="8" t="n"/>
      <x:c r="C403" s="8" t="n"/>
      <x:c r="D403" s="8" t="n"/>
    </x:row>
    <x:row r="404">
      <x:c r="A404" s="8" t="n"/>
      <x:c r="B404" s="8" t="n"/>
      <x:c r="C404" s="8" t="n"/>
      <x:c r="D404" s="8" t="n"/>
    </x:row>
    <x:row r="405">
      <x:c r="A405" s="8" t="n"/>
      <x:c r="B405" s="8" t="n"/>
      <x:c r="C405" s="8" t="n"/>
      <x:c r="D405" s="8" t="n"/>
    </x:row>
    <x:row r="406">
      <x:c r="A406" s="8" t="n"/>
      <x:c r="B406" s="8" t="n"/>
      <x:c r="C406" s="8" t="n"/>
      <x:c r="D406" s="8" t="n"/>
    </x:row>
    <x:row r="407">
      <x:c r="A407" s="8" t="n"/>
      <x:c r="B407" s="8" t="n"/>
      <x:c r="C407" s="8" t="n"/>
      <x:c r="D407" s="8" t="n"/>
    </x:row>
    <x:row r="408">
      <x:c r="A408" s="8" t="n"/>
      <x:c r="B408" s="8" t="n"/>
      <x:c r="C408" s="8" t="n"/>
      <x:c r="D408" s="8" t="n"/>
    </x:row>
    <x:row r="409">
      <x:c r="A409" s="8" t="n"/>
      <x:c r="B409" s="8" t="n"/>
      <x:c r="C409" s="8" t="n"/>
      <x:c r="D409" s="8" t="n"/>
    </x:row>
    <x:row r="410">
      <x:c r="A410" s="8" t="n"/>
      <x:c r="B410" s="8" t="n"/>
      <x:c r="C410" s="8" t="n"/>
      <x:c r="D410" s="8" t="n"/>
    </x:row>
    <x:row r="411">
      <x:c r="A411" s="8" t="n"/>
      <x:c r="B411" s="8" t="n"/>
      <x:c r="C411" s="8" t="n"/>
      <x:c r="D411" s="8" t="n"/>
    </x:row>
    <x:row r="412">
      <x:c r="A412" s="8" t="n"/>
      <x:c r="B412" s="8" t="n"/>
      <x:c r="C412" s="8" t="n"/>
      <x:c r="D412" s="8" t="n"/>
    </x:row>
    <x:row r="413">
      <x:c r="A413" s="8" t="n"/>
      <x:c r="B413" s="8" t="n"/>
      <x:c r="C413" s="8" t="n"/>
      <x:c r="D413" s="8" t="n"/>
    </x:row>
    <x:row r="414">
      <x:c r="A414" s="8" t="n"/>
      <x:c r="B414" s="8" t="n"/>
      <x:c r="C414" s="8" t="n"/>
      <x:c r="D414" s="8" t="n"/>
    </x:row>
    <x:row r="415">
      <x:c r="A415" s="8" t="n"/>
      <x:c r="B415" s="8" t="n"/>
      <x:c r="C415" s="8" t="n"/>
      <x:c r="D415" s="8" t="n"/>
    </x:row>
    <x:row r="416">
      <x:c r="A416" s="8" t="n"/>
      <x:c r="B416" s="8" t="n"/>
      <x:c r="C416" s="8" t="n"/>
      <x:c r="D416" s="8" t="n"/>
    </x:row>
    <x:row r="417">
      <x:c r="A417" s="8" t="n"/>
      <x:c r="B417" s="8" t="n"/>
      <x:c r="C417" s="8" t="n"/>
      <x:c r="D417" s="8" t="n"/>
    </x:row>
    <x:row r="418">
      <x:c r="A418" s="8" t="n"/>
      <x:c r="B418" s="8" t="n"/>
      <x:c r="C418" s="8" t="n"/>
      <x:c r="D418" s="8" t="n"/>
    </x:row>
    <x:row r="419">
      <x:c r="A419" s="8" t="n"/>
      <x:c r="B419" s="8" t="n"/>
      <x:c r="C419" s="8" t="n"/>
      <x:c r="D419" s="8" t="n"/>
    </x:row>
    <x:row r="420">
      <x:c r="A420" s="8" t="n"/>
      <x:c r="B420" s="8" t="n"/>
      <x:c r="C420" s="8" t="n"/>
      <x:c r="D420" s="8" t="n"/>
    </x:row>
    <x:row r="421">
      <x:c r="A421" s="8" t="n"/>
      <x:c r="B421" s="8" t="n"/>
      <x:c r="C421" s="8" t="n"/>
      <x:c r="D421" s="8" t="n"/>
    </x:row>
    <x:row r="422">
      <x:c r="A422" s="8" t="n"/>
      <x:c r="B422" s="8" t="n"/>
      <x:c r="C422" s="8" t="n"/>
      <x:c r="D422" s="8" t="n"/>
    </x:row>
    <x:row r="423">
      <x:c r="A423" s="8" t="n"/>
      <x:c r="B423" s="8" t="n"/>
      <x:c r="C423" s="8" t="n"/>
      <x:c r="D423" s="8" t="n"/>
    </x:row>
    <x:row r="424">
      <x:c r="A424" s="8" t="n"/>
      <x:c r="B424" s="8" t="n"/>
      <x:c r="C424" s="8" t="n"/>
      <x:c r="D424" s="8" t="n"/>
    </x:row>
    <x:row r="425">
      <x:c r="A425" s="8" t="n"/>
      <x:c r="B425" s="8" t="n"/>
      <x:c r="C425" s="8" t="n"/>
      <x:c r="D425" s="8" t="n"/>
    </x:row>
    <x:row r="426">
      <x:c r="A426" s="8" t="n"/>
      <x:c r="B426" s="8" t="n"/>
      <x:c r="C426" s="8" t="n"/>
      <x:c r="D426" s="8" t="n"/>
    </x:row>
    <x:row r="427">
      <x:c r="A427" s="8" t="n"/>
      <x:c r="B427" s="8" t="n"/>
      <x:c r="C427" s="8" t="n"/>
      <x:c r="D427" s="8" t="n"/>
    </x:row>
    <x:row r="428">
      <x:c r="A428" s="8" t="n"/>
      <x:c r="B428" s="8" t="n"/>
      <x:c r="C428" s="8" t="n"/>
      <x:c r="D428" s="8" t="n"/>
    </x:row>
    <x:row r="429">
      <x:c r="A429" s="8" t="n"/>
      <x:c r="B429" s="8" t="n"/>
      <x:c r="C429" s="8" t="n"/>
      <x:c r="D429" s="8" t="n"/>
    </x:row>
    <x:row r="430">
      <x:c r="A430" s="8" t="n"/>
      <x:c r="B430" s="8" t="n"/>
      <x:c r="C430" s="8" t="n"/>
      <x:c r="D430" s="8" t="n"/>
    </x:row>
    <x:row r="431">
      <x:c r="A431" s="8" t="n"/>
      <x:c r="B431" s="8" t="n"/>
      <x:c r="C431" s="8" t="n"/>
      <x:c r="D431" s="8" t="n"/>
    </x:row>
    <x:row r="432">
      <x:c r="A432" s="8" t="n"/>
      <x:c r="B432" s="8" t="n"/>
      <x:c r="C432" s="8" t="n"/>
      <x:c r="D432" s="8" t="n"/>
    </x:row>
    <x:row r="433">
      <x:c r="A433" s="8" t="n"/>
      <x:c r="B433" s="8" t="n"/>
      <x:c r="C433" s="8" t="n"/>
      <x:c r="D433" s="8" t="n"/>
    </x:row>
    <x:row r="434">
      <x:c r="A434" s="8" t="n"/>
      <x:c r="B434" s="8" t="n"/>
      <x:c r="C434" s="8" t="n"/>
      <x:c r="D434" s="8" t="n"/>
    </x:row>
    <x:row r="435">
      <x:c r="A435" s="8" t="n"/>
      <x:c r="B435" s="8" t="n"/>
      <x:c r="C435" s="8" t="n"/>
      <x:c r="D435" s="8" t="n"/>
    </x:row>
    <x:row r="436">
      <x:c r="A436" s="8" t="n"/>
      <x:c r="B436" s="8" t="n"/>
      <x:c r="C436" s="8" t="n"/>
      <x:c r="D436" s="8" t="n"/>
    </x:row>
    <x:row r="437">
      <x:c r="A437" s="8" t="n"/>
      <x:c r="B437" s="8" t="n"/>
      <x:c r="C437" s="8" t="n"/>
      <x:c r="D437" s="8" t="n"/>
    </x:row>
    <x:row r="438">
      <x:c r="A438" s="8" t="n"/>
      <x:c r="B438" s="8" t="n"/>
      <x:c r="C438" s="8" t="n"/>
      <x:c r="D438" s="8" t="n"/>
    </x:row>
    <x:row r="439">
      <x:c r="A439" s="8" t="n"/>
      <x:c r="B439" s="8" t="n"/>
      <x:c r="C439" s="8" t="n"/>
      <x:c r="D439" s="8" t="n"/>
    </x:row>
    <x:row r="440">
      <x:c r="A440" s="8" t="n"/>
      <x:c r="B440" s="8" t="n"/>
      <x:c r="C440" s="8" t="n"/>
      <x:c r="D440" s="8" t="n"/>
    </x:row>
    <x:row r="441">
      <x:c r="A441" s="8" t="n"/>
      <x:c r="B441" s="8" t="n"/>
      <x:c r="C441" s="8" t="n"/>
      <x:c r="D441" s="8" t="n"/>
    </x:row>
    <x:row r="442">
      <x:c r="A442" s="8" t="n"/>
      <x:c r="B442" s="8" t="n"/>
      <x:c r="C442" s="8" t="n"/>
      <x:c r="D442" s="8" t="n"/>
    </x:row>
    <x:row r="443">
      <x:c r="A443" s="8" t="n"/>
      <x:c r="B443" s="8" t="n"/>
      <x:c r="C443" s="8" t="n"/>
      <x:c r="D443" s="8" t="n"/>
    </x:row>
    <x:row r="444">
      <x:c r="A444" s="8" t="n"/>
      <x:c r="B444" s="8" t="n"/>
      <x:c r="C444" s="8" t="n"/>
      <x:c r="D444" s="8" t="n"/>
    </x:row>
    <x:row r="445">
      <x:c r="A445" s="8" t="n"/>
      <x:c r="B445" s="8" t="n"/>
      <x:c r="C445" s="8" t="n"/>
      <x:c r="D445" s="8" t="n"/>
    </x:row>
    <x:row r="446">
      <x:c r="A446" s="8" t="n"/>
      <x:c r="B446" s="8" t="n"/>
      <x:c r="C446" s="8" t="n"/>
      <x:c r="D446" s="8" t="n"/>
    </x:row>
    <x:row r="447">
      <x:c r="A447" s="8" t="n"/>
      <x:c r="B447" s="8" t="n"/>
      <x:c r="C447" s="8" t="n"/>
      <x:c r="D447" s="8" t="n"/>
    </x:row>
    <x:row r="448">
      <x:c r="A448" s="8" t="n"/>
      <x:c r="B448" s="8" t="n"/>
      <x:c r="C448" s="8" t="n"/>
      <x:c r="D448" s="8" t="n"/>
    </x:row>
    <x:row r="449">
      <x:c r="A449" s="8" t="n"/>
      <x:c r="B449" s="8" t="n"/>
      <x:c r="C449" s="8" t="n"/>
      <x:c r="D449" s="8" t="n"/>
    </x:row>
    <x:row r="450">
      <x:c r="A450" s="8" t="n"/>
      <x:c r="B450" s="8" t="n"/>
      <x:c r="C450" s="8" t="n"/>
      <x:c r="D450" s="8" t="n"/>
    </x:row>
    <x:row r="451">
      <x:c r="A451" s="8" t="n"/>
      <x:c r="B451" s="8" t="n"/>
      <x:c r="C451" s="8" t="n"/>
      <x:c r="D451" s="8" t="n"/>
    </x:row>
    <x:row r="452">
      <x:c r="A452" s="8" t="n"/>
      <x:c r="B452" s="8" t="n"/>
      <x:c r="C452" s="8" t="n"/>
      <x:c r="D452" s="8" t="n"/>
    </x:row>
    <x:row r="453">
      <x:c r="A453" s="8" t="n"/>
      <x:c r="B453" s="8" t="n"/>
      <x:c r="C453" s="8" t="n"/>
      <x:c r="D453" s="8" t="n"/>
    </x:row>
    <x:row r="454">
      <x:c r="A454" s="8" t="n"/>
      <x:c r="B454" s="8" t="n"/>
      <x:c r="C454" s="8" t="n"/>
      <x:c r="D454" s="8" t="n"/>
    </x:row>
    <x:row r="455">
      <x:c r="A455" s="8" t="n"/>
      <x:c r="B455" s="8" t="n"/>
      <x:c r="C455" s="8" t="n"/>
      <x:c r="D455" s="8" t="n"/>
    </x:row>
    <x:row r="456">
      <x:c r="A456" s="8" t="n"/>
      <x:c r="B456" s="8" t="n"/>
      <x:c r="C456" s="8" t="n"/>
      <x:c r="D456" s="8" t="n"/>
    </x:row>
    <x:row r="457">
      <x:c r="A457" s="8" t="n"/>
      <x:c r="B457" s="8" t="n"/>
      <x:c r="C457" s="8" t="n"/>
      <x:c r="D457" s="8" t="n"/>
    </x:row>
    <x:row r="458">
      <x:c r="A458" s="8" t="n"/>
      <x:c r="B458" s="8" t="n"/>
      <x:c r="C458" s="8" t="n"/>
      <x:c r="D458" s="8" t="n"/>
    </x:row>
    <x:row r="459">
      <x:c r="A459" s="8" t="n"/>
      <x:c r="B459" s="8" t="n"/>
      <x:c r="C459" s="8" t="n"/>
      <x:c r="D459" s="8" t="n"/>
    </x:row>
    <x:row r="460">
      <x:c r="A460" s="8" t="n"/>
      <x:c r="B460" s="8" t="n"/>
      <x:c r="C460" s="8" t="n"/>
      <x:c r="D460" s="8" t="n"/>
    </x:row>
    <x:row r="461">
      <x:c r="A461" s="8" t="n"/>
      <x:c r="B461" s="8" t="n"/>
      <x:c r="C461" s="8" t="n"/>
      <x:c r="D461" s="8" t="n"/>
    </x:row>
    <x:row r="462">
      <x:c r="A462" s="8" t="n"/>
      <x:c r="B462" s="8" t="n"/>
      <x:c r="C462" s="8" t="n"/>
      <x:c r="D462" s="8" t="n"/>
    </x:row>
    <x:row r="463">
      <x:c r="A463" s="8" t="n"/>
      <x:c r="B463" s="8" t="n"/>
      <x:c r="C463" s="8" t="n"/>
      <x:c r="D463" s="8" t="n"/>
    </x:row>
    <x:row r="464">
      <x:c r="A464" s="8" t="n"/>
      <x:c r="B464" s="8" t="n"/>
      <x:c r="C464" s="8" t="n"/>
      <x:c r="D464" s="8" t="n"/>
    </x:row>
    <x:row r="465">
      <x:c r="A465" s="8" t="n"/>
      <x:c r="B465" s="8" t="n"/>
      <x:c r="C465" s="8" t="n"/>
      <x:c r="D465" s="8" t="n"/>
    </x:row>
    <x:row r="466">
      <x:c r="A466" s="8" t="n"/>
      <x:c r="B466" s="8" t="n"/>
      <x:c r="C466" s="8" t="n"/>
      <x:c r="D466" s="8" t="n"/>
    </x:row>
    <x:row r="467">
      <x:c r="A467" s="8" t="n"/>
      <x:c r="B467" s="8" t="n"/>
      <x:c r="C467" s="8" t="n"/>
      <x:c r="D467" s="8" t="n"/>
    </x:row>
    <x:row r="468">
      <x:c r="A468" s="8" t="n"/>
      <x:c r="B468" s="8" t="n"/>
      <x:c r="C468" s="8" t="n"/>
      <x:c r="D468" s="8" t="n"/>
    </x:row>
    <x:row r="469">
      <x:c r="A469" s="8" t="n"/>
      <x:c r="B469" s="8" t="n"/>
      <x:c r="C469" s="8" t="n"/>
      <x:c r="D469" s="8" t="n"/>
    </x:row>
    <x:row r="470">
      <x:c r="A470" s="8" t="n"/>
      <x:c r="B470" s="8" t="n"/>
      <x:c r="C470" s="8" t="n"/>
      <x:c r="D470" s="8" t="n"/>
    </x:row>
    <x:row r="471">
      <x:c r="A471" s="8" t="n"/>
      <x:c r="B471" s="8" t="n"/>
      <x:c r="C471" s="8" t="n"/>
      <x:c r="D471" s="8" t="n"/>
    </x:row>
    <x:row r="472">
      <x:c r="A472" s="8" t="n"/>
      <x:c r="B472" s="8" t="n"/>
      <x:c r="C472" s="8" t="n"/>
      <x:c r="D472" s="8" t="n"/>
    </x:row>
    <x:row r="473">
      <x:c r="A473" s="8" t="n"/>
      <x:c r="B473" s="8" t="n"/>
      <x:c r="C473" s="8" t="n"/>
      <x:c r="D473" s="8" t="n"/>
    </x:row>
    <x:row r="474">
      <x:c r="A474" s="8" t="n"/>
      <x:c r="B474" s="8" t="n"/>
      <x:c r="C474" s="8" t="n"/>
      <x:c r="D474" s="8" t="n"/>
    </x:row>
    <x:row r="475">
      <x:c r="A475" s="8" t="n"/>
      <x:c r="B475" s="8" t="n"/>
      <x:c r="C475" s="8" t="n"/>
      <x:c r="D475" s="8" t="n"/>
    </x:row>
    <x:row r="476">
      <x:c r="A476" s="8" t="n"/>
      <x:c r="B476" s="8" t="n"/>
      <x:c r="C476" s="8" t="n"/>
      <x:c r="D476" s="8" t="n"/>
    </x:row>
    <x:row r="477">
      <x:c r="A477" s="8" t="n"/>
      <x:c r="B477" s="8" t="n"/>
      <x:c r="C477" s="8" t="n"/>
      <x:c r="D477" s="8" t="n"/>
    </x:row>
    <x:row r="478">
      <x:c r="A478" s="8" t="n"/>
      <x:c r="B478" s="8" t="n"/>
      <x:c r="C478" s="8" t="n"/>
      <x:c r="D478" s="8" t="n"/>
    </x:row>
    <x:row r="479">
      <x:c r="A479" s="8" t="n"/>
      <x:c r="B479" s="8" t="n"/>
      <x:c r="C479" s="8" t="n"/>
      <x:c r="D479" s="8" t="n"/>
    </x:row>
    <x:row r="480">
      <x:c r="A480" s="8" t="n"/>
      <x:c r="B480" s="8" t="n"/>
      <x:c r="C480" s="8" t="n"/>
      <x:c r="D480" s="8" t="n"/>
    </x:row>
    <x:row r="481">
      <x:c r="A481" s="8" t="n"/>
      <x:c r="B481" s="8" t="n"/>
      <x:c r="C481" s="8" t="n"/>
      <x:c r="D481" s="8" t="n"/>
    </x:row>
    <x:row r="482">
      <x:c r="A482" s="8" t="n"/>
      <x:c r="B482" s="8" t="n"/>
      <x:c r="C482" s="8" t="n"/>
      <x:c r="D482" s="8" t="n"/>
    </x:row>
    <x:row r="483">
      <x:c r="A483" s="8" t="n"/>
      <x:c r="B483" s="8" t="n"/>
      <x:c r="C483" s="8" t="n"/>
      <x:c r="D483" s="8" t="n"/>
    </x:row>
    <x:row r="484">
      <x:c r="A484" s="8" t="n"/>
      <x:c r="B484" s="8" t="n"/>
      <x:c r="C484" s="8" t="n"/>
      <x:c r="D484" s="8" t="n"/>
    </x:row>
    <x:row r="485">
      <x:c r="A485" s="8" t="n"/>
      <x:c r="B485" s="8" t="n"/>
      <x:c r="C485" s="8" t="n"/>
      <x:c r="D485" s="8" t="n"/>
    </x:row>
    <x:row r="486">
      <x:c r="A486" s="8" t="n"/>
      <x:c r="B486" s="8" t="n"/>
      <x:c r="C486" s="8" t="n"/>
      <x:c r="D486" s="8" t="n"/>
    </x:row>
    <x:row r="487">
      <x:c r="A487" s="8" t="n"/>
      <x:c r="B487" s="8" t="n"/>
      <x:c r="C487" s="8" t="n"/>
      <x:c r="D487" s="8" t="n"/>
    </x:row>
    <x:row r="488">
      <x:c r="A488" s="8" t="n"/>
      <x:c r="B488" s="8" t="n"/>
      <x:c r="C488" s="8" t="n"/>
      <x:c r="D488" s="8" t="n"/>
    </x:row>
    <x:row r="489">
      <x:c r="A489" s="8" t="n"/>
      <x:c r="B489" s="8" t="n"/>
      <x:c r="C489" s="8" t="n"/>
      <x:c r="D489" s="8" t="n"/>
    </x:row>
    <x:row r="490">
      <x:c r="A490" s="8" t="n"/>
      <x:c r="B490" s="8" t="n"/>
      <x:c r="C490" s="8" t="n"/>
      <x:c r="D490" s="8" t="n"/>
    </x:row>
    <x:row r="491">
      <x:c r="A491" s="8" t="n"/>
      <x:c r="B491" s="8" t="n"/>
      <x:c r="C491" s="8" t="n"/>
      <x:c r="D491" s="8" t="n"/>
    </x:row>
    <x:row r="492">
      <x:c r="A492" s="8" t="n"/>
      <x:c r="B492" s="8" t="n"/>
      <x:c r="C492" s="8" t="n"/>
      <x:c r="D492" s="8" t="n"/>
    </x:row>
    <x:row r="493">
      <x:c r="A493" s="8" t="n"/>
      <x:c r="B493" s="8" t="n"/>
      <x:c r="C493" s="8" t="n"/>
      <x:c r="D493" s="8" t="n"/>
    </x:row>
    <x:row r="494">
      <x:c r="A494" s="8" t="n"/>
      <x:c r="B494" s="8" t="n"/>
      <x:c r="C494" s="8" t="n"/>
      <x:c r="D494" s="8" t="n"/>
    </x:row>
    <x:row r="495">
      <x:c r="A495" s="8" t="n"/>
      <x:c r="B495" s="8" t="n"/>
      <x:c r="C495" s="8" t="n"/>
      <x:c r="D495" s="8" t="n"/>
    </x:row>
    <x:row r="496">
      <x:c r="A496" s="8" t="n"/>
      <x:c r="B496" s="8" t="n"/>
      <x:c r="C496" s="8" t="n"/>
      <x:c r="D496" s="8" t="n"/>
    </x:row>
    <x:row r="497">
      <x:c r="A497" s="8" t="n"/>
      <x:c r="B497" s="8" t="n"/>
      <x:c r="C497" s="8" t="n"/>
      <x:c r="D497" s="8" t="n"/>
    </x:row>
    <x:row r="498">
      <x:c r="A498" s="8" t="n"/>
      <x:c r="B498" s="8" t="n"/>
      <x:c r="C498" s="8" t="n"/>
      <x:c r="D498" s="8" t="n"/>
    </x:row>
    <x:row r="499">
      <x:c r="A499" s="8" t="n"/>
      <x:c r="B499" s="8" t="n"/>
      <x:c r="C499" s="8" t="n"/>
      <x:c r="D499" s="8" t="n"/>
    </x:row>
    <x:row r="500">
      <x:c r="A500" s="8" t="n"/>
      <x:c r="B500" s="8" t="n"/>
      <x:c r="C500" s="8" t="n"/>
      <x:c r="D500" s="8" t="n"/>
    </x:row>
    <x:row r="501">
      <x:c r="A501" s="8" t="n"/>
      <x:c r="B501" s="8" t="n"/>
      <x:c r="C501" s="8" t="n"/>
      <x:c r="D501" s="8" t="n"/>
    </x:row>
    <x:row r="502">
      <x:c r="A502" s="8" t="n"/>
      <x:c r="B502" s="8" t="n"/>
      <x:c r="C502" s="8" t="n"/>
      <x:c r="D502" s="8" t="n"/>
    </x:row>
    <x:row r="503">
      <x:c r="A503" s="8" t="n"/>
      <x:c r="B503" s="8" t="n"/>
      <x:c r="C503" s="8" t="n"/>
      <x:c r="D503" s="8" t="n"/>
    </x:row>
    <x:row r="504">
      <x:c r="A504" s="8" t="n"/>
      <x:c r="B504" s="8" t="n"/>
      <x:c r="C504" s="8" t="n"/>
      <x:c r="D504" s="8" t="n"/>
    </x:row>
    <x:row r="505">
      <x:c r="A505" s="8" t="n"/>
      <x:c r="B505" s="8" t="n"/>
      <x:c r="C505" s="8" t="n"/>
      <x:c r="D505" s="8" t="n"/>
    </x:row>
    <x:row r="506">
      <x:c r="A506" s="8" t="n"/>
      <x:c r="B506" s="8" t="n"/>
      <x:c r="C506" s="8" t="n"/>
      <x:c r="D506" s="8" t="n"/>
    </x:row>
    <x:row r="507">
      <x:c r="A507" s="8" t="n"/>
      <x:c r="B507" s="8" t="n"/>
      <x:c r="C507" s="8" t="n"/>
      <x:c r="D507" s="8" t="n"/>
    </x:row>
    <x:row r="508">
      <x:c r="A508" s="8" t="n"/>
      <x:c r="B508" s="8" t="n"/>
      <x:c r="C508" s="8" t="n"/>
      <x:c r="D508" s="8" t="n"/>
    </x:row>
    <x:row r="509">
      <x:c r="A509" s="8" t="n"/>
      <x:c r="B509" s="8" t="n"/>
      <x:c r="C509" s="8" t="n"/>
      <x:c r="D509" s="8" t="n"/>
    </x:row>
    <x:row r="510">
      <x:c r="A510" s="8" t="n"/>
      <x:c r="B510" s="8" t="n"/>
      <x:c r="C510" s="8" t="n"/>
      <x:c r="D510" s="8" t="n"/>
    </x:row>
    <x:row r="511">
      <x:c r="A511" s="8" t="n"/>
      <x:c r="B511" s="8" t="n"/>
      <x:c r="C511" s="8" t="n"/>
      <x:c r="D511" s="8" t="n"/>
    </x:row>
    <x:row r="512">
      <x:c r="A512" s="8" t="n"/>
      <x:c r="B512" s="8" t="n"/>
      <x:c r="C512" s="8" t="n"/>
      <x:c r="D512" s="8" t="n"/>
    </x:row>
    <x:row r="513">
      <x:c r="A513" s="8" t="n"/>
      <x:c r="B513" s="8" t="n"/>
      <x:c r="C513" s="8" t="n"/>
      <x:c r="D513" s="8" t="n"/>
    </x:row>
    <x:row r="514">
      <x:c r="A514" s="8" t="n"/>
      <x:c r="B514" s="8" t="n"/>
      <x:c r="C514" s="8" t="n"/>
      <x:c r="D514" s="8" t="n"/>
    </x:row>
    <x:row r="515">
      <x:c r="A515" s="8" t="n"/>
      <x:c r="B515" s="8" t="n"/>
      <x:c r="C515" s="8" t="n"/>
      <x:c r="D515" s="8" t="n"/>
    </x:row>
    <x:row r="516">
      <x:c r="A516" s="8" t="n"/>
      <x:c r="B516" s="8" t="n"/>
      <x:c r="C516" s="8" t="n"/>
      <x:c r="D516" s="8" t="n"/>
    </x:row>
    <x:row r="517">
      <x:c r="A517" s="8" t="n"/>
      <x:c r="B517" s="8" t="n"/>
      <x:c r="C517" s="8" t="n"/>
      <x:c r="D517" s="8" t="n"/>
    </x:row>
    <x:row r="518">
      <x:c r="A518" s="8" t="n"/>
      <x:c r="B518" s="8" t="n"/>
      <x:c r="C518" s="8" t="n"/>
      <x:c r="D518" s="8" t="n"/>
    </x:row>
    <x:row r="519">
      <x:c r="A519" s="8" t="n"/>
      <x:c r="B519" s="8" t="n"/>
      <x:c r="C519" s="8" t="n"/>
      <x:c r="D519" s="8" t="n"/>
    </x:row>
    <x:row r="520">
      <x:c r="A520" s="8" t="n"/>
      <x:c r="B520" s="8" t="n"/>
      <x:c r="C520" s="8" t="n"/>
      <x:c r="D520" s="8" t="n"/>
    </x:row>
    <x:row r="521">
      <x:c r="A521" s="8" t="n"/>
      <x:c r="B521" s="8" t="n"/>
      <x:c r="C521" s="8" t="n"/>
      <x:c r="D521" s="8" t="n"/>
    </x:row>
    <x:row r="522">
      <x:c r="A522" s="8" t="n"/>
      <x:c r="B522" s="8" t="n"/>
      <x:c r="C522" s="8" t="n"/>
      <x:c r="D522" s="8" t="n"/>
    </x:row>
    <x:row r="523">
      <x:c r="A523" s="8" t="n"/>
      <x:c r="B523" s="8" t="n"/>
      <x:c r="C523" s="8" t="n"/>
      <x:c r="D523" s="8" t="n"/>
    </x:row>
    <x:row r="524">
      <x:c r="A524" s="8" t="n"/>
      <x:c r="B524" s="8" t="n"/>
      <x:c r="C524" s="8" t="n"/>
      <x:c r="D524" s="8" t="n"/>
    </x:row>
    <x:row r="525">
      <x:c r="A525" s="8" t="n"/>
      <x:c r="B525" s="8" t="n"/>
      <x:c r="C525" s="8" t="n"/>
      <x:c r="D525" s="8" t="n"/>
    </x:row>
    <x:row r="526">
      <x:c r="A526" s="8" t="n"/>
      <x:c r="B526" s="8" t="n"/>
      <x:c r="C526" s="8" t="n"/>
      <x:c r="D526" s="8" t="n"/>
    </x:row>
    <x:row r="527">
      <x:c r="A527" s="8" t="n"/>
      <x:c r="B527" s="8" t="n"/>
      <x:c r="C527" s="8" t="n"/>
      <x:c r="D527" s="8" t="n"/>
    </x:row>
    <x:row r="528">
      <x:c r="A528" s="8" t="n"/>
      <x:c r="B528" s="8" t="n"/>
      <x:c r="C528" s="8" t="n"/>
      <x:c r="D528" s="8" t="n"/>
    </x:row>
    <x:row r="529">
      <x:c r="A529" s="8" t="n"/>
      <x:c r="B529" s="8" t="n"/>
      <x:c r="C529" s="8" t="n"/>
      <x:c r="D529" s="8" t="n"/>
    </x:row>
    <x:row r="530">
      <x:c r="A530" s="8" t="n"/>
      <x:c r="B530" s="8" t="n"/>
      <x:c r="C530" s="8" t="n"/>
      <x:c r="D530" s="8" t="n"/>
    </x:row>
    <x:row r="531">
      <x:c r="A531" s="8" t="n"/>
      <x:c r="B531" s="8" t="n"/>
      <x:c r="C531" s="8" t="n"/>
      <x:c r="D531" s="8" t="n"/>
    </x:row>
    <x:row r="532">
      <x:c r="A532" s="8" t="n"/>
      <x:c r="B532" s="8" t="n"/>
      <x:c r="C532" s="8" t="n"/>
      <x:c r="D532" s="8" t="n"/>
    </x:row>
    <x:row r="533">
      <x:c r="A533" s="8" t="n"/>
      <x:c r="B533" s="8" t="n"/>
      <x:c r="C533" s="8" t="n"/>
      <x:c r="D533" s="8" t="n"/>
    </x:row>
    <x:row r="534">
      <x:c r="A534" s="8" t="n"/>
      <x:c r="B534" s="8" t="n"/>
      <x:c r="C534" s="8" t="n"/>
      <x:c r="D534" s="8" t="n"/>
    </x:row>
    <x:row r="535">
      <x:c r="A535" s="8" t="n"/>
      <x:c r="B535" s="8" t="n"/>
      <x:c r="C535" s="8" t="n"/>
      <x:c r="D535" s="8" t="n"/>
    </x:row>
    <x:row r="536">
      <x:c r="A536" s="8" t="n"/>
      <x:c r="B536" s="8" t="n"/>
      <x:c r="C536" s="8" t="n"/>
      <x:c r="D536" s="8" t="n"/>
    </x:row>
    <x:row r="537">
      <x:c r="A537" s="8" t="n"/>
      <x:c r="B537" s="8" t="n"/>
      <x:c r="C537" s="8" t="n"/>
      <x:c r="D537" s="8" t="n"/>
    </x:row>
    <x:row r="538">
      <x:c r="A538" s="8" t="n"/>
      <x:c r="B538" s="8" t="n"/>
      <x:c r="C538" s="8" t="n"/>
      <x:c r="D538" s="8" t="n"/>
    </x:row>
    <x:row r="539">
      <x:c r="A539" s="8" t="n"/>
      <x:c r="B539" s="8" t="n"/>
      <x:c r="C539" s="8" t="n"/>
      <x:c r="D539" s="8" t="n"/>
    </x:row>
    <x:row r="540">
      <x:c r="A540" s="8" t="n"/>
      <x:c r="B540" s="8" t="n"/>
      <x:c r="C540" s="8" t="n"/>
      <x:c r="D540" s="8" t="n"/>
    </x:row>
    <x:row r="541">
      <x:c r="A541" s="8" t="n"/>
      <x:c r="B541" s="8" t="n"/>
      <x:c r="C541" s="8" t="n"/>
      <x:c r="D541" s="8" t="n"/>
    </x:row>
    <x:row r="542">
      <x:c r="A542" s="8" t="n"/>
      <x:c r="B542" s="8" t="n"/>
      <x:c r="C542" s="8" t="n"/>
      <x:c r="D542" s="8" t="n"/>
    </x:row>
    <x:row r="543">
      <x:c r="A543" s="8" t="n"/>
      <x:c r="B543" s="8" t="n"/>
      <x:c r="C543" s="8" t="n"/>
      <x:c r="D543" s="8" t="n"/>
    </x:row>
    <x:row r="544">
      <x:c r="A544" s="8" t="n"/>
      <x:c r="B544" s="8" t="n"/>
      <x:c r="C544" s="8" t="n"/>
      <x:c r="D544" s="8" t="n"/>
    </x:row>
    <x:row r="545">
      <x:c r="A545" s="8" t="n"/>
      <x:c r="B545" s="8" t="n"/>
      <x:c r="C545" s="8" t="n"/>
      <x:c r="D545" s="8" t="n"/>
    </x:row>
    <x:row r="546">
      <x:c r="A546" s="8" t="n"/>
      <x:c r="B546" s="8" t="n"/>
      <x:c r="C546" s="8" t="n"/>
      <x:c r="D546" s="8" t="n"/>
    </x:row>
    <x:row r="547">
      <x:c r="A547" s="8" t="n"/>
      <x:c r="B547" s="8" t="n"/>
      <x:c r="C547" s="8" t="n"/>
      <x:c r="D547" s="8" t="n"/>
    </x:row>
    <x:row r="548">
      <x:c r="A548" s="8" t="n"/>
      <x:c r="B548" s="8" t="n"/>
      <x:c r="C548" s="8" t="n"/>
      <x:c r="D548" s="8" t="n"/>
    </x:row>
    <x:row r="549">
      <x:c r="A549" s="8" t="n"/>
      <x:c r="B549" s="8" t="n"/>
      <x:c r="C549" s="8" t="n"/>
      <x:c r="D549" s="8" t="n"/>
    </x:row>
    <x:row r="550">
      <x:c r="A550" s="8" t="n"/>
      <x:c r="B550" s="8" t="n"/>
      <x:c r="C550" s="8" t="n"/>
      <x:c r="D550" s="8" t="n"/>
    </x:row>
    <x:row r="551">
      <x:c r="A551" s="8" t="n"/>
      <x:c r="B551" s="8" t="n"/>
      <x:c r="C551" s="8" t="n"/>
      <x:c r="D551" s="8" t="n"/>
    </x:row>
    <x:row r="552">
      <x:c r="A552" s="8" t="n"/>
      <x:c r="B552" s="8" t="n"/>
      <x:c r="C552" s="8" t="n"/>
      <x:c r="D552" s="8" t="n"/>
    </x:row>
    <x:row r="553">
      <x:c r="A553" s="8" t="n"/>
      <x:c r="B553" s="8" t="n"/>
      <x:c r="C553" s="8" t="n"/>
      <x:c r="D553" s="8" t="n"/>
    </x:row>
    <x:row r="554">
      <x:c r="A554" s="8" t="n"/>
      <x:c r="B554" s="8" t="n"/>
      <x:c r="C554" s="8" t="n"/>
      <x:c r="D554" s="8" t="n"/>
    </x:row>
    <x:row r="555">
      <x:c r="A555" s="8" t="n"/>
      <x:c r="B555" s="8" t="n"/>
      <x:c r="C555" s="8" t="n"/>
      <x:c r="D555" s="8" t="n"/>
    </x:row>
    <x:row r="556">
      <x:c r="A556" s="8" t="n"/>
      <x:c r="B556" s="8" t="n"/>
      <x:c r="C556" s="8" t="n"/>
      <x:c r="D556" s="8" t="n"/>
    </x:row>
    <x:row r="557">
      <x:c r="A557" s="8" t="n"/>
      <x:c r="B557" s="8" t="n"/>
      <x:c r="C557" s="8" t="n"/>
      <x:c r="D557" s="8" t="n"/>
    </x:row>
    <x:row r="558">
      <x:c r="A558" s="8" t="n"/>
      <x:c r="B558" s="8" t="n"/>
      <x:c r="C558" s="8" t="n"/>
      <x:c r="D558" s="8" t="n"/>
    </x:row>
    <x:row r="559">
      <x:c r="A559" s="8" t="n"/>
      <x:c r="B559" s="8" t="n"/>
      <x:c r="C559" s="8" t="n"/>
      <x:c r="D559" s="8" t="n"/>
    </x:row>
    <x:row r="560">
      <x:c r="A560" s="8" t="n"/>
      <x:c r="B560" s="8" t="n"/>
      <x:c r="C560" s="8" t="n"/>
      <x:c r="D560" s="8" t="n"/>
    </x:row>
    <x:row r="561">
      <x:c r="A561" s="8" t="n"/>
      <x:c r="B561" s="8" t="n"/>
      <x:c r="C561" s="8" t="n"/>
      <x:c r="D561" s="8" t="n"/>
    </x:row>
    <x:row r="562">
      <x:c r="A562" s="8" t="n"/>
      <x:c r="B562" s="8" t="n"/>
      <x:c r="C562" s="8" t="n"/>
      <x:c r="D562" s="8" t="n"/>
    </x:row>
    <x:row r="563">
      <x:c r="A563" s="8" t="n"/>
      <x:c r="B563" s="8" t="n"/>
      <x:c r="C563" s="8" t="n"/>
      <x:c r="D563" s="8" t="n"/>
    </x:row>
    <x:row r="564">
      <x:c r="A564" s="8" t="n"/>
      <x:c r="B564" s="8" t="n"/>
      <x:c r="C564" s="8" t="n"/>
      <x:c r="D564" s="8" t="n"/>
    </x:row>
    <x:row r="565">
      <x:c r="A565" s="8" t="n"/>
      <x:c r="B565" s="8" t="n"/>
      <x:c r="C565" s="8" t="n"/>
      <x:c r="D565" s="8" t="n"/>
    </x:row>
    <x:row r="566">
      <x:c r="A566" s="8" t="n"/>
      <x:c r="B566" s="8" t="n"/>
      <x:c r="C566" s="8" t="n"/>
      <x:c r="D566" s="8" t="n"/>
    </x:row>
    <x:row r="567">
      <x:c r="A567" s="8" t="n"/>
      <x:c r="B567" s="8" t="n"/>
      <x:c r="C567" s="8" t="n"/>
      <x:c r="D567" s="8" t="n"/>
    </x:row>
    <x:row r="568">
      <x:c r="A568" s="8" t="n"/>
      <x:c r="B568" s="8" t="n"/>
      <x:c r="C568" s="8" t="n"/>
      <x:c r="D568" s="8" t="n"/>
    </x:row>
    <x:row r="569">
      <x:c r="A569" s="8" t="n"/>
      <x:c r="B569" s="8" t="n"/>
      <x:c r="C569" s="8" t="n"/>
      <x:c r="D569" s="8" t="n"/>
    </x:row>
    <x:row r="570">
      <x:c r="A570" s="8" t="n"/>
      <x:c r="B570" s="8" t="n"/>
      <x:c r="C570" s="8" t="n"/>
      <x:c r="D570" s="8" t="n"/>
    </x:row>
    <x:row r="571">
      <x:c r="A571" s="8" t="n"/>
      <x:c r="B571" s="8" t="n"/>
      <x:c r="C571" s="8" t="n"/>
      <x:c r="D571" s="8" t="n"/>
    </x:row>
    <x:row r="572">
      <x:c r="A572" s="8" t="n"/>
      <x:c r="B572" s="8" t="n"/>
      <x:c r="C572" s="8" t="n"/>
      <x:c r="D572" s="8" t="n"/>
    </x:row>
    <x:row r="573">
      <x:c r="A573" s="8" t="n"/>
      <x:c r="B573" s="8" t="n"/>
      <x:c r="C573" s="8" t="n"/>
      <x:c r="D573" s="8" t="n"/>
    </x:row>
    <x:row r="574">
      <x:c r="A574" s="8" t="n"/>
      <x:c r="B574" s="8" t="n"/>
      <x:c r="C574" s="8" t="n"/>
      <x:c r="D574" s="8" t="n"/>
    </x:row>
    <x:row r="575">
      <x:c r="A575" s="8" t="n"/>
      <x:c r="B575" s="8" t="n"/>
      <x:c r="C575" s="8" t="n"/>
      <x:c r="D575" s="8" t="n"/>
    </x:row>
    <x:row r="576">
      <x:c r="A576" s="8" t="n"/>
      <x:c r="B576" s="8" t="n"/>
      <x:c r="C576" s="8" t="n"/>
      <x:c r="D576" s="8" t="n"/>
    </x:row>
    <x:row r="577">
      <x:c r="A577" s="8" t="n"/>
      <x:c r="B577" s="8" t="n"/>
      <x:c r="C577" s="8" t="n"/>
      <x:c r="D577" s="8" t="n"/>
    </x:row>
    <x:row r="578">
      <x:c r="A578" s="8" t="n"/>
      <x:c r="B578" s="8" t="n"/>
      <x:c r="C578" s="8" t="n"/>
      <x:c r="D578" s="8" t="n"/>
    </x:row>
    <x:row r="579">
      <x:c r="A579" s="8" t="n"/>
      <x:c r="B579" s="8" t="n"/>
      <x:c r="C579" s="8" t="n"/>
      <x:c r="D579" s="8" t="n"/>
    </x:row>
    <x:row r="580">
      <x:c r="A580" s="8" t="n"/>
      <x:c r="B580" s="8" t="n"/>
      <x:c r="C580" s="8" t="n"/>
      <x:c r="D580" s="8" t="n"/>
    </x:row>
    <x:row r="581">
      <x:c r="A581" s="8" t="n"/>
      <x:c r="B581" s="8" t="n"/>
      <x:c r="C581" s="8" t="n"/>
      <x:c r="D581" s="8" t="n"/>
    </x:row>
    <x:row r="582">
      <x:c r="A582" s="8" t="n"/>
      <x:c r="B582" s="8" t="n"/>
      <x:c r="C582" s="8" t="n"/>
      <x:c r="D582" s="8" t="n"/>
    </x:row>
    <x:row r="583">
      <x:c r="A583" s="8" t="n"/>
      <x:c r="B583" s="8" t="n"/>
      <x:c r="C583" s="8" t="n"/>
      <x:c r="D583" s="8" t="n"/>
    </x:row>
    <x:row r="584">
      <x:c r="A584" s="8" t="n"/>
      <x:c r="B584" s="8" t="n"/>
      <x:c r="C584" s="8" t="n"/>
      <x:c r="D584" s="8" t="n"/>
    </x:row>
    <x:row r="585">
      <x:c r="A585" s="8" t="n"/>
      <x:c r="B585" s="8" t="n"/>
      <x:c r="C585" s="8" t="n"/>
      <x:c r="D585" s="8" t="n"/>
    </x:row>
    <x:row r="586">
      <x:c r="A586" s="8" t="n"/>
      <x:c r="B586" s="8" t="n"/>
      <x:c r="C586" s="8" t="n"/>
      <x:c r="D586" s="8" t="n"/>
    </x:row>
    <x:row r="587">
      <x:c r="A587" s="8" t="n"/>
      <x:c r="B587" s="8" t="n"/>
      <x:c r="C587" s="8" t="n"/>
      <x:c r="D587" s="8" t="n"/>
    </x:row>
    <x:row r="588">
      <x:c r="A588" s="8" t="n"/>
      <x:c r="B588" s="8" t="n"/>
      <x:c r="C588" s="8" t="n"/>
      <x:c r="D588" s="8" t="n"/>
    </x:row>
    <x:row r="589">
      <x:c r="A589" s="8" t="n"/>
      <x:c r="B589" s="8" t="n"/>
      <x:c r="C589" s="8" t="n"/>
      <x:c r="D589" s="8" t="n"/>
    </x:row>
    <x:row r="590">
      <x:c r="A590" s="8" t="n"/>
      <x:c r="B590" s="8" t="n"/>
      <x:c r="C590" s="8" t="n"/>
      <x:c r="D590" s="8" t="n"/>
    </x:row>
    <x:row r="591">
      <x:c r="A591" s="8" t="n"/>
      <x:c r="B591" s="8" t="n"/>
      <x:c r="C591" s="8" t="n"/>
      <x:c r="D591" s="8" t="n"/>
    </x:row>
    <x:row r="592">
      <x:c r="A592" s="8" t="n"/>
      <x:c r="B592" s="8" t="n"/>
      <x:c r="C592" s="8" t="n"/>
      <x:c r="D592" s="8" t="n"/>
    </x:row>
    <x:row r="593">
      <x:c r="A593" s="8" t="n"/>
      <x:c r="B593" s="8" t="n"/>
      <x:c r="C593" s="8" t="n"/>
      <x:c r="D593" s="8" t="n"/>
    </x:row>
    <x:row r="594">
      <x:c r="A594" s="8" t="n"/>
      <x:c r="B594" s="8" t="n"/>
      <x:c r="C594" s="8" t="n"/>
      <x:c r="D594" s="8" t="n"/>
    </x:row>
    <x:row r="595">
      <x:c r="A595" s="8" t="n"/>
      <x:c r="B595" s="8" t="n"/>
      <x:c r="C595" s="8" t="n"/>
      <x:c r="D595" s="8" t="n"/>
    </x:row>
    <x:row r="596">
      <x:c r="A596" s="8" t="n"/>
      <x:c r="B596" s="8" t="n"/>
      <x:c r="C596" s="8" t="n"/>
      <x:c r="D596" s="8" t="n"/>
    </x:row>
    <x:row r="597">
      <x:c r="A597" s="8" t="n"/>
      <x:c r="B597" s="8" t="n"/>
      <x:c r="C597" s="8" t="n"/>
      <x:c r="D597" s="8" t="n"/>
    </x:row>
    <x:row r="598">
      <x:c r="A598" s="8" t="n"/>
      <x:c r="B598" s="8" t="n"/>
      <x:c r="C598" s="8" t="n"/>
      <x:c r="D598" s="8" t="n"/>
    </x:row>
    <x:row r="599">
      <x:c r="A599" s="8" t="n"/>
      <x:c r="B599" s="8" t="n"/>
      <x:c r="C599" s="8" t="n"/>
      <x:c r="D599" s="8" t="n"/>
    </x:row>
    <x:row r="600">
      <x:c r="A600" s="8" t="n"/>
      <x:c r="B600" s="8" t="n"/>
      <x:c r="C600" s="8" t="n"/>
      <x:c r="D600" s="8" t="n"/>
    </x:row>
    <x:row r="601">
      <x:c r="A601" s="8" t="n"/>
      <x:c r="B601" s="8" t="n"/>
      <x:c r="C601" s="8" t="n"/>
      <x:c r="D601" s="8" t="n"/>
    </x:row>
    <x:row r="602">
      <x:c r="A602" s="8" t="n"/>
      <x:c r="B602" s="8" t="n"/>
      <x:c r="C602" s="8" t="n"/>
      <x:c r="D602" s="8" t="n"/>
    </x:row>
    <x:row r="603">
      <x:c r="A603" s="8" t="n"/>
      <x:c r="B603" s="8" t="n"/>
      <x:c r="C603" s="8" t="n"/>
      <x:c r="D603" s="8" t="n"/>
    </x:row>
    <x:row r="604">
      <x:c r="A604" s="8" t="n"/>
      <x:c r="B604" s="8" t="n"/>
      <x:c r="C604" s="8" t="n"/>
      <x:c r="D604" s="8" t="n"/>
    </x:row>
    <x:row r="605">
      <x:c r="A605" s="8" t="n"/>
      <x:c r="B605" s="8" t="n"/>
      <x:c r="C605" s="8" t="n"/>
      <x:c r="D605" s="8" t="n"/>
    </x:row>
    <x:row r="606">
      <x:c r="A606" s="8" t="n"/>
      <x:c r="B606" s="8" t="n"/>
      <x:c r="C606" s="8" t="n"/>
      <x:c r="D606" s="8" t="n"/>
    </x:row>
    <x:row r="607">
      <x:c r="A607" s="8" t="n"/>
      <x:c r="B607" s="8" t="n"/>
      <x:c r="C607" s="8" t="n"/>
      <x:c r="D607" s="8" t="n"/>
    </x:row>
    <x:row r="608">
      <x:c r="A608" s="8" t="n"/>
      <x:c r="B608" s="8" t="n"/>
      <x:c r="C608" s="8" t="n"/>
      <x:c r="D608" s="8" t="n"/>
    </x:row>
    <x:row r="609">
      <x:c r="A609" s="8" t="n"/>
      <x:c r="B609" s="8" t="n"/>
      <x:c r="C609" s="8" t="n"/>
      <x:c r="D609" s="8" t="n"/>
    </x:row>
    <x:row r="610">
      <x:c r="A610" s="8" t="n"/>
      <x:c r="B610" s="8" t="n"/>
      <x:c r="C610" s="8" t="n"/>
      <x:c r="D610" s="8" t="n"/>
    </x:row>
    <x:row r="611">
      <x:c r="A611" s="8" t="n"/>
      <x:c r="B611" s="8" t="n"/>
      <x:c r="C611" s="8" t="n"/>
      <x:c r="D611" s="8" t="n"/>
    </x:row>
    <x:row r="612">
      <x:c r="A612" s="8" t="n"/>
      <x:c r="B612" s="8" t="n"/>
      <x:c r="C612" s="8" t="n"/>
      <x:c r="D612" s="8" t="n"/>
    </x:row>
    <x:row r="613">
      <x:c r="A613" s="8" t="n"/>
      <x:c r="B613" s="8" t="n"/>
      <x:c r="C613" s="8" t="n"/>
      <x:c r="D613" s="8" t="n"/>
    </x:row>
    <x:row r="614">
      <x:c r="A614" s="8" t="n"/>
      <x:c r="B614" s="8" t="n"/>
      <x:c r="C614" s="8" t="n"/>
      <x:c r="D614" s="8" t="n"/>
    </x:row>
    <x:row r="615">
      <x:c r="A615" s="8" t="n"/>
      <x:c r="B615" s="8" t="n"/>
      <x:c r="C615" s="8" t="n"/>
      <x:c r="D615" s="8" t="n"/>
    </x:row>
    <x:row r="616">
      <x:c r="A616" s="8" t="n"/>
      <x:c r="B616" s="8" t="n"/>
      <x:c r="C616" s="8" t="n"/>
      <x:c r="D616" s="8" t="n"/>
    </x:row>
    <x:row r="617">
      <x:c r="A617" s="8" t="n"/>
      <x:c r="B617" s="8" t="n"/>
      <x:c r="C617" s="8" t="n"/>
      <x:c r="D617" s="8" t="n"/>
    </x:row>
    <x:row r="618">
      <x:c r="A618" s="8" t="n"/>
      <x:c r="B618" s="8" t="n"/>
      <x:c r="C618" s="8" t="n"/>
      <x:c r="D618" s="8" t="n"/>
    </x:row>
    <x:row r="619">
      <x:c r="A619" s="8" t="n"/>
      <x:c r="B619" s="8" t="n"/>
      <x:c r="C619" s="8" t="n"/>
      <x:c r="D619" s="8" t="n"/>
    </x:row>
    <x:row r="620">
      <x:c r="A620" s="8" t="n"/>
      <x:c r="B620" s="8" t="n"/>
      <x:c r="C620" s="8" t="n"/>
      <x:c r="D620" s="8" t="n"/>
    </x:row>
    <x:row r="621">
      <x:c r="A621" s="8" t="n"/>
      <x:c r="B621" s="8" t="n"/>
      <x:c r="C621" s="8" t="n"/>
      <x:c r="D621" s="8" t="n"/>
    </x:row>
    <x:row r="622">
      <x:c r="A622" s="8" t="n"/>
      <x:c r="B622" s="8" t="n"/>
      <x:c r="C622" s="8" t="n"/>
      <x:c r="D622" s="8" t="n"/>
    </x:row>
    <x:row r="623">
      <x:c r="A623" s="8" t="n"/>
      <x:c r="B623" s="8" t="n"/>
      <x:c r="C623" s="8" t="n"/>
      <x:c r="D623" s="8" t="n"/>
    </x:row>
    <x:row r="624">
      <x:c r="A624" s="8" t="n"/>
      <x:c r="B624" s="8" t="n"/>
      <x:c r="C624" s="8" t="n"/>
      <x:c r="D624" s="8" t="n"/>
    </x:row>
    <x:row r="625">
      <x:c r="A625" s="8" t="n"/>
      <x:c r="B625" s="8" t="n"/>
      <x:c r="C625" s="8" t="n"/>
      <x:c r="D625" s="8" t="n"/>
    </x:row>
    <x:row r="626">
      <x:c r="A626" s="8" t="n"/>
      <x:c r="B626" s="8" t="n"/>
      <x:c r="C626" s="8" t="n"/>
      <x:c r="D626" s="8" t="n"/>
    </x:row>
    <x:row r="627">
      <x:c r="A627" s="8" t="n"/>
      <x:c r="B627" s="8" t="n"/>
      <x:c r="C627" s="8" t="n"/>
      <x:c r="D627" s="8" t="n"/>
    </x:row>
    <x:row r="628">
      <x:c r="A628" s="8" t="n"/>
      <x:c r="B628" s="8" t="n"/>
      <x:c r="C628" s="8" t="n"/>
      <x:c r="D628" s="8" t="n"/>
    </x:row>
    <x:row r="629">
      <x:c r="A629" s="8" t="n"/>
      <x:c r="B629" s="8" t="n"/>
      <x:c r="C629" s="8" t="n"/>
      <x:c r="D629" s="8" t="n"/>
    </x:row>
    <x:row r="630">
      <x:c r="A630" s="8" t="n"/>
      <x:c r="B630" s="8" t="n"/>
      <x:c r="C630" s="8" t="n"/>
      <x:c r="D630" s="8" t="n"/>
    </x:row>
    <x:row r="631">
      <x:c r="A631" s="8" t="n"/>
      <x:c r="B631" s="8" t="n"/>
      <x:c r="C631" s="8" t="n"/>
      <x:c r="D631" s="8" t="n"/>
    </x:row>
    <x:row r="632">
      <x:c r="A632" s="8" t="n"/>
      <x:c r="B632" s="8" t="n"/>
      <x:c r="C632" s="8" t="n"/>
      <x:c r="D632" s="8" t="n"/>
    </x:row>
    <x:row r="633">
      <x:c r="A633" s="8" t="n"/>
      <x:c r="B633" s="8" t="n"/>
      <x:c r="C633" s="8" t="n"/>
      <x:c r="D633" s="8" t="n"/>
    </x:row>
    <x:row r="634">
      <x:c r="A634" s="8" t="n"/>
      <x:c r="B634" s="8" t="n"/>
      <x:c r="C634" s="8" t="n"/>
      <x:c r="D634" s="8" t="n"/>
    </x:row>
    <x:row r="635">
      <x:c r="A635" s="8" t="n"/>
      <x:c r="B635" s="8" t="n"/>
      <x:c r="C635" s="8" t="n"/>
      <x:c r="D635" s="8" t="n"/>
    </x:row>
    <x:row r="636">
      <x:c r="A636" s="8" t="n"/>
      <x:c r="B636" s="8" t="n"/>
      <x:c r="C636" s="8" t="n"/>
      <x:c r="D636" s="8" t="n"/>
    </x:row>
    <x:row r="637">
      <x:c r="A637" s="8" t="n"/>
      <x:c r="B637" s="8" t="n"/>
      <x:c r="C637" s="8" t="n"/>
      <x:c r="D637" s="8" t="n"/>
    </x:row>
    <x:row r="638">
      <x:c r="A638" s="8" t="n"/>
      <x:c r="B638" s="8" t="n"/>
      <x:c r="C638" s="8" t="n"/>
      <x:c r="D638" s="8" t="n"/>
    </x:row>
    <x:row r="639">
      <x:c r="A639" s="8" t="n"/>
      <x:c r="B639" s="8" t="n"/>
      <x:c r="C639" s="8" t="n"/>
      <x:c r="D639" s="8" t="n"/>
    </x:row>
    <x:row r="640">
      <x:c r="A640" s="8" t="n"/>
      <x:c r="B640" s="8" t="n"/>
      <x:c r="C640" s="8" t="n"/>
      <x:c r="D640" s="8" t="n"/>
    </x:row>
    <x:row r="641">
      <x:c r="A641" s="8" t="n"/>
      <x:c r="B641" s="8" t="n"/>
      <x:c r="C641" s="8" t="n"/>
      <x:c r="D641" s="8" t="n"/>
    </x:row>
    <x:row r="642">
      <x:c r="A642" s="8" t="n"/>
      <x:c r="B642" s="8" t="n"/>
      <x:c r="C642" s="8" t="n"/>
      <x:c r="D642" s="8" t="n"/>
    </x:row>
    <x:row r="643">
      <x:c r="A643" s="8" t="n"/>
      <x:c r="B643" s="8" t="n"/>
      <x:c r="C643" s="8" t="n"/>
      <x:c r="D643" s="8" t="n"/>
    </x:row>
    <x:row r="644">
      <x:c r="A644" s="8" t="n"/>
      <x:c r="B644" s="8" t="n"/>
      <x:c r="C644" s="8" t="n"/>
      <x:c r="D644" s="8" t="n"/>
    </x:row>
    <x:row r="645">
      <x:c r="A645" s="8" t="n"/>
      <x:c r="B645" s="8" t="n"/>
      <x:c r="C645" s="8" t="n"/>
      <x:c r="D645" s="8" t="n"/>
    </x:row>
    <x:row r="646">
      <x:c r="A646" s="8" t="n"/>
      <x:c r="B646" s="8" t="n"/>
      <x:c r="C646" s="8" t="n"/>
      <x:c r="D646" s="8" t="n"/>
    </x:row>
    <x:row r="647">
      <x:c r="A647" s="8" t="n"/>
      <x:c r="B647" s="8" t="n"/>
      <x:c r="C647" s="8" t="n"/>
      <x:c r="D647" s="8" t="n"/>
    </x:row>
    <x:row r="648">
      <x:c r="A648" s="8" t="n"/>
      <x:c r="B648" s="8" t="n"/>
      <x:c r="C648" s="8" t="n"/>
      <x:c r="D648" s="8" t="n"/>
    </x:row>
    <x:row r="649">
      <x:c r="A649" s="8" t="n"/>
      <x:c r="B649" s="8" t="n"/>
      <x:c r="C649" s="8" t="n"/>
      <x:c r="D649" s="8" t="n"/>
    </x:row>
    <x:row r="650">
      <x:c r="A650" s="8" t="n"/>
      <x:c r="B650" s="8" t="n"/>
      <x:c r="C650" s="8" t="n"/>
      <x:c r="D650" s="8" t="n"/>
    </x:row>
    <x:row r="651">
      <x:c r="A651" s="8" t="n"/>
      <x:c r="B651" s="8" t="n"/>
      <x:c r="C651" s="8" t="n"/>
      <x:c r="D651" s="8" t="n"/>
    </x:row>
    <x:row r="652">
      <x:c r="A652" s="8" t="n"/>
      <x:c r="B652" s="8" t="n"/>
      <x:c r="C652" s="8" t="n"/>
      <x:c r="D652" s="8" t="n"/>
    </x:row>
    <x:row r="653">
      <x:c r="A653" s="8" t="n"/>
      <x:c r="B653" s="8" t="n"/>
      <x:c r="C653" s="8" t="n"/>
      <x:c r="D653" s="8" t="n"/>
    </x:row>
    <x:row r="654">
      <x:c r="A654" s="8" t="n"/>
      <x:c r="B654" s="8" t="n"/>
      <x:c r="C654" s="8" t="n"/>
      <x:c r="D654" s="8" t="n"/>
    </x:row>
    <x:row r="655">
      <x:c r="A655" s="8" t="n"/>
      <x:c r="B655" s="8" t="n"/>
      <x:c r="C655" s="8" t="n"/>
      <x:c r="D655" s="8" t="n"/>
    </x:row>
    <x:row r="656">
      <x:c r="A656" s="8" t="n"/>
      <x:c r="B656" s="8" t="n"/>
      <x:c r="C656" s="8" t="n"/>
      <x:c r="D656" s="8" t="n"/>
    </x:row>
    <x:row r="657">
      <x:c r="A657" s="8" t="n"/>
      <x:c r="B657" s="8" t="n"/>
      <x:c r="C657" s="8" t="n"/>
      <x:c r="D657" s="8" t="n"/>
    </x:row>
    <x:row r="658">
      <x:c r="A658" s="8" t="n"/>
      <x:c r="B658" s="8" t="n"/>
      <x:c r="C658" s="8" t="n"/>
      <x:c r="D658" s="8" t="n"/>
    </x:row>
    <x:row r="659">
      <x:c r="A659" s="8" t="n"/>
      <x:c r="B659" s="8" t="n"/>
      <x:c r="C659" s="8" t="n"/>
      <x:c r="D659" s="8" t="n"/>
    </x:row>
    <x:row r="660">
      <x:c r="A660" s="8" t="n"/>
      <x:c r="B660" s="8" t="n"/>
      <x:c r="C660" s="8" t="n"/>
      <x:c r="D660" s="8" t="n"/>
    </x:row>
    <x:row r="661">
      <x:c r="A661" s="8" t="n"/>
      <x:c r="B661" s="8" t="n"/>
      <x:c r="C661" s="8" t="n"/>
      <x:c r="D661" s="8" t="n"/>
    </x:row>
    <x:row r="662">
      <x:c r="A662" s="8" t="n"/>
      <x:c r="B662" s="8" t="n"/>
      <x:c r="C662" s="8" t="n"/>
      <x:c r="D662" s="8" t="n"/>
    </x:row>
    <x:row r="663">
      <x:c r="A663" s="8" t="n"/>
      <x:c r="B663" s="8" t="n"/>
      <x:c r="C663" s="8" t="n"/>
      <x:c r="D663" s="8" t="n"/>
    </x:row>
    <x:row r="664">
      <x:c r="A664" s="8" t="n"/>
      <x:c r="B664" s="8" t="n"/>
      <x:c r="C664" s="8" t="n"/>
      <x:c r="D664" s="8" t="n"/>
    </x:row>
    <x:row r="665">
      <x:c r="A665" s="8" t="n"/>
      <x:c r="B665" s="8" t="n"/>
      <x:c r="C665" s="8" t="n"/>
      <x:c r="D665" s="8" t="n"/>
    </x:row>
    <x:row r="666">
      <x:c r="A666" s="8" t="n"/>
      <x:c r="B666" s="8" t="n"/>
      <x:c r="C666" s="8" t="n"/>
      <x:c r="D666" s="8" t="n"/>
    </x:row>
    <x:row r="667">
      <x:c r="A667" s="8" t="n"/>
      <x:c r="B667" s="8" t="n"/>
      <x:c r="C667" s="8" t="n"/>
      <x:c r="D667" s="8" t="n"/>
    </x:row>
    <x:row r="668">
      <x:c r="A668" s="8" t="n"/>
      <x:c r="B668" s="8" t="n"/>
      <x:c r="C668" s="8" t="n"/>
      <x:c r="D668" s="8" t="n"/>
    </x:row>
    <x:row r="669">
      <x:c r="A669" s="8" t="n"/>
      <x:c r="B669" s="8" t="n"/>
      <x:c r="C669" s="8" t="n"/>
      <x:c r="D669" s="8" t="n"/>
    </x:row>
    <x:row r="670">
      <x:c r="A670" s="8" t="n"/>
      <x:c r="B670" s="8" t="n"/>
      <x:c r="C670" s="8" t="n"/>
      <x:c r="D670" s="8" t="n"/>
    </x:row>
    <x:row r="671">
      <x:c r="A671" s="8" t="n"/>
      <x:c r="B671" s="8" t="n"/>
      <x:c r="C671" s="8" t="n"/>
      <x:c r="D671" s="8" t="n"/>
    </x:row>
    <x:row r="672">
      <x:c r="A672" s="8" t="n"/>
      <x:c r="B672" s="8" t="n"/>
      <x:c r="C672" s="8" t="n"/>
      <x:c r="D672" s="8" t="n"/>
    </x:row>
    <x:row r="673">
      <x:c r="A673" s="8" t="n"/>
      <x:c r="B673" s="8" t="n"/>
      <x:c r="C673" s="8" t="n"/>
      <x:c r="D673" s="8" t="n"/>
    </x:row>
    <x:row r="674">
      <x:c r="A674" s="8" t="n"/>
      <x:c r="B674" s="8" t="n"/>
      <x:c r="C674" s="8" t="n"/>
      <x:c r="D674" s="8" t="n"/>
    </x:row>
    <x:row r="675">
      <x:c r="A675" s="8" t="n"/>
      <x:c r="B675" s="8" t="n"/>
      <x:c r="C675" s="8" t="n"/>
      <x:c r="D675" s="8" t="n"/>
    </x:row>
    <x:row r="676">
      <x:c r="A676" s="8" t="n"/>
      <x:c r="B676" s="8" t="n"/>
      <x:c r="C676" s="8" t="n"/>
      <x:c r="D676" s="8" t="n"/>
    </x:row>
    <x:row r="677">
      <x:c r="A677" s="8" t="n"/>
      <x:c r="B677" s="8" t="n"/>
      <x:c r="C677" s="8" t="n"/>
      <x:c r="D677" s="8" t="n"/>
    </x:row>
    <x:row r="678">
      <x:c r="A678" s="8" t="n"/>
      <x:c r="B678" s="8" t="n"/>
      <x:c r="C678" s="8" t="n"/>
      <x:c r="D678" s="8" t="n"/>
    </x:row>
    <x:row r="679">
      <x:c r="A679" s="8" t="n"/>
      <x:c r="B679" s="8" t="n"/>
      <x:c r="C679" s="8" t="n"/>
      <x:c r="D679" s="8" t="n"/>
    </x:row>
    <x:row r="680">
      <x:c r="A680" s="8" t="n"/>
      <x:c r="B680" s="8" t="n"/>
      <x:c r="C680" s="8" t="n"/>
      <x:c r="D680" s="8" t="n"/>
    </x:row>
    <x:row r="681">
      <x:c r="A681" s="8" t="n"/>
      <x:c r="B681" s="8" t="n"/>
      <x:c r="C681" s="8" t="n"/>
      <x:c r="D681" s="8" t="n"/>
    </x:row>
    <x:row r="682">
      <x:c r="A682" s="8" t="n"/>
      <x:c r="B682" s="8" t="n"/>
      <x:c r="C682" s="8" t="n"/>
      <x:c r="D682" s="8" t="n"/>
    </x:row>
    <x:row r="683">
      <x:c r="A683" s="8" t="n"/>
      <x:c r="B683" s="8" t="n"/>
      <x:c r="C683" s="8" t="n"/>
      <x:c r="D683" s="8" t="n"/>
    </x:row>
    <x:row r="684">
      <x:c r="A684" s="8" t="n"/>
      <x:c r="B684" s="8" t="n"/>
      <x:c r="C684" s="8" t="n"/>
      <x:c r="D684" s="8" t="n"/>
    </x:row>
    <x:row r="685">
      <x:c r="A685" s="8" t="n"/>
      <x:c r="B685" s="8" t="n"/>
      <x:c r="C685" s="8" t="n"/>
      <x:c r="D685" s="8" t="n"/>
    </x:row>
    <x:row r="686">
      <x:c r="A686" s="8" t="n"/>
      <x:c r="B686" s="8" t="n"/>
      <x:c r="C686" s="8" t="n"/>
      <x:c r="D686" s="8" t="n"/>
    </x:row>
    <x:row r="687">
      <x:c r="A687" s="8" t="n"/>
      <x:c r="B687" s="8" t="n"/>
      <x:c r="C687" s="8" t="n"/>
      <x:c r="D687" s="8" t="n"/>
    </x:row>
    <x:row r="688">
      <x:c r="A688" s="8" t="n"/>
      <x:c r="B688" s="8" t="n"/>
      <x:c r="C688" s="8" t="n"/>
      <x:c r="D688" s="8" t="n"/>
    </x:row>
    <x:row r="689">
      <x:c r="A689" s="8" t="n"/>
      <x:c r="B689" s="8" t="n"/>
      <x:c r="C689" s="8" t="n"/>
      <x:c r="D689" s="8" t="n"/>
    </x:row>
    <x:row r="690">
      <x:c r="A690" s="8" t="n"/>
      <x:c r="B690" s="8" t="n"/>
      <x:c r="C690" s="8" t="n"/>
      <x:c r="D690" s="8" t="n"/>
    </x:row>
    <x:row r="691">
      <x:c r="A691" s="8" t="n"/>
      <x:c r="B691" s="8" t="n"/>
      <x:c r="C691" s="8" t="n"/>
      <x:c r="D691" s="8" t="n"/>
    </x:row>
    <x:row r="692">
      <x:c r="A692" s="8" t="n"/>
      <x:c r="B692" s="8" t="n"/>
      <x:c r="C692" s="8" t="n"/>
      <x:c r="D692" s="8" t="n"/>
    </x:row>
    <x:row r="693">
      <x:c r="A693" s="8" t="n"/>
      <x:c r="B693" s="8" t="n"/>
      <x:c r="C693" s="8" t="n"/>
      <x:c r="D693" s="8" t="n"/>
    </x:row>
    <x:row r="694">
      <x:c r="A694" s="8" t="n"/>
      <x:c r="B694" s="8" t="n"/>
      <x:c r="C694" s="8" t="n"/>
      <x:c r="D694" s="8" t="n"/>
    </x:row>
    <x:row r="695">
      <x:c r="A695" s="8" t="n"/>
      <x:c r="B695" s="8" t="n"/>
      <x:c r="C695" s="8" t="n"/>
      <x:c r="D695" s="8" t="n"/>
    </x:row>
    <x:row r="696">
      <x:c r="A696" s="8" t="n"/>
      <x:c r="B696" s="8" t="n"/>
      <x:c r="C696" s="8" t="n"/>
      <x:c r="D696" s="8" t="n"/>
    </x:row>
    <x:row r="697">
      <x:c r="A697" s="8" t="n"/>
      <x:c r="B697" s="8" t="n"/>
      <x:c r="C697" s="8" t="n"/>
      <x:c r="D697" s="8" t="n"/>
    </x:row>
    <x:row r="698">
      <x:c r="A698" s="8" t="n"/>
      <x:c r="B698" s="8" t="n"/>
      <x:c r="C698" s="8" t="n"/>
      <x:c r="D698" s="8" t="n"/>
    </x:row>
    <x:row r="699">
      <x:c r="A699" s="8" t="n"/>
      <x:c r="B699" s="8" t="n"/>
      <x:c r="C699" s="8" t="n"/>
      <x:c r="D699" s="8" t="n"/>
    </x:row>
    <x:row r="700">
      <x:c r="A700" s="8" t="n"/>
      <x:c r="B700" s="8" t="n"/>
      <x:c r="C700" s="8" t="n"/>
      <x:c r="D700" s="8" t="n"/>
    </x:row>
    <x:row r="701">
      <x:c r="A701" s="8" t="n"/>
      <x:c r="B701" s="8" t="n"/>
      <x:c r="C701" s="8" t="n"/>
      <x:c r="D701" s="8" t="n"/>
    </x:row>
    <x:row r="702">
      <x:c r="A702" s="8" t="n"/>
      <x:c r="B702" s="8" t="n"/>
      <x:c r="C702" s="8" t="n"/>
      <x:c r="D702" s="8" t="n"/>
    </x:row>
    <x:row r="703">
      <x:c r="A703" s="8" t="n"/>
      <x:c r="B703" s="8" t="n"/>
      <x:c r="C703" s="8" t="n"/>
      <x:c r="D703" s="8" t="n"/>
    </x:row>
    <x:row r="704">
      <x:c r="A704" s="8" t="n"/>
      <x:c r="B704" s="8" t="n"/>
      <x:c r="C704" s="8" t="n"/>
      <x:c r="D704" s="8" t="n"/>
    </x:row>
    <x:row r="705">
      <x:c r="A705" s="8" t="n"/>
      <x:c r="B705" s="8" t="n"/>
      <x:c r="C705" s="8" t="n"/>
      <x:c r="D705" s="8" t="n"/>
    </x:row>
    <x:row r="706">
      <x:c r="A706" s="8" t="n"/>
      <x:c r="B706" s="8" t="n"/>
      <x:c r="C706" s="8" t="n"/>
      <x:c r="D706" s="8" t="n"/>
    </x:row>
    <x:row r="707">
      <x:c r="A707" s="8" t="n"/>
      <x:c r="B707" s="8" t="n"/>
      <x:c r="C707" s="8" t="n"/>
      <x:c r="D707" s="8" t="n"/>
    </x:row>
    <x:row r="708">
      <x:c r="A708" s="8" t="n"/>
      <x:c r="B708" s="8" t="n"/>
      <x:c r="C708" s="8" t="n"/>
      <x:c r="D708" s="8" t="n"/>
    </x:row>
    <x:row r="709">
      <x:c r="A709" s="8" t="n"/>
      <x:c r="B709" s="8" t="n"/>
      <x:c r="C709" s="8" t="n"/>
      <x:c r="D709" s="8" t="n"/>
    </x:row>
    <x:row r="710">
      <x:c r="A710" s="8" t="n"/>
      <x:c r="B710" s="8" t="n"/>
      <x:c r="C710" s="8" t="n"/>
      <x:c r="D710" s="8" t="n"/>
    </x:row>
    <x:row r="711">
      <x:c r="A711" s="8" t="n"/>
      <x:c r="B711" s="8" t="n"/>
      <x:c r="C711" s="8" t="n"/>
      <x:c r="D711" s="8" t="n"/>
    </x:row>
    <x:row r="712">
      <x:c r="A712" s="8" t="n"/>
      <x:c r="B712" s="8" t="n"/>
      <x:c r="C712" s="8" t="n"/>
      <x:c r="D712" s="8" t="n"/>
    </x:row>
    <x:row r="713">
      <x:c r="A713" s="8" t="n"/>
      <x:c r="B713" s="8" t="n"/>
      <x:c r="C713" s="8" t="n"/>
      <x:c r="D713" s="8" t="n"/>
    </x:row>
    <x:row r="714">
      <x:c r="A714" s="8" t="n"/>
      <x:c r="B714" s="8" t="n"/>
      <x:c r="C714" s="8" t="n"/>
      <x:c r="D714" s="8" t="n"/>
    </x:row>
    <x:row r="715">
      <x:c r="A715" s="8" t="n"/>
      <x:c r="B715" s="8" t="n"/>
      <x:c r="C715" s="8" t="n"/>
      <x:c r="D715" s="8" t="n"/>
    </x:row>
    <x:row r="716">
      <x:c r="A716" s="8" t="n"/>
      <x:c r="B716" s="8" t="n"/>
      <x:c r="C716" s="8" t="n"/>
      <x:c r="D716" s="8" t="n"/>
    </x:row>
    <x:row r="717">
      <x:c r="A717" s="8" t="n"/>
      <x:c r="B717" s="8" t="n"/>
      <x:c r="C717" s="8" t="n"/>
      <x:c r="D717" s="8" t="n"/>
    </x:row>
    <x:row r="718">
      <x:c r="A718" s="8" t="n"/>
      <x:c r="B718" s="8" t="n"/>
      <x:c r="C718" s="8" t="n"/>
      <x:c r="D718" s="8" t="n"/>
    </x:row>
    <x:row r="719">
      <x:c r="A719" s="8" t="n"/>
      <x:c r="B719" s="8" t="n"/>
      <x:c r="C719" s="8" t="n"/>
      <x:c r="D719" s="8" t="n"/>
    </x:row>
    <x:row r="720">
      <x:c r="A720" s="8" t="n"/>
      <x:c r="B720" s="8" t="n"/>
      <x:c r="C720" s="8" t="n"/>
      <x:c r="D720" s="8" t="n"/>
    </x:row>
    <x:row r="721">
      <x:c r="A721" s="8" t="n"/>
      <x:c r="B721" s="8" t="n"/>
      <x:c r="C721" s="8" t="n"/>
      <x:c r="D721" s="8" t="n"/>
    </x:row>
    <x:row r="722">
      <x:c r="A722" s="8" t="n"/>
      <x:c r="B722" s="8" t="n"/>
      <x:c r="C722" s="8" t="n"/>
      <x:c r="D722" s="8" t="n"/>
    </x:row>
    <x:row r="723">
      <x:c r="A723" s="8" t="n"/>
      <x:c r="B723" s="8" t="n"/>
      <x:c r="C723" s="8" t="n"/>
      <x:c r="D723" s="8" t="n"/>
    </x:row>
    <x:row r="724">
      <x:c r="A724" s="8" t="n"/>
      <x:c r="B724" s="8" t="n"/>
      <x:c r="C724" s="8" t="n"/>
      <x:c r="D724" s="8" t="n"/>
    </x:row>
    <x:row r="725">
      <x:c r="A725" s="8" t="n"/>
      <x:c r="B725" s="8" t="n"/>
      <x:c r="C725" s="8" t="n"/>
      <x:c r="D725" s="8" t="n"/>
    </x:row>
    <x:row r="726">
      <x:c r="A726" s="8" t="n"/>
      <x:c r="B726" s="8" t="n"/>
      <x:c r="C726" s="8" t="n"/>
      <x:c r="D726" s="8" t="n"/>
    </x:row>
    <x:row r="727">
      <x:c r="A727" s="8" t="n"/>
      <x:c r="B727" s="8" t="n"/>
      <x:c r="C727" s="8" t="n"/>
      <x:c r="D727" s="8" t="n"/>
    </x:row>
    <x:row r="728">
      <x:c r="A728" s="8" t="n"/>
      <x:c r="B728" s="8" t="n"/>
      <x:c r="C728" s="8" t="n"/>
      <x:c r="D728" s="8" t="n"/>
    </x:row>
    <x:row r="729">
      <x:c r="A729" s="8" t="n"/>
      <x:c r="B729" s="8" t="n"/>
      <x:c r="C729" s="8" t="n"/>
      <x:c r="D729" s="8" t="n"/>
    </x:row>
    <x:row r="730">
      <x:c r="A730" s="8" t="n"/>
      <x:c r="B730" s="8" t="n"/>
      <x:c r="C730" s="8" t="n"/>
      <x:c r="D730" s="8" t="n"/>
    </x:row>
    <x:row r="731">
      <x:c r="A731" s="8" t="n"/>
      <x:c r="B731" s="8" t="n"/>
      <x:c r="C731" s="8" t="n"/>
      <x:c r="D731" s="8" t="n"/>
    </x:row>
    <x:row r="732">
      <x:c r="A732" s="8" t="n"/>
      <x:c r="B732" s="8" t="n"/>
      <x:c r="C732" s="8" t="n"/>
      <x:c r="D732" s="8" t="n"/>
    </x:row>
    <x:row r="733">
      <x:c r="A733" s="8" t="n"/>
      <x:c r="B733" s="8" t="n"/>
      <x:c r="C733" s="8" t="n"/>
      <x:c r="D733" s="8" t="n"/>
    </x:row>
    <x:row r="734">
      <x:c r="A734" s="8" t="n"/>
      <x:c r="B734" s="8" t="n"/>
      <x:c r="C734" s="8" t="n"/>
      <x:c r="D734" s="8" t="n"/>
    </x:row>
    <x:row r="735">
      <x:c r="A735" s="8" t="n"/>
      <x:c r="B735" s="8" t="n"/>
      <x:c r="C735" s="8" t="n"/>
      <x:c r="D735" s="8" t="n"/>
    </x:row>
    <x:row r="736">
      <x:c r="A736" s="8" t="n"/>
      <x:c r="B736" s="8" t="n"/>
      <x:c r="C736" s="8" t="n"/>
      <x:c r="D736" s="8" t="n"/>
    </x:row>
    <x:row r="737">
      <x:c r="A737" s="8" t="n"/>
      <x:c r="B737" s="8" t="n"/>
      <x:c r="C737" s="8" t="n"/>
      <x:c r="D737" s="8" t="n"/>
    </x:row>
    <x:row r="738">
      <x:c r="A738" s="8" t="n"/>
      <x:c r="B738" s="8" t="n"/>
      <x:c r="C738" s="8" t="n"/>
      <x:c r="D738" s="8" t="n"/>
    </x:row>
    <x:row r="739">
      <x:c r="A739" s="8" t="n"/>
      <x:c r="B739" s="8" t="n"/>
      <x:c r="C739" s="8" t="n"/>
      <x:c r="D739" s="8" t="n"/>
    </x:row>
    <x:row r="740">
      <x:c r="A740" s="8" t="n"/>
      <x:c r="B740" s="8" t="n"/>
      <x:c r="C740" s="8" t="n"/>
      <x:c r="D740" s="8" t="n"/>
    </x:row>
    <x:row r="741">
      <x:c r="A741" s="8" t="n"/>
      <x:c r="B741" s="8" t="n"/>
      <x:c r="C741" s="8" t="n"/>
      <x:c r="D741" s="8" t="n"/>
    </x:row>
    <x:row r="742">
      <x:c r="A742" s="8" t="n"/>
      <x:c r="B742" s="8" t="n"/>
      <x:c r="C742" s="8" t="n"/>
      <x:c r="D742" s="8" t="n"/>
    </x:row>
    <x:row r="743">
      <x:c r="A743" s="8" t="n"/>
      <x:c r="B743" s="8" t="n"/>
      <x:c r="C743" s="8" t="n"/>
      <x:c r="D743" s="8" t="n"/>
    </x:row>
    <x:row r="744">
      <x:c r="A744" s="8" t="n"/>
      <x:c r="B744" s="8" t="n"/>
      <x:c r="C744" s="8" t="n"/>
      <x:c r="D744" s="8" t="n"/>
    </x:row>
    <x:row r="745">
      <x:c r="A745" s="8" t="n"/>
      <x:c r="B745" s="8" t="n"/>
      <x:c r="C745" s="8" t="n"/>
      <x:c r="D745" s="8" t="n"/>
    </x:row>
    <x:row r="746">
      <x:c r="A746" s="8" t="n"/>
      <x:c r="B746" s="8" t="n"/>
      <x:c r="C746" s="8" t="n"/>
      <x:c r="D746" s="8" t="n"/>
    </x:row>
    <x:row r="747">
      <x:c r="A747" s="8" t="n"/>
      <x:c r="B747" s="8" t="n"/>
      <x:c r="C747" s="8" t="n"/>
      <x:c r="D747" s="8" t="n"/>
    </x:row>
    <x:row r="748">
      <x:c r="A748" s="8" t="n"/>
      <x:c r="B748" s="8" t="n"/>
      <x:c r="C748" s="8" t="n"/>
      <x:c r="D748" s="8" t="n"/>
    </x:row>
    <x:row r="749">
      <x:c r="A749" s="8" t="n"/>
      <x:c r="B749" s="8" t="n"/>
      <x:c r="C749" s="8" t="n"/>
      <x:c r="D749" s="8" t="n"/>
    </x:row>
    <x:row r="750">
      <x:c r="A750" s="8" t="n"/>
      <x:c r="B750" s="8" t="n"/>
      <x:c r="C750" s="8" t="n"/>
      <x:c r="D750" s="8" t="n"/>
    </x:row>
    <x:row r="751">
      <x:c r="A751" s="8" t="n"/>
      <x:c r="B751" s="8" t="n"/>
      <x:c r="C751" s="8" t="n"/>
      <x:c r="D751" s="8" t="n"/>
    </x:row>
    <x:row r="752">
      <x:c r="A752" s="8" t="n"/>
      <x:c r="B752" s="8" t="n"/>
      <x:c r="C752" s="8" t="n"/>
      <x:c r="D752" s="8" t="n"/>
    </x:row>
    <x:row r="753">
      <x:c r="A753" s="8" t="n"/>
      <x:c r="B753" s="8" t="n"/>
      <x:c r="C753" s="8" t="n"/>
      <x:c r="D753" s="8" t="n"/>
    </x:row>
    <x:row r="754">
      <x:c r="A754" s="8" t="n"/>
      <x:c r="B754" s="8" t="n"/>
      <x:c r="C754" s="8" t="n"/>
      <x:c r="D754" s="8" t="n"/>
    </x:row>
    <x:row r="755">
      <x:c r="A755" s="8" t="n"/>
      <x:c r="B755" s="8" t="n"/>
      <x:c r="C755" s="8" t="n"/>
      <x:c r="D755" s="8" t="n"/>
    </x:row>
    <x:row r="756">
      <x:c r="A756" s="8" t="n"/>
      <x:c r="B756" s="8" t="n"/>
      <x:c r="C756" s="8" t="n"/>
      <x:c r="D756" s="8" t="n"/>
    </x:row>
    <x:row r="757">
      <x:c r="A757" s="8" t="n"/>
      <x:c r="B757" s="8" t="n"/>
      <x:c r="C757" s="8" t="n"/>
      <x:c r="D757" s="8" t="n"/>
    </x:row>
    <x:row r="758">
      <x:c r="A758" s="8" t="n"/>
      <x:c r="B758" s="8" t="n"/>
      <x:c r="C758" s="8" t="n"/>
      <x:c r="D758" s="8" t="n"/>
    </x:row>
    <x:row r="759">
      <x:c r="A759" s="8" t="n"/>
      <x:c r="B759" s="8" t="n"/>
      <x:c r="C759" s="8" t="n"/>
      <x:c r="D759" s="8" t="n"/>
    </x:row>
    <x:row r="760">
      <x:c r="A760" s="8" t="n"/>
      <x:c r="B760" s="8" t="n"/>
      <x:c r="C760" s="8" t="n"/>
      <x:c r="D760" s="8" t="n"/>
    </x:row>
    <x:row r="761">
      <x:c r="A761" s="8" t="n"/>
      <x:c r="B761" s="8" t="n"/>
      <x:c r="C761" s="8" t="n"/>
      <x:c r="D761" s="8" t="n"/>
    </x:row>
    <x:row r="762">
      <x:c r="A762" s="8" t="n"/>
      <x:c r="B762" s="8" t="n"/>
      <x:c r="C762" s="8" t="n"/>
      <x:c r="D762" s="8" t="n"/>
    </x:row>
    <x:row r="763">
      <x:c r="A763" s="8" t="n"/>
      <x:c r="B763" s="8" t="n"/>
      <x:c r="C763" s="8" t="n"/>
      <x:c r="D763" s="8" t="n"/>
    </x:row>
    <x:row r="764">
      <x:c r="A764" s="8" t="n"/>
      <x:c r="B764" s="8" t="n"/>
      <x:c r="C764" s="8" t="n"/>
      <x:c r="D764" s="8" t="n"/>
    </x:row>
    <x:row r="765">
      <x:c r="A765" s="8" t="n"/>
      <x:c r="B765" s="8" t="n"/>
      <x:c r="C765" s="8" t="n"/>
      <x:c r="D765" s="8" t="n"/>
    </x:row>
    <x:row r="766">
      <x:c r="A766" s="8" t="n"/>
      <x:c r="B766" s="8" t="n"/>
      <x:c r="C766" s="8" t="n"/>
      <x:c r="D766" s="8" t="n"/>
    </x:row>
    <x:row r="767">
      <x:c r="A767" s="8" t="n"/>
      <x:c r="B767" s="8" t="n"/>
      <x:c r="C767" s="8" t="n"/>
      <x:c r="D767" s="8" t="n"/>
    </x:row>
    <x:row r="768">
      <x:c r="A768" s="8" t="n"/>
      <x:c r="B768" s="8" t="n"/>
      <x:c r="C768" s="8" t="n"/>
      <x:c r="D768" s="8" t="n"/>
    </x:row>
    <x:row r="769">
      <x:c r="A769" s="8" t="n"/>
      <x:c r="B769" s="8" t="n"/>
      <x:c r="C769" s="8" t="n"/>
      <x:c r="D769" s="8" t="n"/>
    </x:row>
    <x:row r="770">
      <x:c r="A770" s="8" t="n"/>
      <x:c r="B770" s="8" t="n"/>
      <x:c r="C770" s="8" t="n"/>
      <x:c r="D770" s="8" t="n"/>
    </x:row>
    <x:row r="771">
      <x:c r="A771" s="8" t="n"/>
      <x:c r="B771" s="8" t="n"/>
      <x:c r="C771" s="8" t="n"/>
      <x:c r="D771" s="8" t="n"/>
    </x:row>
    <x:row r="772">
      <x:c r="A772" s="8" t="n"/>
      <x:c r="B772" s="8" t="n"/>
      <x:c r="C772" s="8" t="n"/>
      <x:c r="D772" s="8" t="n"/>
    </x:row>
    <x:row r="773">
      <x:c r="A773" s="8" t="n"/>
      <x:c r="B773" s="8" t="n"/>
      <x:c r="C773" s="8" t="n"/>
      <x:c r="D773" s="8" t="n"/>
    </x:row>
    <x:row r="774">
      <x:c r="A774" s="8" t="n"/>
      <x:c r="B774" s="8" t="n"/>
      <x:c r="C774" s="8" t="n"/>
      <x:c r="D774" s="8" t="n"/>
    </x:row>
    <x:row r="775">
      <x:c r="A775" s="8" t="n"/>
      <x:c r="B775" s="8" t="n"/>
      <x:c r="C775" s="8" t="n"/>
      <x:c r="D775" s="8" t="n"/>
    </x:row>
    <x:row r="776">
      <x:c r="A776" s="8" t="n"/>
      <x:c r="B776" s="8" t="n"/>
      <x:c r="C776" s="8" t="n"/>
      <x:c r="D776" s="8" t="n"/>
    </x:row>
    <x:row r="777">
      <x:c r="A777" s="8" t="n"/>
      <x:c r="B777" s="8" t="n"/>
      <x:c r="C777" s="8" t="n"/>
      <x:c r="D777" s="8" t="n"/>
    </x:row>
    <x:row r="778">
      <x:c r="A778" s="8" t="n"/>
      <x:c r="B778" s="8" t="n"/>
      <x:c r="C778" s="8" t="n"/>
      <x:c r="D778" s="8" t="n"/>
    </x:row>
    <x:row r="779">
      <x:c r="A779" s="8" t="n"/>
      <x:c r="B779" s="8" t="n"/>
      <x:c r="C779" s="8" t="n"/>
      <x:c r="D779" s="8" t="n"/>
    </x:row>
    <x:row r="780">
      <x:c r="A780" s="8" t="n"/>
      <x:c r="B780" s="8" t="n"/>
      <x:c r="C780" s="8" t="n"/>
      <x:c r="D780" s="8" t="n"/>
    </x:row>
    <x:row r="781">
      <x:c r="A781" s="8" t="n"/>
      <x:c r="B781" s="8" t="n"/>
      <x:c r="C781" s="8" t="n"/>
      <x:c r="D781" s="8" t="n"/>
    </x:row>
    <x:row r="782">
      <x:c r="A782" s="8" t="n"/>
      <x:c r="B782" s="8" t="n"/>
      <x:c r="C782" s="8" t="n"/>
      <x:c r="D782" s="8" t="n"/>
    </x:row>
    <x:row r="783">
      <x:c r="A783" s="8" t="n"/>
      <x:c r="B783" s="8" t="n"/>
      <x:c r="C783" s="8" t="n"/>
      <x:c r="D783" s="8" t="n"/>
    </x:row>
    <x:row r="784">
      <x:c r="A784" s="8" t="n"/>
      <x:c r="B784" s="8" t="n"/>
      <x:c r="C784" s="8" t="n"/>
      <x:c r="D784" s="8" t="n"/>
    </x:row>
    <x:row r="785">
      <x:c r="A785" s="8" t="n"/>
      <x:c r="B785" s="8" t="n"/>
      <x:c r="C785" s="8" t="n"/>
      <x:c r="D785" s="8" t="n"/>
    </x:row>
    <x:row r="786">
      <x:c r="A786" s="8" t="n"/>
      <x:c r="B786" s="8" t="n"/>
      <x:c r="C786" s="8" t="n"/>
      <x:c r="D786" s="8" t="n"/>
    </x:row>
    <x:row r="787">
      <x:c r="A787" s="8" t="n"/>
      <x:c r="B787" s="8" t="n"/>
      <x:c r="C787" s="8" t="n"/>
      <x:c r="D787" s="8" t="n"/>
    </x:row>
    <x:row r="788">
      <x:c r="A788" s="8" t="n"/>
      <x:c r="B788" s="8" t="n"/>
      <x:c r="C788" s="8" t="n"/>
      <x:c r="D788" s="8" t="n"/>
    </x:row>
    <x:row r="789">
      <x:c r="A789" s="8" t="n"/>
      <x:c r="B789" s="8" t="n"/>
      <x:c r="C789" s="8" t="n"/>
      <x:c r="D789" s="8" t="n"/>
    </x:row>
    <x:row r="790">
      <x:c r="A790" s="8" t="n"/>
      <x:c r="B790" s="8" t="n"/>
      <x:c r="C790" s="8" t="n"/>
      <x:c r="D790" s="8" t="n"/>
    </x:row>
    <x:row r="791">
      <x:c r="A791" s="8" t="n"/>
      <x:c r="B791" s="8" t="n"/>
      <x:c r="C791" s="8" t="n"/>
      <x:c r="D791" s="8" t="n"/>
    </x:row>
    <x:row r="792">
      <x:c r="A792" s="8" t="n"/>
      <x:c r="B792" s="8" t="n"/>
      <x:c r="C792" s="8" t="n"/>
      <x:c r="D792" s="8" t="n"/>
    </x:row>
    <x:row r="793">
      <x:c r="A793" s="8" t="n"/>
      <x:c r="B793" s="8" t="n"/>
      <x:c r="C793" s="8" t="n"/>
      <x:c r="D793" s="8" t="n"/>
    </x:row>
    <x:row r="794">
      <x:c r="A794" s="8" t="n"/>
      <x:c r="B794" s="8" t="n"/>
      <x:c r="C794" s="8" t="n"/>
      <x:c r="D794" s="8" t="n"/>
    </x:row>
    <x:row r="795">
      <x:c r="A795" s="8" t="n"/>
      <x:c r="B795" s="8" t="n"/>
      <x:c r="C795" s="8" t="n"/>
      <x:c r="D795" s="8" t="n"/>
    </x:row>
    <x:row r="796">
      <x:c r="A796" s="8" t="n"/>
      <x:c r="B796" s="8" t="n"/>
      <x:c r="C796" s="8" t="n"/>
      <x:c r="D796" s="8" t="n"/>
    </x:row>
    <x:row r="797">
      <x:c r="A797" s="8" t="n"/>
      <x:c r="B797" s="8" t="n"/>
      <x:c r="C797" s="8" t="n"/>
      <x:c r="D797" s="8" t="n"/>
    </x:row>
    <x:row r="798">
      <x:c r="A798" s="8" t="n"/>
      <x:c r="B798" s="8" t="n"/>
      <x:c r="C798" s="8" t="n"/>
      <x:c r="D798" s="8" t="n"/>
    </x:row>
    <x:row r="799">
      <x:c r="A799" s="8" t="n"/>
      <x:c r="B799" s="8" t="n"/>
      <x:c r="C799" s="8" t="n"/>
      <x:c r="D799" s="8" t="n"/>
    </x:row>
    <x:row r="800">
      <x:c r="A800" s="8" t="n"/>
      <x:c r="B800" s="8" t="n"/>
      <x:c r="C800" s="8" t="n"/>
      <x:c r="D800" s="8" t="n"/>
    </x:row>
    <x:row r="801">
      <x:c r="A801" s="8" t="n"/>
      <x:c r="B801" s="8" t="n"/>
      <x:c r="C801" s="8" t="n"/>
      <x:c r="D801" s="8" t="n"/>
    </x:row>
    <x:row r="802">
      <x:c r="A802" s="8" t="n"/>
      <x:c r="B802" s="8" t="n"/>
      <x:c r="C802" s="8" t="n"/>
      <x:c r="D802" s="8" t="n"/>
    </x:row>
    <x:row r="803">
      <x:c r="A803" s="8" t="n"/>
      <x:c r="B803" s="8" t="n"/>
      <x:c r="C803" s="8" t="n"/>
      <x:c r="D803" s="8" t="n"/>
    </x:row>
    <x:row r="804">
      <x:c r="A804" s="8" t="n"/>
      <x:c r="B804" s="8" t="n"/>
      <x:c r="C804" s="8" t="n"/>
      <x:c r="D804" s="8" t="n"/>
    </x:row>
    <x:row r="805">
      <x:c r="A805" s="8" t="n"/>
      <x:c r="B805" s="8" t="n"/>
      <x:c r="C805" s="8" t="n"/>
      <x:c r="D805" s="8" t="n"/>
    </x:row>
    <x:row r="806">
      <x:c r="A806" s="8" t="n"/>
      <x:c r="B806" s="8" t="n"/>
      <x:c r="C806" s="8" t="n"/>
      <x:c r="D806" s="8" t="n"/>
    </x:row>
    <x:row r="807">
      <x:c r="A807" s="8" t="n"/>
      <x:c r="B807" s="8" t="n"/>
      <x:c r="C807" s="8" t="n"/>
      <x:c r="D807" s="8" t="n"/>
    </x:row>
    <x:row r="808">
      <x:c r="A808" s="8" t="n"/>
      <x:c r="B808" s="8" t="n"/>
      <x:c r="C808" s="8" t="n"/>
      <x:c r="D808" s="8" t="n"/>
    </x:row>
    <x:row r="809">
      <x:c r="A809" s="8" t="n"/>
      <x:c r="B809" s="8" t="n"/>
      <x:c r="C809" s="8" t="n"/>
      <x:c r="D809" s="8" t="n"/>
    </x:row>
    <x:row r="810">
      <x:c r="A810" s="8" t="n"/>
      <x:c r="B810" s="8" t="n"/>
      <x:c r="C810" s="8" t="n"/>
      <x:c r="D810" s="8" t="n"/>
    </x:row>
    <x:row r="811">
      <x:c r="A811" s="8" t="n"/>
      <x:c r="B811" s="8" t="n"/>
      <x:c r="C811" s="8" t="n"/>
      <x:c r="D811" s="8" t="n"/>
    </x:row>
    <x:row r="812">
      <x:c r="A812" s="8" t="n"/>
      <x:c r="B812" s="8" t="n"/>
      <x:c r="C812" s="8" t="n"/>
      <x:c r="D812" s="8" t="n"/>
    </x:row>
    <x:row r="813">
      <x:c r="A813" s="8" t="n"/>
      <x:c r="B813" s="8" t="n"/>
      <x:c r="C813" s="8" t="n"/>
      <x:c r="D813" s="8" t="n"/>
    </x:row>
    <x:row r="814">
      <x:c r="A814" s="8" t="n"/>
      <x:c r="B814" s="8" t="n"/>
      <x:c r="C814" s="8" t="n"/>
      <x:c r="D814" s="8" t="n"/>
    </x:row>
    <x:row r="815">
      <x:c r="A815" s="8" t="n"/>
      <x:c r="B815" s="8" t="n"/>
      <x:c r="C815" s="8" t="n"/>
      <x:c r="D815" s="8" t="n"/>
    </x:row>
    <x:row r="816">
      <x:c r="A816" s="8" t="n"/>
      <x:c r="B816" s="8" t="n"/>
      <x:c r="C816" s="8" t="n"/>
      <x:c r="D816" s="8" t="n"/>
    </x:row>
    <x:row r="817">
      <x:c r="A817" s="8" t="n"/>
      <x:c r="B817" s="8" t="n"/>
      <x:c r="C817" s="8" t="n"/>
      <x:c r="D817" s="8" t="n"/>
    </x:row>
    <x:row r="818">
      <x:c r="A818" s="8" t="n"/>
      <x:c r="B818" s="8" t="n"/>
      <x:c r="C818" s="8" t="n"/>
      <x:c r="D818" s="8" t="n"/>
    </x:row>
    <x:row r="819">
      <x:c r="A819" s="8" t="n"/>
      <x:c r="B819" s="8" t="n"/>
      <x:c r="C819" s="8" t="n"/>
      <x:c r="D819" s="8" t="n"/>
    </x:row>
    <x:row r="820">
      <x:c r="A820" s="8" t="n"/>
      <x:c r="B820" s="8" t="n"/>
      <x:c r="C820" s="8" t="n"/>
      <x:c r="D820" s="8" t="n"/>
    </x:row>
    <x:row r="821">
      <x:c r="A821" s="8" t="n"/>
      <x:c r="B821" s="8" t="n"/>
      <x:c r="C821" s="8" t="n"/>
      <x:c r="D821" s="8" t="n"/>
    </x:row>
    <x:row r="822">
      <x:c r="A822" s="8" t="n"/>
      <x:c r="B822" s="8" t="n"/>
      <x:c r="C822" s="8" t="n"/>
      <x:c r="D822" s="8" t="n"/>
    </x:row>
    <x:row r="823">
      <x:c r="A823" s="8" t="n"/>
      <x:c r="B823" s="8" t="n"/>
      <x:c r="C823" s="8" t="n"/>
      <x:c r="D823" s="8" t="n"/>
    </x:row>
    <x:row r="824">
      <x:c r="A824" s="8" t="n"/>
      <x:c r="B824" s="8" t="n"/>
      <x:c r="C824" s="8" t="n"/>
      <x:c r="D824" s="8" t="n"/>
    </x:row>
    <x:row r="825">
      <x:c r="A825" s="8" t="n"/>
      <x:c r="B825" s="8" t="n"/>
      <x:c r="C825" s="8" t="n"/>
      <x:c r="D825" s="8" t="n"/>
    </x:row>
    <x:row r="826">
      <x:c r="A826" s="8" t="n"/>
      <x:c r="B826" s="8" t="n"/>
      <x:c r="C826" s="8" t="n"/>
      <x:c r="D826" s="8" t="n"/>
    </x:row>
    <x:row r="827">
      <x:c r="A827" s="8" t="n"/>
      <x:c r="B827" s="8" t="n"/>
      <x:c r="C827" s="8" t="n"/>
      <x:c r="D827" s="8" t="n"/>
    </x:row>
    <x:row r="828">
      <x:c r="A828" s="8" t="n"/>
      <x:c r="B828" s="8" t="n"/>
      <x:c r="C828" s="8" t="n"/>
      <x:c r="D828" s="8" t="n"/>
    </x:row>
    <x:row r="829">
      <x:c r="A829" s="8" t="n"/>
      <x:c r="B829" s="8" t="n"/>
      <x:c r="C829" s="8" t="n"/>
      <x:c r="D829" s="8" t="n"/>
    </x:row>
    <x:row r="830">
      <x:c r="A830" s="8" t="n"/>
      <x:c r="B830" s="8" t="n"/>
      <x:c r="C830" s="8" t="n"/>
      <x:c r="D830" s="8" t="n"/>
    </x:row>
    <x:row r="831">
      <x:c r="A831" s="8" t="n"/>
      <x:c r="B831" s="8" t="n"/>
      <x:c r="C831" s="8" t="n"/>
      <x:c r="D831" s="8" t="n"/>
    </x:row>
    <x:row r="832">
      <x:c r="A832" s="8" t="n"/>
      <x:c r="B832" s="8" t="n"/>
      <x:c r="C832" s="8" t="n"/>
      <x:c r="D832" s="8" t="n"/>
    </x:row>
    <x:row r="833">
      <x:c r="A833" s="8" t="n"/>
      <x:c r="B833" s="8" t="n"/>
      <x:c r="C833" s="8" t="n"/>
      <x:c r="D833" s="8" t="n"/>
    </x:row>
    <x:row r="834">
      <x:c r="A834" s="8" t="n"/>
      <x:c r="B834" s="8" t="n"/>
      <x:c r="C834" s="8" t="n"/>
      <x:c r="D834" s="8" t="n"/>
    </x:row>
    <x:row r="835">
      <x:c r="A835" s="8" t="n"/>
      <x:c r="B835" s="8" t="n"/>
      <x:c r="C835" s="8" t="n"/>
      <x:c r="D835" s="8" t="n"/>
    </x:row>
    <x:row r="836">
      <x:c r="A836" s="8" t="n"/>
      <x:c r="B836" s="8" t="n"/>
      <x:c r="C836" s="8" t="n"/>
      <x:c r="D836" s="8" t="n"/>
    </x:row>
    <x:row r="837">
      <x:c r="A837" s="8" t="n"/>
      <x:c r="B837" s="8" t="n"/>
      <x:c r="C837" s="8" t="n"/>
      <x:c r="D837" s="8" t="n"/>
    </x:row>
    <x:row r="838">
      <x:c r="A838" s="8" t="n"/>
      <x:c r="B838" s="8" t="n"/>
      <x:c r="C838" s="8" t="n"/>
      <x:c r="D838" s="8" t="n"/>
    </x:row>
    <x:row r="839">
      <x:c r="A839" s="8" t="n"/>
      <x:c r="B839" s="8" t="n"/>
      <x:c r="C839" s="8" t="n"/>
      <x:c r="D839" s="8" t="n"/>
    </x:row>
    <x:row r="840">
      <x:c r="A840" s="8" t="n"/>
      <x:c r="B840" s="8" t="n"/>
      <x:c r="C840" s="8" t="n"/>
      <x:c r="D840" s="8" t="n"/>
    </x:row>
    <x:row r="841">
      <x:c r="A841" s="8" t="n"/>
      <x:c r="B841" s="8" t="n"/>
      <x:c r="C841" s="8" t="n"/>
      <x:c r="D841" s="8" t="n"/>
    </x:row>
    <x:row r="842">
      <x:c r="A842" s="8" t="n"/>
      <x:c r="B842" s="8" t="n"/>
      <x:c r="C842" s="8" t="n"/>
      <x:c r="D842" s="8" t="n"/>
    </x:row>
    <x:row r="843">
      <x:c r="A843" s="8" t="n"/>
      <x:c r="B843" s="8" t="n"/>
      <x:c r="C843" s="8" t="n"/>
      <x:c r="D843" s="8" t="n"/>
    </x:row>
    <x:row r="844">
      <x:c r="A844" s="8" t="n"/>
      <x:c r="B844" s="8" t="n"/>
      <x:c r="C844" s="8" t="n"/>
      <x:c r="D844" s="8" t="n"/>
    </x:row>
    <x:row r="845">
      <x:c r="A845" s="8" t="n"/>
      <x:c r="B845" s="8" t="n"/>
      <x:c r="C845" s="8" t="n"/>
      <x:c r="D845" s="8" t="n"/>
    </x:row>
    <x:row r="846">
      <x:c r="A846" s="8" t="n"/>
      <x:c r="B846" s="8" t="n"/>
      <x:c r="C846" s="8" t="n"/>
      <x:c r="D846" s="8" t="n"/>
    </x:row>
    <x:row r="847">
      <x:c r="A847" s="8" t="n"/>
      <x:c r="B847" s="8" t="n"/>
      <x:c r="C847" s="8" t="n"/>
      <x:c r="D847" s="8" t="n"/>
    </x:row>
    <x:row r="848">
      <x:c r="A848" s="8" t="n"/>
      <x:c r="B848" s="8" t="n"/>
      <x:c r="C848" s="8" t="n"/>
      <x:c r="D848" s="8" t="n"/>
    </x:row>
    <x:row r="849">
      <x:c r="A849" s="8" t="n"/>
      <x:c r="B849" s="8" t="n"/>
      <x:c r="C849" s="8" t="n"/>
      <x:c r="D849" s="8" t="n"/>
    </x:row>
    <x:row r="850">
      <x:c r="A850" s="8" t="n"/>
      <x:c r="B850" s="8" t="n"/>
      <x:c r="C850" s="8" t="n"/>
      <x:c r="D850" s="8" t="n"/>
    </x:row>
    <x:row r="851">
      <x:c r="A851" s="8" t="n"/>
      <x:c r="B851" s="8" t="n"/>
      <x:c r="C851" s="8" t="n"/>
      <x:c r="D851" s="8" t="n"/>
    </x:row>
    <x:row r="852">
      <x:c r="A852" s="8" t="n"/>
      <x:c r="B852" s="8" t="n"/>
      <x:c r="C852" s="8" t="n"/>
      <x:c r="D852" s="8" t="n"/>
    </x:row>
    <x:row r="853">
      <x:c r="A853" s="8" t="n"/>
      <x:c r="B853" s="8" t="n"/>
      <x:c r="C853" s="8" t="n"/>
      <x:c r="D853" s="8" t="n"/>
    </x:row>
    <x:row r="854">
      <x:c r="A854" s="8" t="n"/>
      <x:c r="B854" s="8" t="n"/>
      <x:c r="C854" s="8" t="n"/>
      <x:c r="D854" s="8" t="n"/>
    </x:row>
    <x:row r="855">
      <x:c r="A855" s="8" t="n"/>
      <x:c r="B855" s="8" t="n"/>
      <x:c r="C855" s="8" t="n"/>
      <x:c r="D855" s="8" t="n"/>
    </x:row>
    <x:row r="856">
      <x:c r="A856" s="8" t="n"/>
      <x:c r="B856" s="8" t="n"/>
      <x:c r="C856" s="8" t="n"/>
      <x:c r="D856" s="8" t="n"/>
    </x:row>
    <x:row r="857">
      <x:c r="A857" s="8" t="n"/>
      <x:c r="B857" s="8" t="n"/>
      <x:c r="C857" s="8" t="n"/>
      <x:c r="D857" s="8" t="n"/>
    </x:row>
    <x:row r="858">
      <x:c r="A858" s="8" t="n"/>
      <x:c r="B858" s="8" t="n"/>
      <x:c r="C858" s="8" t="n"/>
      <x:c r="D858" s="8" t="n"/>
    </x:row>
    <x:row r="859">
      <x:c r="A859" s="8" t="n"/>
      <x:c r="B859" s="8" t="n"/>
      <x:c r="C859" s="8" t="n"/>
      <x:c r="D859" s="8" t="n"/>
    </x:row>
    <x:row r="860">
      <x:c r="A860" s="8" t="n"/>
      <x:c r="B860" s="8" t="n"/>
      <x:c r="C860" s="8" t="n"/>
      <x:c r="D860" s="8" t="n"/>
    </x:row>
    <x:row r="861">
      <x:c r="A861" s="8" t="n"/>
      <x:c r="B861" s="8" t="n"/>
      <x:c r="C861" s="8" t="n"/>
      <x:c r="D861" s="8" t="n"/>
    </x:row>
    <x:row r="862">
      <x:c r="A862" s="8" t="n"/>
      <x:c r="B862" s="8" t="n"/>
      <x:c r="C862" s="8" t="n"/>
      <x:c r="D862" s="8" t="n"/>
    </x:row>
    <x:row r="863">
      <x:c r="A863" s="8" t="n"/>
      <x:c r="B863" s="8" t="n"/>
      <x:c r="C863" s="8" t="n"/>
      <x:c r="D863" s="8" t="n"/>
    </x:row>
    <x:row r="864">
      <x:c r="A864" s="8" t="n"/>
      <x:c r="B864" s="8" t="n"/>
      <x:c r="C864" s="8" t="n"/>
      <x:c r="D864" s="8" t="n"/>
    </x:row>
    <x:row r="865">
      <x:c r="A865" s="8" t="n"/>
      <x:c r="B865" s="8" t="n"/>
      <x:c r="C865" s="8" t="n"/>
      <x:c r="D865" s="8" t="n"/>
    </x:row>
    <x:row r="866">
      <x:c r="A866" s="8" t="n"/>
      <x:c r="B866" s="8" t="n"/>
      <x:c r="C866" s="8" t="n"/>
      <x:c r="D866" s="8" t="n"/>
    </x:row>
    <x:row r="867">
      <x:c r="A867" s="8" t="n"/>
      <x:c r="B867" s="8" t="n"/>
      <x:c r="C867" s="8" t="n"/>
      <x:c r="D867" s="8" t="n"/>
    </x:row>
    <x:row r="868">
      <x:c r="A868" s="8" t="n"/>
      <x:c r="B868" s="8" t="n"/>
      <x:c r="C868" s="8" t="n"/>
      <x:c r="D868" s="8" t="n"/>
    </x:row>
    <x:row r="869">
      <x:c r="A869" s="8" t="n"/>
      <x:c r="B869" s="8" t="n"/>
      <x:c r="C869" s="8" t="n"/>
      <x:c r="D869" s="8" t="n"/>
    </x:row>
    <x:row r="870">
      <x:c r="A870" s="8" t="n"/>
      <x:c r="B870" s="8" t="n"/>
      <x:c r="C870" s="8" t="n"/>
      <x:c r="D870" s="8" t="n"/>
    </x:row>
    <x:row r="871">
      <x:c r="A871" s="8" t="n"/>
      <x:c r="B871" s="8" t="n"/>
      <x:c r="C871" s="8" t="n"/>
      <x:c r="D871" s="8" t="n"/>
    </x:row>
    <x:row r="872">
      <x:c r="A872" s="8" t="n"/>
      <x:c r="B872" s="8" t="n"/>
      <x:c r="C872" s="8" t="n"/>
      <x:c r="D872" s="8" t="n"/>
    </x:row>
    <x:row r="873">
      <x:c r="A873" s="8" t="n"/>
      <x:c r="B873" s="8" t="n"/>
      <x:c r="C873" s="8" t="n"/>
      <x:c r="D873" s="8" t="n"/>
    </x:row>
    <x:row r="874">
      <x:c r="A874" s="8" t="n"/>
      <x:c r="B874" s="8" t="n"/>
      <x:c r="C874" s="8" t="n"/>
      <x:c r="D874" s="8" t="n"/>
    </x:row>
    <x:row r="875">
      <x:c r="A875" s="8" t="n"/>
      <x:c r="B875" s="8" t="n"/>
      <x:c r="C875" s="8" t="n"/>
      <x:c r="D875" s="8" t="n"/>
    </x:row>
    <x:row r="876">
      <x:c r="A876" s="8" t="n"/>
      <x:c r="B876" s="8" t="n"/>
      <x:c r="C876" s="8" t="n"/>
      <x:c r="D876" s="8" t="n"/>
    </x:row>
    <x:row r="877">
      <x:c r="A877" s="8" t="n"/>
      <x:c r="B877" s="8" t="n"/>
      <x:c r="C877" s="8" t="n"/>
      <x:c r="D877" s="8" t="n"/>
    </x:row>
    <x:row r="878">
      <x:c r="A878" s="8" t="n"/>
      <x:c r="B878" s="8" t="n"/>
      <x:c r="C878" s="8" t="n"/>
      <x:c r="D878" s="8" t="n"/>
    </x:row>
    <x:row r="879">
      <x:c r="A879" s="8" t="n"/>
      <x:c r="B879" s="8" t="n"/>
      <x:c r="C879" s="8" t="n"/>
      <x:c r="D879" s="8" t="n"/>
    </x:row>
    <x:row r="880">
      <x:c r="A880" s="8" t="n"/>
      <x:c r="B880" s="8" t="n"/>
      <x:c r="C880" s="8" t="n"/>
      <x:c r="D880" s="8" t="n"/>
    </x:row>
    <x:row r="881">
      <x:c r="A881" s="8" t="n"/>
      <x:c r="B881" s="8" t="n"/>
      <x:c r="C881" s="8" t="n"/>
      <x:c r="D881" s="8" t="n"/>
    </x:row>
    <x:row r="882">
      <x:c r="A882" s="8" t="n"/>
      <x:c r="B882" s="8" t="n"/>
      <x:c r="C882" s="8" t="n"/>
      <x:c r="D882" s="8" t="n"/>
    </x:row>
    <x:row r="883">
      <x:c r="A883" s="8" t="n"/>
      <x:c r="B883" s="8" t="n"/>
      <x:c r="C883" s="8" t="n"/>
      <x:c r="D883" s="8" t="n"/>
    </x:row>
    <x:row r="884">
      <x:c r="A884" s="8" t="n"/>
      <x:c r="B884" s="8" t="n"/>
      <x:c r="C884" s="8" t="n"/>
      <x:c r="D884" s="8" t="n"/>
    </x:row>
    <x:row r="885">
      <x:c r="A885" s="8" t="n"/>
      <x:c r="B885" s="8" t="n"/>
      <x:c r="C885" s="8" t="n"/>
      <x:c r="D885" s="8" t="n"/>
    </x:row>
    <x:row r="886">
      <x:c r="A886" s="8" t="n"/>
      <x:c r="B886" s="8" t="n"/>
      <x:c r="C886" s="8" t="n"/>
      <x:c r="D886" s="8" t="n"/>
    </x:row>
    <x:row r="887">
      <x:c r="A887" s="8" t="n"/>
      <x:c r="B887" s="8" t="n"/>
      <x:c r="C887" s="8" t="n"/>
      <x:c r="D887" s="8" t="n"/>
    </x:row>
    <x:row r="888">
      <x:c r="A888" s="8" t="n"/>
      <x:c r="B888" s="8" t="n"/>
      <x:c r="C888" s="8" t="n"/>
      <x:c r="D888" s="8" t="n"/>
    </x:row>
    <x:row r="889">
      <x:c r="A889" s="8" t="n"/>
      <x:c r="B889" s="8" t="n"/>
      <x:c r="C889" s="8" t="n"/>
      <x:c r="D889" s="8" t="n"/>
    </x:row>
    <x:row r="890">
      <x:c r="A890" s="8" t="n"/>
      <x:c r="B890" s="8" t="n"/>
      <x:c r="C890" s="8" t="n"/>
      <x:c r="D890" s="8" t="n"/>
    </x:row>
    <x:row r="891">
      <x:c r="A891" s="8" t="n"/>
      <x:c r="B891" s="8" t="n"/>
      <x:c r="C891" s="8" t="n"/>
      <x:c r="D891" s="8" t="n"/>
    </x:row>
    <x:row r="892">
      <x:c r="A892" s="8" t="n"/>
      <x:c r="B892" s="8" t="n"/>
      <x:c r="C892" s="8" t="n"/>
      <x:c r="D892" s="8" t="n"/>
    </x:row>
    <x:row r="893">
      <x:c r="A893" s="8" t="n"/>
      <x:c r="B893" s="8" t="n"/>
      <x:c r="C893" s="8" t="n"/>
      <x:c r="D893" s="8" t="n"/>
    </x:row>
    <x:row r="894">
      <x:c r="A894" s="8" t="n"/>
      <x:c r="B894" s="8" t="n"/>
      <x:c r="C894" s="8" t="n"/>
      <x:c r="D894" s="8" t="n"/>
    </x:row>
    <x:row r="895">
      <x:c r="A895" s="8" t="n"/>
      <x:c r="B895" s="8" t="n"/>
      <x:c r="C895" s="8" t="n"/>
      <x:c r="D895" s="8" t="n"/>
    </x:row>
    <x:row r="896">
      <x:c r="A896" s="8" t="n"/>
      <x:c r="B896" s="8" t="n"/>
      <x:c r="C896" s="8" t="n"/>
      <x:c r="D896" s="8" t="n"/>
    </x:row>
    <x:row r="897">
      <x:c r="A897" s="8" t="n"/>
      <x:c r="B897" s="8" t="n"/>
      <x:c r="C897" s="8" t="n"/>
      <x:c r="D897" s="8" t="n"/>
    </x:row>
    <x:row r="898">
      <x:c r="A898" s="8" t="n"/>
      <x:c r="B898" s="8" t="n"/>
      <x:c r="C898" s="8" t="n"/>
      <x:c r="D898" s="8" t="n"/>
    </x:row>
    <x:row r="899">
      <x:c r="A899" s="8" t="n"/>
      <x:c r="B899" s="8" t="n"/>
      <x:c r="C899" s="8" t="n"/>
      <x:c r="D899" s="8" t="n"/>
    </x:row>
    <x:row r="900">
      <x:c r="A900" s="8" t="n"/>
      <x:c r="B900" s="8" t="n"/>
      <x:c r="C900" s="8" t="n"/>
      <x:c r="D900" s="8" t="n"/>
    </x:row>
    <x:row r="901">
      <x:c r="A901" s="8" t="n"/>
      <x:c r="B901" s="8" t="n"/>
      <x:c r="C901" s="8" t="n"/>
      <x:c r="D901" s="8" t="n"/>
    </x:row>
    <x:row r="902">
      <x:c r="A902" s="8" t="n"/>
      <x:c r="B902" s="8" t="n"/>
      <x:c r="C902" s="8" t="n"/>
      <x:c r="D902" s="8" t="n"/>
    </x:row>
    <x:row r="903">
      <x:c r="A903" s="8" t="n"/>
      <x:c r="B903" s="8" t="n"/>
      <x:c r="C903" s="8" t="n"/>
      <x:c r="D903" s="8" t="n"/>
    </x:row>
    <x:row r="904">
      <x:c r="A904" s="8" t="n"/>
      <x:c r="B904" s="8" t="n"/>
      <x:c r="C904" s="8" t="n"/>
      <x:c r="D904" s="8" t="n"/>
    </x:row>
    <x:row r="905">
      <x:c r="A905" s="8" t="n"/>
      <x:c r="B905" s="8" t="n"/>
      <x:c r="C905" s="8" t="n"/>
      <x:c r="D905" s="8" t="n"/>
    </x:row>
    <x:row r="906">
      <x:c r="A906" s="8" t="n"/>
      <x:c r="B906" s="8" t="n"/>
      <x:c r="C906" s="8" t="n"/>
      <x:c r="D906" s="8" t="n"/>
    </x:row>
    <x:row r="907">
      <x:c r="A907" s="8" t="n"/>
      <x:c r="B907" s="8" t="n"/>
      <x:c r="C907" s="8" t="n"/>
      <x:c r="D907" s="8" t="n"/>
    </x:row>
    <x:row r="908">
      <x:c r="A908" s="8" t="n"/>
      <x:c r="B908" s="8" t="n"/>
      <x:c r="C908" s="8" t="n"/>
      <x:c r="D908" s="8" t="n"/>
    </x:row>
    <x:row r="909">
      <x:c r="A909" s="8" t="n"/>
      <x:c r="B909" s="8" t="n"/>
      <x:c r="C909" s="8" t="n"/>
      <x:c r="D909" s="8" t="n"/>
    </x:row>
    <x:row r="910">
      <x:c r="A910" s="8" t="n"/>
      <x:c r="B910" s="8" t="n"/>
      <x:c r="C910" s="8" t="n"/>
      <x:c r="D910" s="8" t="n"/>
    </x:row>
    <x:row r="911">
      <x:c r="A911" s="8" t="n"/>
      <x:c r="B911" s="8" t="n"/>
      <x:c r="C911" s="8" t="n"/>
      <x:c r="D911" s="8" t="n"/>
    </x:row>
    <x:row r="912">
      <x:c r="A912" s="8" t="n"/>
      <x:c r="B912" s="8" t="n"/>
      <x:c r="C912" s="8" t="n"/>
      <x:c r="D912" s="8" t="n"/>
    </x:row>
    <x:row r="913">
      <x:c r="A913" s="8" t="n"/>
      <x:c r="B913" s="8" t="n"/>
      <x:c r="C913" s="8" t="n"/>
      <x:c r="D913" s="8" t="n"/>
    </x:row>
    <x:row r="914">
      <x:c r="A914" s="8" t="n"/>
      <x:c r="B914" s="8" t="n"/>
      <x:c r="C914" s="8" t="n"/>
      <x:c r="D914" s="8" t="n"/>
    </x:row>
    <x:row r="915">
      <x:c r="A915" s="8" t="n"/>
      <x:c r="B915" s="8" t="n"/>
      <x:c r="C915" s="8" t="n"/>
      <x:c r="D915" s="8" t="n"/>
    </x:row>
    <x:row r="916">
      <x:c r="A916" s="8" t="n"/>
      <x:c r="B916" s="8" t="n"/>
      <x:c r="C916" s="8" t="n"/>
      <x:c r="D916" s="8" t="n"/>
    </x:row>
    <x:row r="917">
      <x:c r="A917" s="8" t="n"/>
      <x:c r="B917" s="8" t="n"/>
      <x:c r="C917" s="8" t="n"/>
      <x:c r="D917" s="8" t="n"/>
    </x:row>
    <x:row r="918">
      <x:c r="A918" s="8" t="n"/>
      <x:c r="B918" s="8" t="n"/>
      <x:c r="C918" s="8" t="n"/>
      <x:c r="D918" s="8" t="n"/>
    </x:row>
    <x:row r="919">
      <x:c r="A919" s="8" t="n"/>
      <x:c r="B919" s="8" t="n"/>
      <x:c r="C919" s="8" t="n"/>
      <x:c r="D919" s="8" t="n"/>
    </x:row>
    <x:row r="920">
      <x:c r="A920" s="8" t="n"/>
      <x:c r="B920" s="8" t="n"/>
      <x:c r="C920" s="8" t="n"/>
      <x:c r="D920" s="8" t="n"/>
    </x:row>
    <x:row r="921">
      <x:c r="A921" s="8" t="n"/>
      <x:c r="B921" s="8" t="n"/>
      <x:c r="C921" s="8" t="n"/>
      <x:c r="D921" s="8" t="n"/>
    </x:row>
    <x:row r="922">
      <x:c r="A922" s="8" t="n"/>
      <x:c r="B922" s="8" t="n"/>
      <x:c r="C922" s="8" t="n"/>
      <x:c r="D922" s="8" t="n"/>
    </x:row>
    <x:row r="923">
      <x:c r="A923" s="8" t="n"/>
      <x:c r="B923" s="8" t="n"/>
      <x:c r="C923" s="8" t="n"/>
      <x:c r="D923" s="8" t="n"/>
    </x:row>
    <x:row r="924">
      <x:c r="A924" s="8" t="n"/>
      <x:c r="B924" s="8" t="n"/>
      <x:c r="C924" s="8" t="n"/>
      <x:c r="D924" s="8" t="n"/>
    </x:row>
    <x:row r="925">
      <x:c r="A925" s="8" t="n"/>
      <x:c r="B925" s="8" t="n"/>
      <x:c r="C925" s="8" t="n"/>
      <x:c r="D925" s="8" t="n"/>
    </x:row>
    <x:row r="926">
      <x:c r="A926" s="8" t="n"/>
      <x:c r="B926" s="8" t="n"/>
      <x:c r="C926" s="8" t="n"/>
      <x:c r="D926" s="8" t="n"/>
    </x:row>
    <x:row r="927">
      <x:c r="A927" s="8" t="n"/>
      <x:c r="B927" s="8" t="n"/>
      <x:c r="C927" s="8" t="n"/>
      <x:c r="D927" s="8" t="n"/>
    </x:row>
    <x:row r="928">
      <x:c r="A928" s="8" t="n"/>
      <x:c r="B928" s="8" t="n"/>
      <x:c r="C928" s="8" t="n"/>
      <x:c r="D928" s="8" t="n"/>
    </x:row>
    <x:row r="929">
      <x:c r="A929" s="8" t="n"/>
      <x:c r="B929" s="8" t="n"/>
      <x:c r="C929" s="8" t="n"/>
      <x:c r="D929" s="8" t="n"/>
    </x:row>
    <x:row r="930">
      <x:c r="A930" s="8" t="n"/>
      <x:c r="B930" s="8" t="n"/>
      <x:c r="C930" s="8" t="n"/>
      <x:c r="D930" s="8" t="n"/>
    </x:row>
    <x:row r="931">
      <x:c r="A931" s="8" t="n"/>
      <x:c r="B931" s="8" t="n"/>
      <x:c r="C931" s="8" t="n"/>
      <x:c r="D931" s="8" t="n"/>
    </x:row>
    <x:row r="932">
      <x:c r="A932" s="8" t="n"/>
      <x:c r="B932" s="8" t="n"/>
      <x:c r="C932" s="8" t="n"/>
      <x:c r="D932" s="8" t="n"/>
    </x:row>
    <x:row r="933">
      <x:c r="A933" s="8" t="n"/>
      <x:c r="B933" s="8" t="n"/>
      <x:c r="C933" s="8" t="n"/>
      <x:c r="D933" s="8" t="n"/>
    </x:row>
    <x:row r="934">
      <x:c r="A934" s="8" t="n"/>
      <x:c r="B934" s="8" t="n"/>
      <x:c r="C934" s="8" t="n"/>
      <x:c r="D934" s="8" t="n"/>
    </x:row>
    <x:row r="935">
      <x:c r="A935" s="8" t="n"/>
      <x:c r="B935" s="8" t="n"/>
      <x:c r="C935" s="8" t="n"/>
      <x:c r="D935" s="8" t="n"/>
    </x:row>
    <x:row r="936">
      <x:c r="A936" s="8" t="n"/>
      <x:c r="B936" s="8" t="n"/>
      <x:c r="C936" s="8" t="n"/>
      <x:c r="D936" s="8" t="n"/>
    </x:row>
    <x:row r="937">
      <x:c r="A937" s="8" t="n"/>
      <x:c r="B937" s="8" t="n"/>
      <x:c r="C937" s="8" t="n"/>
      <x:c r="D937" s="8" t="n"/>
    </x:row>
    <x:row r="938">
      <x:c r="A938" s="8" t="n"/>
      <x:c r="B938" s="8" t="n"/>
      <x:c r="C938" s="8" t="n"/>
      <x:c r="D938" s="8" t="n"/>
    </x:row>
    <x:row r="939">
      <x:c r="A939" s="8" t="n"/>
      <x:c r="B939" s="8" t="n"/>
      <x:c r="C939" s="8" t="n"/>
      <x:c r="D939" s="8" t="n"/>
    </x:row>
    <x:row r="940">
      <x:c r="A940" s="8" t="n"/>
      <x:c r="B940" s="8" t="n"/>
      <x:c r="C940" s="8" t="n"/>
      <x:c r="D940" s="8" t="n"/>
    </x:row>
    <x:row r="941">
      <x:c r="A941" s="8" t="n"/>
      <x:c r="B941" s="8" t="n"/>
      <x:c r="C941" s="8" t="n"/>
      <x:c r="D941" s="8" t="n"/>
    </x:row>
    <x:row r="942">
      <x:c r="A942" s="8" t="n"/>
      <x:c r="B942" s="8" t="n"/>
      <x:c r="C942" s="8" t="n"/>
      <x:c r="D942" s="8" t="n"/>
    </x:row>
    <x:row r="943">
      <x:c r="A943" s="8" t="n"/>
      <x:c r="B943" s="8" t="n"/>
      <x:c r="C943" s="8" t="n"/>
      <x:c r="D943" s="8" t="n"/>
    </x:row>
    <x:row r="944">
      <x:c r="A944" s="8" t="n"/>
      <x:c r="B944" s="8" t="n"/>
      <x:c r="C944" s="8" t="n"/>
      <x:c r="D944" s="8" t="n"/>
    </x:row>
    <x:row r="945">
      <x:c r="A945" s="8" t="n"/>
      <x:c r="B945" s="8" t="n"/>
      <x:c r="C945" s="8" t="n"/>
      <x:c r="D945" s="8" t="n"/>
    </x:row>
    <x:row r="946">
      <x:c r="A946" s="8" t="n"/>
      <x:c r="B946" s="8" t="n"/>
      <x:c r="C946" s="8" t="n"/>
      <x:c r="D946" s="8" t="n"/>
    </x:row>
    <x:row r="947">
      <x:c r="A947" s="8" t="n"/>
      <x:c r="B947" s="8" t="n"/>
      <x:c r="C947" s="8" t="n"/>
      <x:c r="D947" s="8" t="n"/>
    </x:row>
    <x:row r="948">
      <x:c r="A948" s="8" t="n"/>
      <x:c r="B948" s="8" t="n"/>
      <x:c r="C948" s="8" t="n"/>
      <x:c r="D948" s="8" t="n"/>
    </x:row>
    <x:row r="949">
      <x:c r="A949" s="8" t="n"/>
      <x:c r="B949" s="8" t="n"/>
      <x:c r="C949" s="8" t="n"/>
      <x:c r="D949" s="8" t="n"/>
    </x:row>
    <x:row r="950">
      <x:c r="A950" s="8" t="n"/>
      <x:c r="B950" s="8" t="n"/>
      <x:c r="C950" s="8" t="n"/>
      <x:c r="D950" s="8" t="n"/>
    </x:row>
    <x:row r="951">
      <x:c r="A951" s="8" t="n"/>
      <x:c r="B951" s="8" t="n"/>
      <x:c r="C951" s="8" t="n"/>
      <x:c r="D951" s="8" t="n"/>
    </x:row>
    <x:row r="952">
      <x:c r="A952" s="8" t="n"/>
      <x:c r="B952" s="8" t="n"/>
      <x:c r="C952" s="8" t="n"/>
      <x:c r="D952" s="8" t="n"/>
    </x:row>
    <x:row r="953">
      <x:c r="A953" s="8" t="n"/>
      <x:c r="B953" s="8" t="n"/>
      <x:c r="C953" s="8" t="n"/>
      <x:c r="D953" s="8" t="n"/>
    </x:row>
    <x:row r="954">
      <x:c r="A954" s="8" t="n"/>
      <x:c r="B954" s="8" t="n"/>
      <x:c r="C954" s="8" t="n"/>
      <x:c r="D954" s="8" t="n"/>
    </x:row>
    <x:row r="955">
      <x:c r="A955" s="8" t="n"/>
      <x:c r="B955" s="8" t="n"/>
      <x:c r="C955" s="8" t="n"/>
      <x:c r="D955" s="8" t="n"/>
    </x:row>
    <x:row r="956">
      <x:c r="A956" s="8" t="n"/>
      <x:c r="B956" s="8" t="n"/>
      <x:c r="C956" s="8" t="n"/>
      <x:c r="D956" s="8" t="n"/>
    </x:row>
    <x:row r="957">
      <x:c r="A957" s="8" t="n"/>
      <x:c r="B957" s="8" t="n"/>
      <x:c r="C957" s="8" t="n"/>
      <x:c r="D957" s="8" t="n"/>
    </x:row>
    <x:row r="958">
      <x:c r="A958" s="8" t="n"/>
      <x:c r="B958" s="8" t="n"/>
      <x:c r="C958" s="8" t="n"/>
      <x:c r="D958" s="8" t="n"/>
    </x:row>
    <x:row r="959">
      <x:c r="A959" s="8" t="n"/>
      <x:c r="B959" s="8" t="n"/>
      <x:c r="C959" s="8" t="n"/>
      <x:c r="D959" s="8" t="n"/>
    </x:row>
    <x:row r="960">
      <x:c r="A960" s="8" t="n"/>
      <x:c r="B960" s="8" t="n"/>
      <x:c r="C960" s="8" t="n"/>
      <x:c r="D960" s="8" t="n"/>
    </x:row>
    <x:row r="961">
      <x:c r="A961" s="8" t="n"/>
      <x:c r="B961" s="8" t="n"/>
      <x:c r="C961" s="8" t="n"/>
      <x:c r="D961" s="8" t="n"/>
    </x:row>
    <x:row r="962">
      <x:c r="A962" s="8" t="n"/>
      <x:c r="B962" s="8" t="n"/>
      <x:c r="C962" s="8" t="n"/>
      <x:c r="D962" s="8" t="n"/>
    </x:row>
    <x:row r="963">
      <x:c r="A963" s="8" t="n"/>
      <x:c r="B963" s="8" t="n"/>
      <x:c r="C963" s="8" t="n"/>
      <x:c r="D963" s="8" t="n"/>
    </x:row>
    <x:row r="964">
      <x:c r="A964" s="8" t="n"/>
      <x:c r="B964" s="8" t="n"/>
      <x:c r="C964" s="8" t="n"/>
      <x:c r="D964" s="8" t="n"/>
    </x:row>
    <x:row r="965">
      <x:c r="A965" s="8" t="n"/>
      <x:c r="B965" s="8" t="n"/>
      <x:c r="C965" s="8" t="n"/>
      <x:c r="D965" s="8" t="n"/>
    </x:row>
    <x:row r="966">
      <x:c r="A966" s="8" t="n"/>
      <x:c r="B966" s="8" t="n"/>
      <x:c r="C966" s="8" t="n"/>
      <x:c r="D966" s="8" t="n"/>
    </x:row>
    <x:row r="967">
      <x:c r="A967" s="8" t="n"/>
      <x:c r="B967" s="8" t="n"/>
      <x:c r="C967" s="8" t="n"/>
      <x:c r="D967" s="8" t="n"/>
    </x:row>
    <x:row r="968">
      <x:c r="A968" s="8" t="n"/>
      <x:c r="B968" s="8" t="n"/>
      <x:c r="C968" s="8" t="n"/>
      <x:c r="D968" s="8" t="n"/>
    </x:row>
    <x:row r="969">
      <x:c r="A969" s="8" t="n"/>
      <x:c r="B969" s="8" t="n"/>
      <x:c r="C969" s="8" t="n"/>
      <x:c r="D969" s="8" t="n"/>
    </x:row>
    <x:row r="970">
      <x:c r="A970" s="8" t="n"/>
      <x:c r="B970" s="8" t="n"/>
      <x:c r="C970" s="8" t="n"/>
      <x:c r="D970" s="8" t="n"/>
    </x:row>
    <x:row r="971">
      <x:c r="A971" s="8" t="n"/>
      <x:c r="B971" s="8" t="n"/>
      <x:c r="C971" s="8" t="n"/>
      <x:c r="D971" s="8" t="n"/>
    </x:row>
    <x:row r="972">
      <x:c r="A972" s="8" t="n"/>
      <x:c r="B972" s="8" t="n"/>
      <x:c r="C972" s="8" t="n"/>
      <x:c r="D972" s="8" t="n"/>
    </x:row>
    <x:row r="973">
      <x:c r="A973" s="8" t="n"/>
      <x:c r="B973" s="8" t="n"/>
      <x:c r="C973" s="8" t="n"/>
      <x:c r="D973" s="8" t="n"/>
    </x:row>
    <x:row r="974">
      <x:c r="A974" s="8" t="n"/>
      <x:c r="B974" s="8" t="n"/>
      <x:c r="C974" s="8" t="n"/>
      <x:c r="D974" s="8" t="n"/>
    </x:row>
    <x:row r="975">
      <x:c r="A975" s="8" t="n"/>
      <x:c r="B975" s="8" t="n"/>
      <x:c r="C975" s="8" t="n"/>
      <x:c r="D975" s="8" t="n"/>
    </x:row>
    <x:row r="976">
      <x:c r="A976" s="8" t="n"/>
      <x:c r="B976" s="8" t="n"/>
      <x:c r="C976" s="8" t="n"/>
      <x:c r="D976" s="8" t="n"/>
    </x:row>
    <x:row r="977">
      <x:c r="A977" s="8" t="n"/>
      <x:c r="B977" s="8" t="n"/>
      <x:c r="C977" s="8" t="n"/>
      <x:c r="D977" s="8" t="n"/>
    </x:row>
    <x:row r="978">
      <x:c r="A978" s="8" t="n"/>
      <x:c r="B978" s="8" t="n"/>
      <x:c r="C978" s="8" t="n"/>
      <x:c r="D978" s="8" t="n"/>
    </x:row>
    <x:row r="979">
      <x:c r="A979" s="8" t="n"/>
      <x:c r="B979" s="8" t="n"/>
      <x:c r="C979" s="8" t="n"/>
      <x:c r="D979" s="8" t="n"/>
    </x:row>
    <x:row r="980">
      <x:c r="A980" s="8" t="n"/>
      <x:c r="B980" s="8" t="n"/>
      <x:c r="C980" s="8" t="n"/>
      <x:c r="D980" s="8" t="n"/>
    </x:row>
    <x:row r="981">
      <x:c r="A981" s="8" t="n"/>
      <x:c r="B981" s="8" t="n"/>
      <x:c r="C981" s="8" t="n"/>
      <x:c r="D981" s="8" t="n"/>
    </x:row>
    <x:row r="982">
      <x:c r="A982" s="8" t="n"/>
      <x:c r="B982" s="8" t="n"/>
      <x:c r="C982" s="8" t="n"/>
      <x:c r="D982" s="8" t="n"/>
    </x:row>
    <x:row r="983">
      <x:c r="A983" s="8" t="n"/>
      <x:c r="B983" s="8" t="n"/>
      <x:c r="C983" s="8" t="n"/>
      <x:c r="D983" s="8" t="n"/>
    </x:row>
    <x:row r="984">
      <x:c r="A984" s="8" t="n"/>
      <x:c r="B984" s="8" t="n"/>
      <x:c r="C984" s="8" t="n"/>
      <x:c r="D984" s="8" t="n"/>
    </x:row>
    <x:row r="985">
      <x:c r="A985" s="8" t="n"/>
      <x:c r="B985" s="8" t="n"/>
      <x:c r="C985" s="8" t="n"/>
      <x:c r="D985" s="8" t="n"/>
    </x:row>
    <x:row r="986">
      <x:c r="A986" s="8" t="n"/>
      <x:c r="B986" s="8" t="n"/>
      <x:c r="C986" s="8" t="n"/>
      <x:c r="D986" s="8" t="n"/>
    </x:row>
    <x:row r="987">
      <x:c r="A987" s="8" t="n"/>
      <x:c r="B987" s="8" t="n"/>
      <x:c r="C987" s="8" t="n"/>
      <x:c r="D987" s="8" t="n"/>
    </x:row>
    <x:row r="988">
      <x:c r="A988" s="8" t="n"/>
      <x:c r="B988" s="8" t="n"/>
      <x:c r="C988" s="8" t="n"/>
      <x:c r="D988" s="8" t="n"/>
    </x:row>
    <x:row r="989">
      <x:c r="A989" s="8" t="n"/>
      <x:c r="B989" s="8" t="n"/>
      <x:c r="C989" s="8" t="n"/>
      <x:c r="D989" s="8" t="n"/>
    </x:row>
    <x:row r="990">
      <x:c r="A990" s="8" t="n"/>
      <x:c r="B990" s="8" t="n"/>
      <x:c r="C990" s="8" t="n"/>
      <x:c r="D990" s="8" t="n"/>
    </x:row>
    <x:row r="991">
      <x:c r="A991" s="8" t="n"/>
      <x:c r="B991" s="8" t="n"/>
      <x:c r="C991" s="8" t="n"/>
      <x:c r="D991" s="8" t="n"/>
    </x:row>
    <x:row r="992">
      <x:c r="A992" s="8" t="n"/>
      <x:c r="B992" s="8" t="n"/>
      <x:c r="C992" s="8" t="n"/>
      <x:c r="D992" s="8" t="n"/>
    </x:row>
    <x:row r="993">
      <x:c r="A993" s="8" t="n"/>
      <x:c r="B993" s="8" t="n"/>
      <x:c r="C993" s="8" t="n"/>
      <x:c r="D993" s="8" t="n"/>
    </x:row>
    <x:row r="994">
      <x:c r="A994" s="8" t="n"/>
      <x:c r="B994" s="8" t="n"/>
      <x:c r="C994" s="8" t="n"/>
      <x:c r="D994" s="8" t="n"/>
    </x:row>
    <x:row r="995">
      <x:c r="A995" s="8" t="n"/>
      <x:c r="B995" s="8" t="n"/>
      <x:c r="C995" s="8" t="n"/>
      <x:c r="D995" s="8" t="n"/>
    </x:row>
    <x:row r="996">
      <x:c r="A996" s="8" t="n"/>
      <x:c r="B996" s="8" t="n"/>
      <x:c r="C996" s="8" t="n"/>
      <x:c r="D996" s="8" t="n"/>
    </x:row>
    <x:row r="997">
      <x:c r="A997" s="8" t="n"/>
      <x:c r="B997" s="8" t="n"/>
      <x:c r="C997" s="8" t="n"/>
      <x:c r="D997" s="8" t="n"/>
    </x:row>
    <x:row r="998">
      <x:c r="A998" s="8" t="n"/>
      <x:c r="B998" s="8" t="n"/>
      <x:c r="C998" s="8" t="n"/>
      <x:c r="D998" s="8" t="n"/>
    </x:row>
    <x:row r="999">
      <x:c r="A999" s="8" t="n"/>
      <x:c r="B999" s="8" t="n"/>
      <x:c r="C999" s="8" t="n"/>
      <x:c r="D999" s="8" t="n"/>
    </x:row>
    <x:row r="1000">
      <x:c r="A1000" s="8" t="n"/>
      <x:c r="B1000" s="8" t="n"/>
      <x:c r="C1000" s="8" t="n"/>
      <x:c r="D1000" s="8" t="n"/>
    </x:row>
    <x:row r="1001">
      <x:c r="A1001" s="8" t="n"/>
      <x:c r="B1001" s="8" t="n"/>
      <x:c r="C1001" s="8" t="n"/>
      <x:c r="D1001" s="8" t="n"/>
    </x:row>
    <x:row r="1002">
      <x:c r="A1002" s="8" t="n"/>
      <x:c r="B1002" s="8" t="n"/>
      <x:c r="C1002" s="8" t="n"/>
      <x:c r="D1002" s="8" t="n"/>
    </x:row>
    <x:row r="1003">
      <x:c r="A1003" s="8" t="n"/>
      <x:c r="B1003" s="8" t="n"/>
      <x:c r="C1003" s="8" t="n"/>
      <x:c r="D1003" s="8" t="n"/>
    </x:row>
    <x:row r="1004">
      <x:c r="A1004" s="8" t="n"/>
      <x:c r="B1004" s="8" t="n"/>
      <x:c r="C1004" s="8" t="n"/>
      <x:c r="D1004" s="8" t="n"/>
    </x:row>
    <x:row r="1005">
      <x:c r="A1005" s="8" t="n"/>
      <x:c r="B1005" s="8" t="n"/>
      <x:c r="C1005" s="8" t="n"/>
      <x:c r="D1005" s="8" t="n"/>
    </x:row>
    <x:row r="1006">
      <x:c r="A1006" s="8" t="n"/>
      <x:c r="B1006" s="8" t="n"/>
      <x:c r="C1006" s="8" t="n"/>
      <x:c r="D1006" s="8" t="n"/>
    </x:row>
    <x:row r="1007">
      <x:c r="A1007" s="8" t="n"/>
      <x:c r="B1007" s="8" t="n"/>
      <x:c r="C1007" s="8" t="n"/>
      <x:c r="D1007" s="8" t="n"/>
    </x:row>
    <x:row r="1008">
      <x:c r="A1008" s="8" t="n"/>
      <x:c r="B1008" s="8" t="n"/>
      <x:c r="C1008" s="8" t="n"/>
      <x:c r="D1008" s="8" t="n"/>
    </x:row>
    <x:row r="1009">
      <x:c r="A1009" s="8" t="n"/>
      <x:c r="B1009" s="8" t="n"/>
      <x:c r="C1009" s="8" t="n"/>
      <x:c r="D1009" s="8" t="n"/>
    </x:row>
    <x:row r="1010">
      <x:c r="A1010" s="8" t="n"/>
      <x:c r="B1010" s="8" t="n"/>
      <x:c r="C1010" s="8" t="n"/>
      <x:c r="D1010" s="8" t="n"/>
    </x:row>
    <x:row r="1011">
      <x:c r="A1011" s="8" t="n"/>
      <x:c r="B1011" s="8" t="n"/>
      <x:c r="C1011" s="8" t="n"/>
      <x:c r="D1011" s="8" t="n"/>
    </x:row>
    <x:row r="1012">
      <x:c r="A1012" s="8" t="n"/>
      <x:c r="B1012" s="8" t="n"/>
      <x:c r="C1012" s="8" t="n"/>
      <x:c r="D1012" s="8" t="n"/>
    </x:row>
    <x:row r="1013">
      <x:c r="A1013" s="8" t="n"/>
      <x:c r="B1013" s="8" t="n"/>
      <x:c r="C1013" s="8" t="n"/>
      <x:c r="D1013" s="8" t="n"/>
    </x:row>
    <x:row r="1014">
      <x:c r="A1014" s="8" t="n"/>
      <x:c r="B1014" s="8" t="n"/>
      <x:c r="C1014" s="8" t="n"/>
      <x:c r="D1014" s="8" t="n"/>
    </x:row>
    <x:row r="1015">
      <x:c r="A1015" s="8" t="n"/>
      <x:c r="B1015" s="8" t="n"/>
      <x:c r="C1015" s="8" t="n"/>
      <x:c r="D1015" s="8" t="n"/>
    </x:row>
    <x:row r="1016">
      <x:c r="A1016" s="8" t="n"/>
      <x:c r="B1016" s="8" t="n"/>
      <x:c r="C1016" s="8" t="n"/>
      <x:c r="D1016" s="8" t="n"/>
    </x:row>
    <x:row r="1017">
      <x:c r="A1017" s="8" t="n"/>
      <x:c r="B1017" s="8" t="n"/>
      <x:c r="C1017" s="8" t="n"/>
      <x:c r="D1017" s="8" t="n"/>
    </x:row>
    <x:row r="1018">
      <x:c r="A1018" s="8" t="n"/>
      <x:c r="B1018" s="8" t="n"/>
      <x:c r="C1018" s="8" t="n"/>
      <x:c r="D1018" s="8" t="n"/>
    </x:row>
    <x:row r="1019">
      <x:c r="A1019" s="8" t="n"/>
      <x:c r="B1019" s="8" t="n"/>
      <x:c r="C1019" s="8" t="n"/>
      <x:c r="D1019" s="8" t="n"/>
    </x:row>
    <x:row r="1020">
      <x:c r="A1020" s="8" t="n"/>
      <x:c r="B1020" s="8" t="n"/>
      <x:c r="C1020" s="8" t="n"/>
      <x:c r="D1020" s="8" t="n"/>
    </x:row>
    <x:row r="1021">
      <x:c r="A1021" s="8" t="n"/>
      <x:c r="B1021" s="8" t="n"/>
      <x:c r="C1021" s="8" t="n"/>
      <x:c r="D1021" s="8" t="n"/>
    </x:row>
    <x:row r="1022">
      <x:c r="A1022" s="8" t="n"/>
      <x:c r="B1022" s="8" t="n"/>
      <x:c r="C1022" s="8" t="n"/>
      <x:c r="D1022" s="8" t="n"/>
    </x:row>
    <x:row r="1023">
      <x:c r="A1023" s="8" t="n"/>
      <x:c r="B1023" s="8" t="n"/>
      <x:c r="C1023" s="8" t="n"/>
      <x:c r="D1023" s="8" t="n"/>
    </x:row>
    <x:row r="1024">
      <x:c r="A1024" s="8" t="n"/>
      <x:c r="B1024" s="8" t="n"/>
      <x:c r="C1024" s="8" t="n"/>
      <x:c r="D1024" s="8" t="n"/>
    </x:row>
    <x:row r="1025">
      <x:c r="A1025" s="8" t="n"/>
      <x:c r="B1025" s="8" t="n"/>
      <x:c r="C1025" s="8" t="n"/>
      <x:c r="D1025" s="8" t="n"/>
    </x:row>
    <x:row r="1026">
      <x:c r="A1026" s="8" t="n"/>
      <x:c r="B1026" s="8" t="n"/>
      <x:c r="C1026" s="8" t="n"/>
      <x:c r="D1026" s="8" t="n"/>
    </x:row>
    <x:row r="1027">
      <x:c r="A1027" s="8" t="n"/>
      <x:c r="B1027" s="8" t="n"/>
      <x:c r="C1027" s="8" t="n"/>
      <x:c r="D1027" s="8" t="n"/>
    </x:row>
    <x:row r="1028">
      <x:c r="A1028" s="8" t="n"/>
      <x:c r="B1028" s="8" t="n"/>
      <x:c r="C1028" s="8" t="n"/>
      <x:c r="D1028" s="8" t="n"/>
    </x:row>
    <x:row r="1029">
      <x:c r="A1029" s="8" t="n"/>
      <x:c r="B1029" s="8" t="n"/>
      <x:c r="C1029" s="8" t="n"/>
      <x:c r="D1029" s="8" t="n"/>
    </x:row>
    <x:row r="1030">
      <x:c r="A1030" s="8" t="n"/>
      <x:c r="B1030" s="8" t="n"/>
      <x:c r="C1030" s="8" t="n"/>
      <x:c r="D1030" s="8" t="n"/>
    </x:row>
    <x:row r="1031">
      <x:c r="A1031" s="8" t="n"/>
      <x:c r="B1031" s="8" t="n"/>
      <x:c r="C1031" s="8" t="n"/>
      <x:c r="D1031" s="8" t="n"/>
    </x:row>
    <x:row r="1032">
      <x:c r="A1032" s="8" t="n"/>
      <x:c r="B1032" s="8" t="n"/>
      <x:c r="C1032" s="8" t="n"/>
      <x:c r="D1032" s="8" t="n"/>
    </x:row>
    <x:row r="1033">
      <x:c r="A1033" s="8" t="n"/>
      <x:c r="B1033" s="8" t="n"/>
      <x:c r="C1033" s="8" t="n"/>
      <x:c r="D1033" s="8" t="n"/>
    </x:row>
    <x:row r="1034">
      <x:c r="A1034" s="8" t="n"/>
      <x:c r="B1034" s="8" t="n"/>
      <x:c r="C1034" s="8" t="n"/>
      <x:c r="D1034" s="8" t="n"/>
    </x:row>
    <x:row r="1035">
      <x:c r="A1035" s="8" t="n"/>
      <x:c r="B1035" s="8" t="n"/>
      <x:c r="C1035" s="8" t="n"/>
      <x:c r="D1035" s="8" t="n"/>
    </x:row>
    <x:row r="1036">
      <x:c r="A1036" s="8" t="n"/>
      <x:c r="B1036" s="8" t="n"/>
      <x:c r="C1036" s="8" t="n"/>
      <x:c r="D1036" s="8" t="n"/>
    </x:row>
    <x:row r="1037">
      <x:c r="A1037" s="8" t="n"/>
      <x:c r="B1037" s="8" t="n"/>
      <x:c r="C1037" s="8" t="n"/>
      <x:c r="D1037" s="8" t="n"/>
    </x:row>
    <x:row r="1038">
      <x:c r="A1038" s="8" t="n"/>
      <x:c r="B1038" s="8" t="n"/>
      <x:c r="C1038" s="8" t="n"/>
      <x:c r="D1038" s="8" t="n"/>
    </x:row>
    <x:row r="1039">
      <x:c r="A1039" s="8" t="n"/>
      <x:c r="B1039" s="8" t="n"/>
      <x:c r="C1039" s="8" t="n"/>
      <x:c r="D1039" s="8" t="n"/>
    </x:row>
    <x:row r="1040">
      <x:c r="A1040" s="8" t="n"/>
      <x:c r="B1040" s="8" t="n"/>
      <x:c r="C1040" s="8" t="n"/>
      <x:c r="D1040" s="8" t="n"/>
    </x:row>
    <x:row r="1041">
      <x:c r="A1041" s="8" t="n"/>
      <x:c r="B1041" s="8" t="n"/>
      <x:c r="C1041" s="8" t="n"/>
      <x:c r="D1041" s="8" t="n"/>
    </x:row>
    <x:row r="1042">
      <x:c r="A1042" s="8" t="n"/>
      <x:c r="B1042" s="8" t="n"/>
      <x:c r="C1042" s="8" t="n"/>
      <x:c r="D1042" s="8" t="n"/>
    </x:row>
    <x:row r="1043">
      <x:c r="A1043" s="8" t="n"/>
      <x:c r="B1043" s="8" t="n"/>
      <x:c r="C1043" s="8" t="n"/>
      <x:c r="D1043" s="8" t="n"/>
    </x:row>
    <x:row r="1044">
      <x:c r="A1044" s="8" t="n"/>
      <x:c r="B1044" s="8" t="n"/>
      <x:c r="C1044" s="8" t="n"/>
      <x:c r="D1044" s="8" t="n"/>
    </x:row>
    <x:row r="1045">
      <x:c r="A1045" s="8" t="n"/>
      <x:c r="B1045" s="8" t="n"/>
      <x:c r="C1045" s="8" t="n"/>
      <x:c r="D1045" s="8" t="n"/>
    </x:row>
    <x:row r="1046">
      <x:c r="A1046" s="8" t="n"/>
      <x:c r="B1046" s="8" t="n"/>
      <x:c r="C1046" s="8" t="n"/>
      <x:c r="D1046" s="8" t="n"/>
    </x:row>
    <x:row r="1047">
      <x:c r="A1047" s="8" t="n"/>
      <x:c r="B1047" s="8" t="n"/>
      <x:c r="C1047" s="8" t="n"/>
      <x:c r="D1047" s="8" t="n"/>
    </x:row>
    <x:row r="1048">
      <x:c r="A1048" s="8" t="n"/>
      <x:c r="B1048" s="8" t="n"/>
      <x:c r="C1048" s="8" t="n"/>
      <x:c r="D1048" s="8" t="n"/>
    </x:row>
    <x:row r="1049">
      <x:c r="A1049" s="8" t="n"/>
      <x:c r="B1049" s="8" t="n"/>
      <x:c r="C1049" s="8" t="n"/>
      <x:c r="D1049" s="8" t="n"/>
    </x:row>
    <x:row r="1050">
      <x:c r="A1050" s="8" t="n"/>
      <x:c r="B1050" s="8" t="n"/>
      <x:c r="C1050" s="8" t="n"/>
      <x:c r="D1050" s="8" t="n"/>
    </x:row>
    <x:row r="1051">
      <x:c r="A1051" s="8" t="n"/>
      <x:c r="B1051" s="8" t="n"/>
      <x:c r="C1051" s="8" t="n"/>
      <x:c r="D1051" s="8" t="n"/>
    </x:row>
    <x:row r="1052">
      <x:c r="A1052" s="8" t="n"/>
      <x:c r="B1052" s="8" t="n"/>
      <x:c r="C1052" s="8" t="n"/>
      <x:c r="D1052" s="8" t="n"/>
    </x:row>
    <x:row r="1053">
      <x:c r="A1053" s="8" t="n"/>
      <x:c r="B1053" s="8" t="n"/>
      <x:c r="C1053" s="8" t="n"/>
      <x:c r="D1053" s="8" t="n"/>
    </x:row>
    <x:row r="1054">
      <x:c r="A1054" s="8" t="n"/>
      <x:c r="B1054" s="8" t="n"/>
      <x:c r="C1054" s="8" t="n"/>
      <x:c r="D1054" s="8" t="n"/>
    </x:row>
    <x:row r="1055">
      <x:c r="A1055" s="8" t="n"/>
      <x:c r="B1055" s="8" t="n"/>
      <x:c r="C1055" s="8" t="n"/>
      <x:c r="D1055" s="8" t="n"/>
    </x:row>
    <x:row r="1056">
      <x:c r="A1056" s="8" t="n"/>
      <x:c r="B1056" s="8" t="n"/>
      <x:c r="C1056" s="8" t="n"/>
      <x:c r="D1056" s="8" t="n"/>
    </x:row>
    <x:row r="1057">
      <x:c r="A1057" s="8" t="n"/>
      <x:c r="B1057" s="8" t="n"/>
      <x:c r="C1057" s="8" t="n"/>
      <x:c r="D1057" s="8" t="n"/>
    </x:row>
    <x:row r="1058">
      <x:c r="A1058" s="8" t="n"/>
      <x:c r="B1058" s="8" t="n"/>
      <x:c r="C1058" s="8" t="n"/>
      <x:c r="D1058" s="8" t="n"/>
    </x:row>
    <x:row r="1059">
      <x:c r="A1059" s="8" t="n"/>
      <x:c r="B1059" s="8" t="n"/>
      <x:c r="C1059" s="8" t="n"/>
      <x:c r="D1059" s="8" t="n"/>
    </x:row>
    <x:row r="1060">
      <x:c r="A1060" s="8" t="n"/>
      <x:c r="B1060" s="8" t="n"/>
      <x:c r="C1060" s="8" t="n"/>
      <x:c r="D1060" s="8" t="n"/>
    </x:row>
    <x:row r="1061">
      <x:c r="A1061" s="8" t="n"/>
      <x:c r="B1061" s="8" t="n"/>
      <x:c r="C1061" s="8" t="n"/>
      <x:c r="D1061" s="8" t="n"/>
    </x:row>
    <x:row r="1062">
      <x:c r="A1062" s="8" t="n"/>
      <x:c r="B1062" s="8" t="n"/>
      <x:c r="C1062" s="8" t="n"/>
      <x:c r="D1062" s="8" t="n"/>
    </x:row>
    <x:row r="1063">
      <x:c r="A1063" s="8" t="n"/>
      <x:c r="B1063" s="8" t="n"/>
      <x:c r="C1063" s="8" t="n"/>
      <x:c r="D1063" s="8" t="n"/>
    </x:row>
    <x:row r="1064">
      <x:c r="A1064" s="8" t="n"/>
      <x:c r="B1064" s="8" t="n"/>
      <x:c r="C1064" s="8" t="n"/>
      <x:c r="D1064" s="8" t="n"/>
    </x:row>
    <x:row r="1065">
      <x:c r="A1065" s="8" t="n"/>
      <x:c r="B1065" s="8" t="n"/>
      <x:c r="C1065" s="8" t="n"/>
      <x:c r="D1065" s="8" t="n"/>
    </x:row>
    <x:row r="1066">
      <x:c r="A1066" s="8" t="n"/>
      <x:c r="B1066" s="8" t="n"/>
      <x:c r="C1066" s="8" t="n"/>
      <x:c r="D1066" s="8" t="n"/>
    </x:row>
    <x:row r="1067">
      <x:c r="A1067" s="8" t="n"/>
      <x:c r="B1067" s="8" t="n"/>
      <x:c r="C1067" s="8" t="n"/>
      <x:c r="D1067" s="8" t="n"/>
    </x:row>
    <x:row r="1068">
      <x:c r="A1068" s="8" t="n"/>
      <x:c r="B1068" s="8" t="n"/>
      <x:c r="C1068" s="8" t="n"/>
      <x:c r="D1068" s="8" t="n"/>
    </x:row>
    <x:row r="1069">
      <x:c r="A1069" s="8" t="n"/>
      <x:c r="B1069" s="8" t="n"/>
      <x:c r="C1069" s="8" t="n"/>
      <x:c r="D1069" s="8" t="n"/>
    </x:row>
    <x:row r="1070">
      <x:c r="A1070" s="8" t="n"/>
      <x:c r="B1070" s="8" t="n"/>
      <x:c r="C1070" s="8" t="n"/>
      <x:c r="D1070" s="8" t="n"/>
    </x:row>
    <x:row r="1071">
      <x:c r="A1071" s="8" t="n"/>
      <x:c r="B1071" s="8" t="n"/>
      <x:c r="C1071" s="8" t="n"/>
      <x:c r="D1071" s="8" t="n"/>
    </x:row>
    <x:row r="1072">
      <x:c r="A1072" s="8" t="n"/>
      <x:c r="B1072" s="8" t="n"/>
      <x:c r="C1072" s="8" t="n"/>
      <x:c r="D1072" s="8" t="n"/>
    </x:row>
    <x:row r="1073">
      <x:c r="A1073" s="8" t="n"/>
      <x:c r="B1073" s="8" t="n"/>
      <x:c r="C1073" s="8" t="n"/>
      <x:c r="D1073" s="8" t="n"/>
    </x:row>
    <x:row r="1074">
      <x:c r="A1074" s="8" t="n"/>
      <x:c r="B1074" s="8" t="n"/>
      <x:c r="C1074" s="8" t="n"/>
      <x:c r="D1074" s="8" t="n"/>
    </x:row>
    <x:row r="1075">
      <x:c r="A1075" s="8" t="n"/>
      <x:c r="B1075" s="8" t="n"/>
      <x:c r="C1075" s="8" t="n"/>
      <x:c r="D1075" s="8" t="n"/>
    </x:row>
    <x:row r="1076">
      <x:c r="A1076" s="8" t="n"/>
      <x:c r="B1076" s="8" t="n"/>
      <x:c r="C1076" s="8" t="n"/>
      <x:c r="D1076" s="8" t="n"/>
    </x:row>
    <x:row r="1077">
      <x:c r="A1077" s="8" t="n"/>
      <x:c r="B1077" s="8" t="n"/>
      <x:c r="C1077" s="8" t="n"/>
      <x:c r="D1077" s="8" t="n"/>
    </x:row>
    <x:row r="1078">
      <x:c r="A1078" s="8" t="n"/>
      <x:c r="B1078" s="8" t="n"/>
      <x:c r="C1078" s="8" t="n"/>
      <x:c r="D1078" s="8" t="n"/>
    </x:row>
    <x:row r="1079">
      <x:c r="A1079" s="8" t="n"/>
      <x:c r="B1079" s="8" t="n"/>
      <x:c r="C1079" s="8" t="n"/>
      <x:c r="D1079" s="8" t="n"/>
    </x:row>
    <x:row r="1080">
      <x:c r="A1080" s="8" t="n"/>
      <x:c r="B1080" s="8" t="n"/>
      <x:c r="C1080" s="8" t="n"/>
      <x:c r="D1080" s="8" t="n"/>
    </x:row>
    <x:row r="1081">
      <x:c r="A1081" s="8" t="n"/>
      <x:c r="B1081" s="8" t="n"/>
      <x:c r="C1081" s="8" t="n"/>
      <x:c r="D1081" s="8" t="n"/>
    </x:row>
    <x:row r="1082">
      <x:c r="A1082" s="8" t="n"/>
      <x:c r="B1082" s="8" t="n"/>
      <x:c r="C1082" s="8" t="n"/>
      <x:c r="D1082" s="8" t="n"/>
    </x:row>
    <x:row r="1083">
      <x:c r="A1083" s="8" t="n"/>
      <x:c r="B1083" s="8" t="n"/>
      <x:c r="C1083" s="8" t="n"/>
      <x:c r="D1083" s="8" t="n"/>
    </x:row>
    <x:row r="1084">
      <x:c r="A1084" s="8" t="n"/>
      <x:c r="B1084" s="8" t="n"/>
      <x:c r="C1084" s="8" t="n"/>
      <x:c r="D1084" s="8" t="n"/>
    </x:row>
    <x:row r="1085">
      <x:c r="A1085" s="8" t="n"/>
      <x:c r="B1085" s="8" t="n"/>
      <x:c r="C1085" s="8" t="n"/>
      <x:c r="D1085" s="8" t="n"/>
    </x:row>
    <x:row r="1086">
      <x:c r="A1086" s="8" t="n"/>
      <x:c r="B1086" s="8" t="n"/>
      <x:c r="C1086" s="8" t="n"/>
      <x:c r="D1086" s="8" t="n"/>
    </x:row>
    <x:row r="1087">
      <x:c r="A1087" s="8" t="n"/>
      <x:c r="B1087" s="8" t="n"/>
      <x:c r="C1087" s="8" t="n"/>
      <x:c r="D1087" s="8" t="n"/>
    </x:row>
    <x:row r="1088">
      <x:c r="A1088" s="8" t="n"/>
      <x:c r="B1088" s="8" t="n"/>
      <x:c r="C1088" s="8" t="n"/>
      <x:c r="D1088" s="8" t="n"/>
    </x:row>
    <x:row r="1089">
      <x:c r="A1089" s="8" t="n"/>
      <x:c r="B1089" s="8" t="n"/>
      <x:c r="C1089" s="8" t="n"/>
      <x:c r="D1089" s="8" t="n"/>
    </x:row>
    <x:row r="1090">
      <x:c r="A1090" s="8" t="n"/>
      <x:c r="B1090" s="8" t="n"/>
      <x:c r="C1090" s="8" t="n"/>
      <x:c r="D1090" s="8" t="n"/>
    </x:row>
    <x:row r="1091">
      <x:c r="A1091" s="8" t="n"/>
      <x:c r="B1091" s="8" t="n"/>
      <x:c r="C1091" s="8" t="n"/>
      <x:c r="D1091" s="8" t="n"/>
    </x:row>
    <x:row r="1092">
      <x:c r="A1092" s="8" t="n"/>
      <x:c r="B1092" s="8" t="n"/>
      <x:c r="C1092" s="8" t="n"/>
      <x:c r="D1092" s="8" t="n"/>
    </x:row>
    <x:row r="1093">
      <x:c r="A1093" s="8" t="n"/>
      <x:c r="B1093" s="8" t="n"/>
      <x:c r="C1093" s="8" t="n"/>
      <x:c r="D1093" s="8" t="n"/>
    </x:row>
    <x:row r="1094">
      <x:c r="A1094" s="8" t="n"/>
      <x:c r="B1094" s="8" t="n"/>
      <x:c r="C1094" s="8" t="n"/>
      <x:c r="D1094" s="8" t="n"/>
    </x:row>
    <x:row r="1095">
      <x:c r="A1095" s="8" t="n"/>
      <x:c r="B1095" s="8" t="n"/>
      <x:c r="C1095" s="8" t="n"/>
      <x:c r="D1095" s="8" t="n"/>
    </x:row>
    <x:row r="1096">
      <x:c r="A1096" s="8" t="n"/>
      <x:c r="B1096" s="8" t="n"/>
      <x:c r="C1096" s="8" t="n"/>
      <x:c r="D1096" s="8" t="n"/>
    </x:row>
    <x:row r="1097">
      <x:c r="A1097" s="8" t="n"/>
      <x:c r="B1097" s="8" t="n"/>
      <x:c r="C1097" s="8" t="n"/>
      <x:c r="D1097" s="8" t="n"/>
    </x:row>
    <x:row r="1098">
      <x:c r="A1098" s="8" t="n"/>
      <x:c r="B1098" s="8" t="n"/>
      <x:c r="C1098" s="8" t="n"/>
      <x:c r="D1098" s="8" t="n"/>
    </x:row>
    <x:row r="1099">
      <x:c r="A1099" s="8" t="n"/>
      <x:c r="B1099" s="8" t="n"/>
      <x:c r="C1099" s="8" t="n"/>
      <x:c r="D1099" s="8" t="n"/>
    </x:row>
    <x:row r="1100">
      <x:c r="A1100" s="8" t="n"/>
      <x:c r="B1100" s="8" t="n"/>
      <x:c r="C1100" s="8" t="n"/>
      <x:c r="D1100" s="8" t="n"/>
    </x:row>
    <x:row r="1101">
      <x:c r="A1101" s="8" t="n"/>
      <x:c r="B1101" s="8" t="n"/>
      <x:c r="C1101" s="8" t="n"/>
      <x:c r="D1101" s="8" t="n"/>
    </x:row>
    <x:row r="1102">
      <x:c r="A1102" s="8" t="n"/>
      <x:c r="B1102" s="8" t="n"/>
      <x:c r="C1102" s="8" t="n"/>
      <x:c r="D1102" s="8" t="n"/>
    </x:row>
    <x:row r="1103">
      <x:c r="A1103" s="8" t="n"/>
      <x:c r="B1103" s="8" t="n"/>
      <x:c r="C1103" s="8" t="n"/>
      <x:c r="D1103" s="8" t="n"/>
    </x:row>
    <x:row r="1104">
      <x:c r="A1104" s="8" t="n"/>
      <x:c r="B1104" s="8" t="n"/>
      <x:c r="C1104" s="8" t="n"/>
      <x:c r="D1104" s="8" t="n"/>
    </x:row>
    <x:row r="1105">
      <x:c r="A1105" s="8" t="n"/>
      <x:c r="B1105" s="8" t="n"/>
      <x:c r="C1105" s="8" t="n"/>
      <x:c r="D1105" s="8" t="n"/>
    </x:row>
    <x:row r="1106">
      <x:c r="A1106" s="8" t="n"/>
      <x:c r="B1106" s="8" t="n"/>
      <x:c r="C1106" s="8" t="n"/>
      <x:c r="D1106" s="8" t="n"/>
    </x:row>
    <x:row r="1107">
      <x:c r="A1107" s="8" t="n"/>
      <x:c r="B1107" s="8" t="n"/>
      <x:c r="C1107" s="8" t="n"/>
      <x:c r="D1107" s="8" t="n"/>
    </x:row>
    <x:row r="1108">
      <x:c r="A1108" s="8" t="n"/>
      <x:c r="B1108" s="8" t="n"/>
      <x:c r="C1108" s="8" t="n"/>
      <x:c r="D1108" s="8" t="n"/>
    </x:row>
    <x:row r="1109">
      <x:c r="A1109" s="8" t="n"/>
      <x:c r="B1109" s="8" t="n"/>
      <x:c r="C1109" s="8" t="n"/>
      <x:c r="D1109" s="8" t="n"/>
    </x:row>
    <x:row r="1110">
      <x:c r="A1110" s="8" t="n"/>
      <x:c r="B1110" s="8" t="n"/>
      <x:c r="C1110" s="8" t="n"/>
      <x:c r="D1110" s="8" t="n"/>
    </x:row>
    <x:row r="1111">
      <x:c r="A1111" s="8" t="n"/>
      <x:c r="B1111" s="8" t="n"/>
      <x:c r="C1111" s="8" t="n"/>
      <x:c r="D1111" s="8" t="n"/>
    </x:row>
    <x:row r="1112">
      <x:c r="A1112" s="8" t="n"/>
      <x:c r="B1112" s="8" t="n"/>
      <x:c r="C1112" s="8" t="n"/>
      <x:c r="D1112" s="8" t="n"/>
    </x:row>
    <x:row r="1113">
      <x:c r="A1113" s="8" t="n"/>
      <x:c r="B1113" s="8" t="n"/>
      <x:c r="C1113" s="8" t="n"/>
      <x:c r="D1113" s="8" t="n"/>
    </x:row>
    <x:row r="1114">
      <x:c r="A1114" s="8" t="n"/>
      <x:c r="B1114" s="8" t="n"/>
      <x:c r="C1114" s="8" t="n"/>
      <x:c r="D1114" s="8" t="n"/>
    </x:row>
    <x:row r="1115">
      <x:c r="A1115" s="8" t="n"/>
      <x:c r="B1115" s="8" t="n"/>
      <x:c r="C1115" s="8" t="n"/>
      <x:c r="D1115" s="8" t="n"/>
    </x:row>
    <x:row r="1116">
      <x:c r="A1116" s="8" t="n"/>
      <x:c r="B1116" s="8" t="n"/>
      <x:c r="C1116" s="8" t="n"/>
      <x:c r="D1116" s="8" t="n"/>
    </x:row>
    <x:row r="1117">
      <x:c r="A1117" s="8" t="n"/>
      <x:c r="B1117" s="8" t="n"/>
      <x:c r="C1117" s="8" t="n"/>
      <x:c r="D1117" s="8" t="n"/>
    </x:row>
    <x:row r="1118">
      <x:c r="A1118" s="8" t="n"/>
      <x:c r="B1118" s="8" t="n"/>
      <x:c r="C1118" s="8" t="n"/>
      <x:c r="D1118" s="8" t="n"/>
    </x:row>
    <x:row r="1119">
      <x:c r="A1119" s="8" t="n"/>
      <x:c r="B1119" s="8" t="n"/>
      <x:c r="C1119" s="8" t="n"/>
      <x:c r="D1119" s="8" t="n"/>
    </x:row>
    <x:row r="1120">
      <x:c r="A1120" s="8" t="n"/>
      <x:c r="B1120" s="8" t="n"/>
      <x:c r="C1120" s="8" t="n"/>
      <x:c r="D1120" s="8" t="n"/>
    </x:row>
    <x:row r="1121">
      <x:c r="A1121" s="8" t="n"/>
      <x:c r="B1121" s="8" t="n"/>
      <x:c r="C1121" s="8" t="n"/>
      <x:c r="D1121" s="8" t="n"/>
    </x:row>
    <x:row r="1122">
      <x:c r="A1122" s="8" t="n"/>
      <x:c r="B1122" s="8" t="n"/>
      <x:c r="C1122" s="8" t="n"/>
      <x:c r="D1122" s="8" t="n"/>
    </x:row>
    <x:row r="1123">
      <x:c r="A1123" s="8" t="n"/>
      <x:c r="B1123" s="8" t="n"/>
      <x:c r="C1123" s="8" t="n"/>
      <x:c r="D1123" s="8" t="n"/>
    </x:row>
    <x:row r="1124">
      <x:c r="A1124" s="8" t="n"/>
      <x:c r="B1124" s="8" t="n"/>
      <x:c r="C1124" s="8" t="n"/>
      <x:c r="D1124" s="8" t="n"/>
    </x:row>
    <x:row r="1125">
      <x:c r="A1125" s="8" t="n"/>
      <x:c r="B1125" s="8" t="n"/>
      <x:c r="C1125" s="8" t="n"/>
      <x:c r="D1125" s="8" t="n"/>
    </x:row>
    <x:row r="1126">
      <x:c r="A1126" s="8" t="n"/>
      <x:c r="B1126" s="8" t="n"/>
      <x:c r="C1126" s="8" t="n"/>
      <x:c r="D1126" s="8" t="n"/>
    </x:row>
    <x:row r="1127">
      <x:c r="A1127" s="8" t="n"/>
      <x:c r="B1127" s="8" t="n"/>
      <x:c r="C1127" s="8" t="n"/>
      <x:c r="D1127" s="8" t="n"/>
    </x:row>
    <x:row r="1128">
      <x:c r="A1128" s="8" t="n"/>
      <x:c r="B1128" s="8" t="n"/>
      <x:c r="C1128" s="8" t="n"/>
      <x:c r="D1128" s="8" t="n"/>
    </x:row>
    <x:row r="1129">
      <x:c r="A1129" s="8" t="n"/>
      <x:c r="B1129" s="8" t="n"/>
      <x:c r="C1129" s="8" t="n"/>
      <x:c r="D1129" s="8" t="n"/>
    </x:row>
    <x:row r="1130">
      <x:c r="A1130" s="8" t="n"/>
      <x:c r="B1130" s="8" t="n"/>
      <x:c r="C1130" s="8" t="n"/>
      <x:c r="D1130" s="8" t="n"/>
    </x:row>
    <x:row r="1131">
      <x:c r="A1131" s="8" t="n"/>
      <x:c r="B1131" s="8" t="n"/>
      <x:c r="C1131" s="8" t="n"/>
      <x:c r="D1131" s="8" t="n"/>
    </x:row>
    <x:row r="1132">
      <x:c r="A1132" s="8" t="n"/>
      <x:c r="B1132" s="8" t="n"/>
      <x:c r="C1132" s="8" t="n"/>
      <x:c r="D1132" s="8" t="n"/>
    </x:row>
    <x:row r="1133">
      <x:c r="A1133" s="8" t="n"/>
      <x:c r="B1133" s="8" t="n"/>
      <x:c r="C1133" s="8" t="n"/>
      <x:c r="D1133" s="8" t="n"/>
    </x:row>
    <x:row r="1134">
      <x:c r="A1134" s="8" t="n"/>
      <x:c r="B1134" s="8" t="n"/>
      <x:c r="C1134" s="8" t="n"/>
      <x:c r="D1134" s="8" t="n"/>
    </x:row>
    <x:row r="1135">
      <x:c r="A1135" s="8" t="n"/>
      <x:c r="B1135" s="8" t="n"/>
      <x:c r="C1135" s="8" t="n"/>
      <x:c r="D1135" s="8" t="n"/>
    </x:row>
    <x:row r="1136">
      <x:c r="A1136" s="8" t="n"/>
      <x:c r="B1136" s="8" t="n"/>
      <x:c r="C1136" s="8" t="n"/>
      <x:c r="D1136" s="8" t="n"/>
    </x:row>
    <x:row r="1137">
      <x:c r="A1137" s="8" t="n"/>
      <x:c r="B1137" s="8" t="n"/>
      <x:c r="C1137" s="8" t="n"/>
      <x:c r="D1137" s="8" t="n"/>
    </x:row>
    <x:row r="1138">
      <x:c r="A1138" s="8" t="n"/>
      <x:c r="B1138" s="8" t="n"/>
      <x:c r="C1138" s="8" t="n"/>
      <x:c r="D1138" s="8" t="n"/>
    </x:row>
    <x:row r="1139">
      <x:c r="A1139" s="8" t="n"/>
      <x:c r="B1139" s="8" t="n"/>
      <x:c r="C1139" s="8" t="n"/>
      <x:c r="D1139" s="8" t="n"/>
    </x:row>
    <x:row r="1140">
      <x:c r="A1140" s="8" t="n"/>
      <x:c r="B1140" s="8" t="n"/>
      <x:c r="C1140" s="8" t="n"/>
      <x:c r="D1140" s="8" t="n"/>
    </x:row>
    <x:row r="1141">
      <x:c r="A1141" s="8" t="n"/>
      <x:c r="B1141" s="8" t="n"/>
      <x:c r="C1141" s="8" t="n"/>
      <x:c r="D1141" s="8" t="n"/>
    </x:row>
    <x:row r="1142">
      <x:c r="A1142" s="8" t="n"/>
      <x:c r="B1142" s="8" t="n"/>
      <x:c r="C1142" s="8" t="n"/>
      <x:c r="D1142" s="8" t="n"/>
    </x:row>
    <x:row r="1143">
      <x:c r="A1143" s="8" t="n"/>
      <x:c r="B1143" s="8" t="n"/>
      <x:c r="C1143" s="8" t="n"/>
      <x:c r="D1143" s="8" t="n"/>
    </x:row>
    <x:row r="1144">
      <x:c r="A1144" s="8" t="n"/>
      <x:c r="B1144" s="8" t="n"/>
      <x:c r="C1144" s="8" t="n"/>
      <x:c r="D1144" s="8" t="n"/>
    </x:row>
    <x:row r="1145">
      <x:c r="A1145" s="8" t="n"/>
      <x:c r="B1145" s="8" t="n"/>
      <x:c r="C1145" s="8" t="n"/>
      <x:c r="D1145" s="8" t="n"/>
    </x:row>
    <x:row r="1146">
      <x:c r="A1146" s="8" t="n"/>
      <x:c r="B1146" s="8" t="n"/>
      <x:c r="C1146" s="8" t="n"/>
      <x:c r="D1146" s="8" t="n"/>
    </x:row>
    <x:row r="1147">
      <x:c r="A1147" s="8" t="n"/>
      <x:c r="B1147" s="8" t="n"/>
      <x:c r="C1147" s="8" t="n"/>
      <x:c r="D1147" s="8" t="n"/>
    </x:row>
    <x:row r="1148">
      <x:c r="A1148" s="8" t="n"/>
      <x:c r="B1148" s="8" t="n"/>
      <x:c r="C1148" s="8" t="n"/>
      <x:c r="D1148" s="8" t="n"/>
    </x:row>
    <x:row r="1149">
      <x:c r="A1149" s="8" t="n"/>
      <x:c r="B1149" s="8" t="n"/>
      <x:c r="C1149" s="8" t="n"/>
      <x:c r="D1149" s="8" t="n"/>
    </x:row>
    <x:row r="1150">
      <x:c r="A1150" s="8" t="n"/>
      <x:c r="B1150" s="8" t="n"/>
      <x:c r="C1150" s="8" t="n"/>
      <x:c r="D1150" s="8" t="n"/>
    </x:row>
    <x:row r="1151">
      <x:c r="A1151" s="8" t="n"/>
      <x:c r="B1151" s="8" t="n"/>
      <x:c r="C1151" s="8" t="n"/>
      <x:c r="D1151" s="8" t="n"/>
    </x:row>
    <x:row r="1152">
      <x:c r="A1152" s="8" t="n"/>
      <x:c r="B1152" s="8" t="n"/>
      <x:c r="C1152" s="8" t="n"/>
      <x:c r="D1152" s="8" t="n"/>
    </x:row>
    <x:row r="1153">
      <x:c r="A1153" s="8" t="n"/>
      <x:c r="B1153" s="8" t="n"/>
      <x:c r="C1153" s="8" t="n"/>
      <x:c r="D1153" s="8" t="n"/>
    </x:row>
    <x:row r="1154">
      <x:c r="A1154" s="8" t="n"/>
      <x:c r="B1154" s="8" t="n"/>
      <x:c r="C1154" s="8" t="n"/>
      <x:c r="D1154" s="8" t="n"/>
    </x:row>
    <x:row r="1155">
      <x:c r="A1155" s="8" t="n"/>
      <x:c r="B1155" s="8" t="n"/>
      <x:c r="C1155" s="8" t="n"/>
      <x:c r="D1155" s="8" t="n"/>
    </x:row>
    <x:row r="1156">
      <x:c r="A1156" s="8" t="n"/>
      <x:c r="B1156" s="8" t="n"/>
      <x:c r="C1156" s="8" t="n"/>
      <x:c r="D1156" s="8" t="n"/>
    </x:row>
    <x:row r="1157">
      <x:c r="A1157" s="8" t="n"/>
      <x:c r="B1157" s="8" t="n"/>
      <x:c r="C1157" s="8" t="n"/>
      <x:c r="D1157" s="8" t="n"/>
    </x:row>
    <x:row r="1158">
      <x:c r="A1158" s="8" t="n"/>
      <x:c r="B1158" s="8" t="n"/>
      <x:c r="C1158" s="8" t="n"/>
      <x:c r="D1158" s="8" t="n"/>
    </x:row>
    <x:row r="1159">
      <x:c r="A1159" s="8" t="n"/>
      <x:c r="B1159" s="8" t="n"/>
      <x:c r="C1159" s="8" t="n"/>
      <x:c r="D1159" s="8" t="n"/>
    </x:row>
    <x:row r="1160">
      <x:c r="A1160" s="8" t="n"/>
      <x:c r="B1160" s="8" t="n"/>
      <x:c r="C1160" s="8" t="n"/>
      <x:c r="D1160" s="8" t="n"/>
    </x:row>
    <x:row r="1161">
      <x:c r="A1161" s="8" t="n"/>
      <x:c r="B1161" s="8" t="n"/>
      <x:c r="C1161" s="8" t="n"/>
      <x:c r="D1161" s="8" t="n"/>
    </x:row>
    <x:row r="1162">
      <x:c r="A1162" s="8" t="n"/>
      <x:c r="B1162" s="8" t="n"/>
      <x:c r="C1162" s="8" t="n"/>
      <x:c r="D1162" s="8" t="n"/>
    </x:row>
    <x:row r="1163">
      <x:c r="A1163" s="8" t="n"/>
      <x:c r="B1163" s="8" t="n"/>
      <x:c r="C1163" s="8" t="n"/>
      <x:c r="D1163" s="8" t="n"/>
    </x:row>
    <x:row r="1164">
      <x:c r="A1164" s="8" t="n"/>
      <x:c r="B1164" s="8" t="n"/>
      <x:c r="C1164" s="8" t="n"/>
      <x:c r="D1164" s="8" t="n"/>
    </x:row>
    <x:row r="1165">
      <x:c r="A1165" s="8" t="n"/>
      <x:c r="B1165" s="8" t="n"/>
      <x:c r="C1165" s="8" t="n"/>
      <x:c r="D1165" s="8" t="n"/>
    </x:row>
    <x:row r="1166">
      <x:c r="A1166" s="8" t="n"/>
      <x:c r="B1166" s="8" t="n"/>
      <x:c r="C1166" s="8" t="n"/>
      <x:c r="D1166" s="8" t="n"/>
    </x:row>
    <x:row r="1167">
      <x:c r="A1167" s="8" t="n"/>
      <x:c r="B1167" s="8" t="n"/>
      <x:c r="C1167" s="8" t="n"/>
      <x:c r="D1167" s="8" t="n"/>
    </x:row>
    <x:row r="1168">
      <x:c r="A1168" s="8" t="n"/>
      <x:c r="B1168" s="8" t="n"/>
      <x:c r="C1168" s="8" t="n"/>
      <x:c r="D1168" s="8" t="n"/>
    </x:row>
    <x:row r="1169">
      <x:c r="A1169" s="8" t="n"/>
      <x:c r="B1169" s="8" t="n"/>
      <x:c r="C1169" s="8" t="n"/>
      <x:c r="D1169" s="8" t="n"/>
    </x:row>
    <x:row r="1170">
      <x:c r="A1170" s="8" t="n"/>
      <x:c r="B1170" s="8" t="n"/>
      <x:c r="C1170" s="8" t="n"/>
      <x:c r="D1170" s="8" t="n"/>
    </x:row>
    <x:row r="1171">
      <x:c r="A1171" s="8" t="n"/>
      <x:c r="B1171" s="8" t="n"/>
      <x:c r="C1171" s="8" t="n"/>
      <x:c r="D1171" s="8" t="n"/>
    </x:row>
    <x:row r="1172">
      <x:c r="A1172" s="8" t="n"/>
      <x:c r="B1172" s="8" t="n"/>
      <x:c r="C1172" s="8" t="n"/>
      <x:c r="D1172" s="8" t="n"/>
    </x:row>
    <x:row r="1173">
      <x:c r="A1173" s="8" t="n"/>
      <x:c r="B1173" s="8" t="n"/>
      <x:c r="C1173" s="8" t="n"/>
      <x:c r="D1173" s="8" t="n"/>
    </x:row>
    <x:row r="1174">
      <x:c r="A1174" s="8" t="n"/>
      <x:c r="B1174" s="8" t="n"/>
      <x:c r="C1174" s="8" t="n"/>
      <x:c r="D1174" s="8" t="n"/>
    </x:row>
    <x:row r="1175">
      <x:c r="A1175" s="8" t="n"/>
      <x:c r="B1175" s="8" t="n"/>
      <x:c r="C1175" s="8" t="n"/>
      <x:c r="D1175" s="8" t="n"/>
    </x:row>
    <x:row r="1176">
      <x:c r="A1176" s="8" t="n"/>
      <x:c r="B1176" s="8" t="n"/>
      <x:c r="C1176" s="8" t="n"/>
      <x:c r="D1176" s="8" t="n"/>
    </x:row>
    <x:row r="1177">
      <x:c r="A1177" s="8" t="n"/>
      <x:c r="B1177" s="8" t="n"/>
      <x:c r="C1177" s="8" t="n"/>
      <x:c r="D1177" s="8" t="n"/>
    </x:row>
    <x:row r="1178">
      <x:c r="A1178" s="8" t="n"/>
      <x:c r="B1178" s="8" t="n"/>
      <x:c r="C1178" s="8" t="n"/>
      <x:c r="D1178" s="8" t="n"/>
    </x:row>
    <x:row r="1179">
      <x:c r="A1179" s="8" t="n"/>
      <x:c r="B1179" s="8" t="n"/>
      <x:c r="C1179" s="8" t="n"/>
      <x:c r="D1179" s="8" t="n"/>
    </x:row>
    <x:row r="1180">
      <x:c r="A1180" s="8" t="n"/>
      <x:c r="B1180" s="8" t="n"/>
      <x:c r="C1180" s="8" t="n"/>
      <x:c r="D1180" s="8" t="n"/>
    </x:row>
    <x:row r="1181">
      <x:c r="A1181" s="8" t="n"/>
      <x:c r="B1181" s="8" t="n"/>
      <x:c r="C1181" s="8" t="n"/>
      <x:c r="D1181" s="8" t="n"/>
    </x:row>
    <x:row r="1182">
      <x:c r="A1182" s="8" t="n"/>
      <x:c r="B1182" s="8" t="n"/>
      <x:c r="C1182" s="8" t="n"/>
      <x:c r="D1182" s="8" t="n"/>
    </x:row>
    <x:row r="1183">
      <x:c r="A1183" s="8" t="n"/>
      <x:c r="B1183" s="8" t="n"/>
      <x:c r="C1183" s="8" t="n"/>
      <x:c r="D1183" s="8" t="n"/>
    </x:row>
    <x:row r="1184">
      <x:c r="A1184" s="8" t="n"/>
      <x:c r="B1184" s="8" t="n"/>
      <x:c r="C1184" s="8" t="n"/>
      <x:c r="D1184" s="8" t="n"/>
    </x:row>
    <x:row r="1185">
      <x:c r="A1185" s="8" t="n"/>
      <x:c r="B1185" s="8" t="n"/>
      <x:c r="C1185" s="8" t="n"/>
      <x:c r="D1185" s="8" t="n"/>
    </x:row>
    <x:row r="1186">
      <x:c r="A1186" s="8" t="n"/>
      <x:c r="B1186" s="8" t="n"/>
      <x:c r="C1186" s="8" t="n"/>
      <x:c r="D1186" s="8" t="n"/>
    </x:row>
    <x:row r="1187">
      <x:c r="A1187" s="8" t="n"/>
      <x:c r="B1187" s="8" t="n"/>
      <x:c r="C1187" s="8" t="n"/>
      <x:c r="D1187" s="8" t="n"/>
    </x:row>
    <x:row r="1188">
      <x:c r="A1188" s="8" t="n"/>
      <x:c r="B1188" s="8" t="n"/>
      <x:c r="C1188" s="8" t="n"/>
      <x:c r="D1188" s="8" t="n"/>
    </x:row>
    <x:row r="1189">
      <x:c r="A1189" s="8" t="n"/>
      <x:c r="B1189" s="8" t="n"/>
      <x:c r="C1189" s="8" t="n"/>
      <x:c r="D1189" s="8" t="n"/>
    </x:row>
    <x:row r="1190">
      <x:c r="A1190" s="8" t="n"/>
      <x:c r="B1190" s="8" t="n"/>
      <x:c r="C1190" s="8" t="n"/>
      <x:c r="D1190" s="8" t="n"/>
    </x:row>
    <x:row r="1191">
      <x:c r="A1191" s="8" t="n"/>
      <x:c r="B1191" s="8" t="n"/>
      <x:c r="C1191" s="8" t="n"/>
      <x:c r="D1191" s="8" t="n"/>
    </x:row>
    <x:row r="1192">
      <x:c r="A1192" s="8" t="n"/>
      <x:c r="B1192" s="8" t="n"/>
      <x:c r="C1192" s="8" t="n"/>
      <x:c r="D1192" s="8" t="n"/>
    </x:row>
    <x:row r="1193">
      <x:c r="A1193" s="8" t="n"/>
      <x:c r="B1193" s="8" t="n"/>
      <x:c r="C1193" s="8" t="n"/>
      <x:c r="D1193" s="8" t="n"/>
    </x:row>
    <x:row r="1194">
      <x:c r="A1194" s="8" t="n"/>
      <x:c r="B1194" s="8" t="n"/>
      <x:c r="C1194" s="8" t="n"/>
      <x:c r="D1194" s="8" t="n"/>
    </x:row>
    <x:row r="1195">
      <x:c r="A1195" s="8" t="n"/>
      <x:c r="B1195" s="8" t="n"/>
      <x:c r="C1195" s="8" t="n"/>
      <x:c r="D1195" s="8" t="n"/>
    </x:row>
    <x:row r="1196">
      <x:c r="A1196" s="8" t="n"/>
      <x:c r="B1196" s="8" t="n"/>
      <x:c r="C1196" s="8" t="n"/>
      <x:c r="D1196" s="8" t="n"/>
    </x:row>
    <x:row r="1197">
      <x:c r="A1197" s="8" t="n"/>
      <x:c r="B1197" s="8" t="n"/>
      <x:c r="C1197" s="8" t="n"/>
      <x:c r="D1197" s="8" t="n"/>
    </x:row>
    <x:row r="1198">
      <x:c r="A1198" s="8" t="n"/>
      <x:c r="B1198" s="8" t="n"/>
      <x:c r="C1198" s="8" t="n"/>
      <x:c r="D1198" s="8" t="n"/>
    </x:row>
    <x:row r="1199">
      <x:c r="A1199" s="8" t="n"/>
      <x:c r="B1199" s="8" t="n"/>
      <x:c r="C1199" s="8" t="n"/>
      <x:c r="D1199" s="8" t="n"/>
    </x:row>
    <x:row r="1200">
      <x:c r="A1200" s="8" t="n"/>
      <x:c r="B1200" s="8" t="n"/>
      <x:c r="C1200" s="8" t="n"/>
      <x:c r="D1200" s="8" t="n"/>
    </x:row>
    <x:row r="1201">
      <x:c r="A1201" s="8" t="n"/>
      <x:c r="B1201" s="8" t="n"/>
      <x:c r="C1201" s="8" t="n"/>
      <x:c r="D1201" s="8" t="n"/>
    </x:row>
    <x:row r="1202">
      <x:c r="A1202" s="8" t="n"/>
      <x:c r="B1202" s="8" t="n"/>
      <x:c r="C1202" s="8" t="n"/>
      <x:c r="D1202" s="8" t="n"/>
    </x:row>
    <x:row r="1203">
      <x:c r="A1203" s="8" t="n"/>
      <x:c r="B1203" s="8" t="n"/>
      <x:c r="C1203" s="8" t="n"/>
      <x:c r="D1203" s="8" t="n"/>
    </x:row>
    <x:row r="1204">
      <x:c r="A1204" s="8" t="n"/>
      <x:c r="B1204" s="8" t="n"/>
      <x:c r="C1204" s="8" t="n"/>
      <x:c r="D1204" s="8" t="n"/>
    </x:row>
    <x:row r="1205">
      <x:c r="A1205" s="8" t="n"/>
      <x:c r="B1205" s="8" t="n"/>
      <x:c r="C1205" s="8" t="n"/>
      <x:c r="D1205" s="8" t="n"/>
    </x:row>
    <x:row r="1206">
      <x:c r="A1206" s="8" t="n"/>
      <x:c r="B1206" s="8" t="n"/>
      <x:c r="C1206" s="8" t="n"/>
      <x:c r="D1206" s="8" t="n"/>
    </x:row>
    <x:row r="1207">
      <x:c r="A1207" s="8" t="n"/>
      <x:c r="B1207" s="8" t="n"/>
      <x:c r="C1207" s="8" t="n"/>
      <x:c r="D1207" s="8" t="n"/>
    </x:row>
    <x:row r="1208">
      <x:c r="A1208" s="8" t="n"/>
      <x:c r="B1208" s="8" t="n"/>
      <x:c r="C1208" s="8" t="n"/>
      <x:c r="D1208" s="8" t="n"/>
    </x:row>
    <x:row r="1209">
      <x:c r="A1209" s="8" t="n"/>
      <x:c r="B1209" s="8" t="n"/>
      <x:c r="C1209" s="8" t="n"/>
      <x:c r="D1209" s="8" t="n"/>
    </x:row>
    <x:row r="1210">
      <x:c r="A1210" s="8" t="n"/>
      <x:c r="B1210" s="8" t="n"/>
      <x:c r="C1210" s="8" t="n"/>
      <x:c r="D1210" s="8" t="n"/>
    </x:row>
    <x:row r="1211">
      <x:c r="A1211" s="8" t="n"/>
      <x:c r="B1211" s="8" t="n"/>
      <x:c r="C1211" s="8" t="n"/>
      <x:c r="D1211" s="8" t="n"/>
    </x:row>
    <x:row r="1212">
      <x:c r="A1212" s="8" t="n"/>
      <x:c r="B1212" s="8" t="n"/>
      <x:c r="C1212" s="8" t="n"/>
      <x:c r="D1212" s="8" t="n"/>
    </x:row>
    <x:row r="1213">
      <x:c r="A1213" s="8" t="n"/>
      <x:c r="B1213" s="8" t="n"/>
      <x:c r="C1213" s="8" t="n"/>
      <x:c r="D1213" s="8" t="n"/>
    </x:row>
    <x:row r="1214">
      <x:c r="A1214" s="8" t="n"/>
      <x:c r="B1214" s="8" t="n"/>
      <x:c r="C1214" s="8" t="n"/>
      <x:c r="D1214" s="8" t="n"/>
    </x:row>
    <x:row r="1215">
      <x:c r="A1215" s="8" t="n"/>
      <x:c r="B1215" s="8" t="n"/>
      <x:c r="C1215" s="8" t="n"/>
      <x:c r="D1215" s="8" t="n"/>
    </x:row>
    <x:row r="1216">
      <x:c r="A1216" s="8" t="n"/>
      <x:c r="B1216" s="8" t="n"/>
      <x:c r="C1216" s="8" t="n"/>
      <x:c r="D1216" s="8" t="n"/>
    </x:row>
    <x:row r="1217">
      <x:c r="A1217" s="8" t="n"/>
      <x:c r="B1217" s="8" t="n"/>
      <x:c r="C1217" s="8" t="n"/>
      <x:c r="D1217" s="8" t="n"/>
    </x:row>
    <x:row r="1218">
      <x:c r="A1218" s="8" t="n"/>
      <x:c r="B1218" s="8" t="n"/>
      <x:c r="C1218" s="8" t="n"/>
      <x:c r="D1218" s="8" t="n"/>
    </x:row>
    <x:row r="1219">
      <x:c r="A1219" s="8" t="n"/>
      <x:c r="B1219" s="8" t="n"/>
      <x:c r="C1219" s="8" t="n"/>
      <x:c r="D1219" s="8" t="n"/>
    </x:row>
    <x:row r="1220">
      <x:c r="A1220" s="8" t="n"/>
      <x:c r="B1220" s="8" t="n"/>
      <x:c r="C1220" s="8" t="n"/>
      <x:c r="D1220" s="8" t="n"/>
    </x:row>
    <x:row r="1221">
      <x:c r="A1221" s="8" t="n"/>
      <x:c r="B1221" s="8" t="n"/>
      <x:c r="C1221" s="8" t="n"/>
      <x:c r="D1221" s="8" t="n"/>
    </x:row>
    <x:row r="1222">
      <x:c r="A1222" s="8" t="n"/>
      <x:c r="B1222" s="8" t="n"/>
      <x:c r="C1222" s="8" t="n"/>
      <x:c r="D1222" s="8" t="n"/>
    </x:row>
    <x:row r="1223">
      <x:c r="A1223" s="8" t="n"/>
      <x:c r="B1223" s="8" t="n"/>
      <x:c r="C1223" s="8" t="n"/>
      <x:c r="D1223" s="8" t="n"/>
    </x:row>
    <x:row r="1224">
      <x:c r="A1224" s="8" t="n"/>
      <x:c r="B1224" s="8" t="n"/>
      <x:c r="C1224" s="8" t="n"/>
      <x:c r="D1224" s="8" t="n"/>
    </x:row>
    <x:row r="1225">
      <x:c r="A1225" s="8" t="n"/>
      <x:c r="B1225" s="8" t="n"/>
      <x:c r="C1225" s="8" t="n"/>
      <x:c r="D1225" s="8" t="n"/>
    </x:row>
    <x:row r="1226">
      <x:c r="A1226" s="8" t="n"/>
      <x:c r="B1226" s="8" t="n"/>
      <x:c r="C1226" s="8" t="n"/>
      <x:c r="D1226" s="8" t="n"/>
    </x:row>
    <x:row r="1227">
      <x:c r="A1227" s="8" t="n"/>
      <x:c r="B1227" s="8" t="n"/>
      <x:c r="C1227" s="8" t="n"/>
      <x:c r="D1227" s="8" t="n"/>
    </x:row>
    <x:row r="1228">
      <x:c r="A1228" s="8" t="n"/>
      <x:c r="B1228" s="8" t="n"/>
      <x:c r="C1228" s="8" t="n"/>
      <x:c r="D1228" s="8" t="n"/>
    </x:row>
    <x:row r="1229">
      <x:c r="A1229" s="8" t="n"/>
      <x:c r="B1229" s="8" t="n"/>
      <x:c r="C1229" s="8" t="n"/>
      <x:c r="D1229" s="8" t="n"/>
    </x:row>
    <x:row r="1230">
      <x:c r="A1230" s="8" t="n"/>
      <x:c r="B1230" s="8" t="n"/>
      <x:c r="C1230" s="8" t="n"/>
      <x:c r="D1230" s="8" t="n"/>
    </x:row>
    <x:row r="1231">
      <x:c r="A1231" s="8" t="n"/>
      <x:c r="B1231" s="8" t="n"/>
      <x:c r="C1231" s="8" t="n"/>
      <x:c r="D1231" s="8" t="n"/>
    </x:row>
    <x:row r="1232">
      <x:c r="A1232" s="8" t="n"/>
      <x:c r="B1232" s="8" t="n"/>
      <x:c r="C1232" s="8" t="n"/>
      <x:c r="D1232" s="8" t="n"/>
    </x:row>
    <x:row r="1233">
      <x:c r="A1233" s="8" t="n"/>
      <x:c r="B1233" s="8" t="n"/>
      <x:c r="C1233" s="8" t="n"/>
      <x:c r="D1233" s="8" t="n"/>
    </x:row>
    <x:row r="1234">
      <x:c r="A1234" s="8" t="n"/>
      <x:c r="B1234" s="8" t="n"/>
      <x:c r="C1234" s="8" t="n"/>
      <x:c r="D1234" s="8" t="n"/>
    </x:row>
    <x:row r="1235">
      <x:c r="A1235" s="8" t="n"/>
      <x:c r="B1235" s="8" t="n"/>
      <x:c r="C1235" s="8" t="n"/>
      <x:c r="D1235" s="8" t="n"/>
    </x:row>
    <x:row r="1236">
      <x:c r="A1236" s="8" t="n"/>
      <x:c r="B1236" s="8" t="n"/>
      <x:c r="C1236" s="8" t="n"/>
      <x:c r="D1236" s="8" t="n"/>
    </x:row>
    <x:row r="1237">
      <x:c r="A1237" s="8" t="n"/>
      <x:c r="B1237" s="8" t="n"/>
      <x:c r="C1237" s="8" t="n"/>
      <x:c r="D1237" s="8" t="n"/>
    </x:row>
    <x:row r="1238">
      <x:c r="A1238" s="8" t="n"/>
      <x:c r="B1238" s="8" t="n"/>
      <x:c r="C1238" s="8" t="n"/>
      <x:c r="D1238" s="8" t="n"/>
    </x:row>
    <x:row r="1239">
      <x:c r="A1239" s="8" t="n"/>
      <x:c r="B1239" s="8" t="n"/>
      <x:c r="C1239" s="8" t="n"/>
      <x:c r="D1239" s="8" t="n"/>
    </x:row>
    <x:row r="1240">
      <x:c r="A1240" s="8" t="n"/>
      <x:c r="B1240" s="8" t="n"/>
      <x:c r="C1240" s="8" t="n"/>
      <x:c r="D1240" s="8" t="n"/>
    </x:row>
    <x:row r="1241">
      <x:c r="A1241" s="8" t="n"/>
      <x:c r="B1241" s="8" t="n"/>
      <x:c r="C1241" s="8" t="n"/>
      <x:c r="D1241" s="8" t="n"/>
    </x:row>
    <x:row r="1242">
      <x:c r="A1242" s="8" t="n"/>
      <x:c r="B1242" s="8" t="n"/>
      <x:c r="C1242" s="8" t="n"/>
      <x:c r="D1242" s="8" t="n"/>
    </x:row>
    <x:row r="1243">
      <x:c r="A1243" s="8" t="n"/>
      <x:c r="B1243" s="8" t="n"/>
      <x:c r="C1243" s="8" t="n"/>
      <x:c r="D1243" s="8" t="n"/>
    </x:row>
    <x:row r="1244">
      <x:c r="A1244" s="8" t="n"/>
      <x:c r="B1244" s="8" t="n"/>
      <x:c r="C1244" s="8" t="n"/>
      <x:c r="D1244" s="8" t="n"/>
    </x:row>
    <x:row r="1245">
      <x:c r="A1245" s="8" t="n"/>
      <x:c r="B1245" s="8" t="n"/>
      <x:c r="C1245" s="8" t="n"/>
      <x:c r="D1245" s="8" t="n"/>
    </x:row>
    <x:row r="1246">
      <x:c r="A1246" s="8" t="n"/>
      <x:c r="B1246" s="8" t="n"/>
      <x:c r="C1246" s="8" t="n"/>
      <x:c r="D1246" s="8" t="n"/>
    </x:row>
    <x:row r="1247">
      <x:c r="A1247" s="8" t="n"/>
      <x:c r="B1247" s="8" t="n"/>
      <x:c r="C1247" s="8" t="n"/>
      <x:c r="D1247" s="8" t="n"/>
    </x:row>
    <x:row r="1248">
      <x:c r="A1248" s="8" t="n"/>
      <x:c r="B1248" s="8" t="n"/>
      <x:c r="C1248" s="8" t="n"/>
      <x:c r="D1248" s="8" t="n"/>
    </x:row>
    <x:row r="1249">
      <x:c r="A1249" s="8" t="n"/>
      <x:c r="B1249" s="8" t="n"/>
      <x:c r="C1249" s="8" t="n"/>
      <x:c r="D1249" s="8" t="n"/>
    </x:row>
    <x:row r="1250">
      <x:c r="A1250" s="8" t="n"/>
      <x:c r="B1250" s="8" t="n"/>
      <x:c r="C1250" s="8" t="n"/>
      <x:c r="D1250" s="8" t="n"/>
    </x:row>
    <x:row r="1251">
      <x:c r="A1251" s="8" t="n"/>
      <x:c r="B1251" s="8" t="n"/>
      <x:c r="C1251" s="8" t="n"/>
      <x:c r="D1251" s="8" t="n"/>
    </x:row>
    <x:row r="1252">
      <x:c r="A1252" s="8" t="n"/>
      <x:c r="B1252" s="8" t="n"/>
      <x:c r="C1252" s="8" t="n"/>
      <x:c r="D1252" s="8" t="n"/>
    </x:row>
    <x:row r="1253">
      <x:c r="A1253" s="8" t="n"/>
      <x:c r="B1253" s="8" t="n"/>
      <x:c r="C1253" s="8" t="n"/>
      <x:c r="D1253" s="8" t="n"/>
    </x:row>
    <x:row r="1254">
      <x:c r="A1254" s="8" t="n"/>
      <x:c r="B1254" s="8" t="n"/>
      <x:c r="C1254" s="8" t="n"/>
      <x:c r="D1254" s="8" t="n"/>
    </x:row>
    <x:row r="1255">
      <x:c r="A1255" s="8" t="n"/>
      <x:c r="B1255" s="8" t="n"/>
      <x:c r="C1255" s="8" t="n"/>
      <x:c r="D1255" s="8" t="n"/>
    </x:row>
    <x:row r="1256">
      <x:c r="A1256" s="8" t="n"/>
      <x:c r="B1256" s="8" t="n"/>
      <x:c r="C1256" s="8" t="n"/>
      <x:c r="D1256" s="8" t="n"/>
    </x:row>
    <x:row r="1257">
      <x:c r="A1257" s="8" t="n"/>
      <x:c r="B1257" s="8" t="n"/>
      <x:c r="C1257" s="8" t="n"/>
      <x:c r="D1257" s="8" t="n"/>
    </x:row>
    <x:row r="1258">
      <x:c r="A1258" s="8" t="n"/>
      <x:c r="B1258" s="8" t="n"/>
      <x:c r="C1258" s="8" t="n"/>
      <x:c r="D1258" s="8" t="n"/>
    </x:row>
    <x:row r="1259">
      <x:c r="A1259" s="8" t="n"/>
      <x:c r="B1259" s="8" t="n"/>
      <x:c r="C1259" s="8" t="n"/>
      <x:c r="D1259" s="8" t="n"/>
    </x:row>
    <x:row r="1260">
      <x:c r="A1260" s="8" t="n"/>
      <x:c r="B1260" s="8" t="n"/>
      <x:c r="C1260" s="8" t="n"/>
      <x:c r="D1260" s="8" t="n"/>
    </x:row>
    <x:row r="1261">
      <x:c r="A1261" s="8" t="n"/>
      <x:c r="B1261" s="8" t="n"/>
      <x:c r="C1261" s="8" t="n"/>
      <x:c r="D1261" s="8" t="n"/>
    </x:row>
    <x:row r="1262">
      <x:c r="A1262" s="8" t="n"/>
      <x:c r="B1262" s="8" t="n"/>
      <x:c r="C1262" s="8" t="n"/>
      <x:c r="D1262" s="8" t="n"/>
    </x:row>
    <x:row r="1263">
      <x:c r="A1263" s="8" t="n"/>
      <x:c r="B1263" s="8" t="n"/>
      <x:c r="C1263" s="8" t="n"/>
      <x:c r="D1263" s="8" t="n"/>
    </x:row>
    <x:row r="1264">
      <x:c r="A1264" s="8" t="n"/>
      <x:c r="B1264" s="8" t="n"/>
      <x:c r="C1264" s="8" t="n"/>
      <x:c r="D1264" s="8" t="n"/>
    </x:row>
    <x:row r="1265">
      <x:c r="A1265" s="8" t="n"/>
      <x:c r="B1265" s="8" t="n"/>
      <x:c r="C1265" s="8" t="n"/>
      <x:c r="D1265" s="8" t="n"/>
    </x:row>
    <x:row r="1266">
      <x:c r="A1266" s="8" t="n"/>
      <x:c r="B1266" s="8" t="n"/>
      <x:c r="C1266" s="8" t="n"/>
      <x:c r="D1266" s="8" t="n"/>
    </x:row>
    <x:row r="1267">
      <x:c r="A1267" s="8" t="n"/>
      <x:c r="B1267" s="8" t="n"/>
      <x:c r="C1267" s="8" t="n"/>
      <x:c r="D1267" s="8" t="n"/>
    </x:row>
    <x:row r="1268">
      <x:c r="A1268" s="8" t="n"/>
      <x:c r="B1268" s="8" t="n"/>
      <x:c r="C1268" s="8" t="n"/>
      <x:c r="D1268" s="8" t="n"/>
    </x:row>
    <x:row r="1269">
      <x:c r="A1269" s="8" t="n"/>
      <x:c r="B1269" s="8" t="n"/>
      <x:c r="C1269" s="8" t="n"/>
      <x:c r="D1269" s="8" t="n"/>
    </x:row>
    <x:row r="1270">
      <x:c r="A1270" s="8" t="n"/>
      <x:c r="B1270" s="8" t="n"/>
      <x:c r="C1270" s="8" t="n"/>
      <x:c r="D1270" s="8" t="n"/>
    </x:row>
    <x:row r="1271">
      <x:c r="A1271" s="8" t="n"/>
      <x:c r="B1271" s="8" t="n"/>
      <x:c r="C1271" s="8" t="n"/>
      <x:c r="D1271" s="8" t="n"/>
    </x:row>
    <x:row r="1272">
      <x:c r="A1272" s="8" t="n"/>
      <x:c r="B1272" s="8" t="n"/>
      <x:c r="C1272" s="8" t="n"/>
      <x:c r="D1272" s="8" t="n"/>
    </x:row>
    <x:row r="1273">
      <x:c r="A1273" s="8" t="n"/>
      <x:c r="B1273" s="8" t="n"/>
      <x:c r="C1273" s="8" t="n"/>
      <x:c r="D1273" s="8" t="n"/>
    </x:row>
    <x:row r="1274">
      <x:c r="A1274" s="8" t="n"/>
      <x:c r="B1274" s="8" t="n"/>
      <x:c r="C1274" s="8" t="n"/>
      <x:c r="D1274" s="8" t="n"/>
    </x:row>
    <x:row r="1275">
      <x:c r="A1275" s="8" t="n"/>
      <x:c r="B1275" s="8" t="n"/>
      <x:c r="C1275" s="8" t="n"/>
      <x:c r="D1275" s="8" t="n"/>
    </x:row>
    <x:row r="1276">
      <x:c r="A1276" s="8" t="n"/>
      <x:c r="B1276" s="8" t="n"/>
      <x:c r="C1276" s="8" t="n"/>
      <x:c r="D1276" s="8" t="n"/>
    </x:row>
    <x:row r="1277">
      <x:c r="A1277" s="8" t="n"/>
      <x:c r="B1277" s="8" t="n"/>
      <x:c r="C1277" s="8" t="n"/>
      <x:c r="D1277" s="8" t="n"/>
    </x:row>
    <x:row r="1278">
      <x:c r="A1278" s="8" t="n"/>
      <x:c r="B1278" s="8" t="n"/>
      <x:c r="C1278" s="8" t="n"/>
      <x:c r="D1278" s="8" t="n"/>
    </x:row>
    <x:row r="1279">
      <x:c r="A1279" s="8" t="n"/>
      <x:c r="B1279" s="8" t="n"/>
      <x:c r="C1279" s="8" t="n"/>
      <x:c r="D1279" s="8" t="n"/>
    </x:row>
    <x:row r="1280">
      <x:c r="A1280" s="8" t="n"/>
      <x:c r="B1280" s="8" t="n"/>
      <x:c r="C1280" s="8" t="n"/>
      <x:c r="D1280" s="8" t="n"/>
    </x:row>
    <x:row r="1281">
      <x:c r="A1281" s="8" t="n"/>
      <x:c r="B1281" s="8" t="n"/>
      <x:c r="C1281" s="8" t="n"/>
      <x:c r="D1281" s="8" t="n"/>
    </x:row>
    <x:row r="1282">
      <x:c r="A1282" s="8" t="n"/>
      <x:c r="B1282" s="8" t="n"/>
      <x:c r="C1282" s="8" t="n"/>
      <x:c r="D1282" s="8" t="n"/>
    </x:row>
    <x:row r="1283">
      <x:c r="A1283" s="8" t="n"/>
      <x:c r="B1283" s="8" t="n"/>
      <x:c r="C1283" s="8" t="n"/>
      <x:c r="D1283" s="8" t="n"/>
    </x:row>
    <x:row r="1284">
      <x:c r="A1284" s="8" t="n"/>
      <x:c r="B1284" s="8" t="n"/>
      <x:c r="C1284" s="8" t="n"/>
      <x:c r="D1284" s="8" t="n"/>
    </x:row>
    <x:row r="1285">
      <x:c r="A1285" s="8" t="n"/>
      <x:c r="B1285" s="8" t="n"/>
      <x:c r="C1285" s="8" t="n"/>
      <x:c r="D1285" s="8" t="n"/>
    </x:row>
    <x:row r="1286">
      <x:c r="A1286" s="8" t="n"/>
      <x:c r="B1286" s="8" t="n"/>
      <x:c r="C1286" s="8" t="n"/>
      <x:c r="D1286" s="8" t="n"/>
    </x:row>
    <x:row r="1287">
      <x:c r="A1287" s="8" t="n"/>
      <x:c r="B1287" s="8" t="n"/>
      <x:c r="C1287" s="8" t="n"/>
      <x:c r="D1287" s="8" t="n"/>
    </x:row>
    <x:row r="1288">
      <x:c r="A1288" s="8" t="n"/>
      <x:c r="B1288" s="8" t="n"/>
      <x:c r="C1288" s="8" t="n"/>
      <x:c r="D1288" s="8" t="n"/>
    </x:row>
    <x:row r="1289">
      <x:c r="A1289" s="8" t="n"/>
      <x:c r="B1289" s="8" t="n"/>
      <x:c r="C1289" s="8" t="n"/>
      <x:c r="D1289" s="8" t="n"/>
    </x:row>
    <x:row r="1290">
      <x:c r="A1290" s="8" t="n"/>
      <x:c r="B1290" s="8" t="n"/>
      <x:c r="C1290" s="8" t="n"/>
      <x:c r="D1290" s="8" t="n"/>
    </x:row>
    <x:row r="1291">
      <x:c r="A1291" s="8" t="n"/>
      <x:c r="B1291" s="8" t="n"/>
      <x:c r="C1291" s="8" t="n"/>
      <x:c r="D1291" s="8" t="n"/>
    </x:row>
    <x:row r="1292">
      <x:c r="A1292" s="8" t="n"/>
      <x:c r="B1292" s="8" t="n"/>
      <x:c r="C1292" s="8" t="n"/>
      <x:c r="D1292" s="8" t="n"/>
    </x:row>
    <x:row r="1293">
      <x:c r="A1293" s="8" t="n"/>
      <x:c r="B1293" s="8" t="n"/>
      <x:c r="C1293" s="8" t="n"/>
      <x:c r="D1293" s="8" t="n"/>
    </x:row>
    <x:row r="1294">
      <x:c r="A1294" s="8" t="n"/>
      <x:c r="B1294" s="8" t="n"/>
      <x:c r="C1294" s="8" t="n"/>
      <x:c r="D1294" s="8" t="n"/>
    </x:row>
    <x:row r="1295">
      <x:c r="A1295" s="8" t="n"/>
      <x:c r="B1295" s="8" t="n"/>
      <x:c r="C1295" s="8" t="n"/>
      <x:c r="D1295" s="8" t="n"/>
    </x:row>
    <x:row r="1296">
      <x:c r="A1296" s="8" t="n"/>
      <x:c r="B1296" s="8" t="n"/>
      <x:c r="C1296" s="8" t="n"/>
      <x:c r="D1296" s="8" t="n"/>
    </x:row>
    <x:row r="1297">
      <x:c r="A1297" s="8" t="n"/>
      <x:c r="B1297" s="8" t="n"/>
      <x:c r="C1297" s="8" t="n"/>
      <x:c r="D1297" s="8" t="n"/>
    </x:row>
    <x:row r="1298">
      <x:c r="A1298" s="8" t="n"/>
      <x:c r="B1298" s="8" t="n"/>
      <x:c r="C1298" s="8" t="n"/>
      <x:c r="D1298" s="8" t="n"/>
    </x:row>
    <x:row r="1299">
      <x:c r="A1299" s="8" t="n"/>
      <x:c r="B1299" s="8" t="n"/>
      <x:c r="C1299" s="8" t="n"/>
      <x:c r="D1299" s="8" t="n"/>
    </x:row>
    <x:row r="1300">
      <x:c r="A1300" s="8" t="n"/>
      <x:c r="B1300" s="8" t="n"/>
      <x:c r="C1300" s="8" t="n"/>
      <x:c r="D1300" s="8" t="n"/>
    </x:row>
    <x:row r="1301">
      <x:c r="A1301" s="8" t="n"/>
      <x:c r="B1301" s="8" t="n"/>
      <x:c r="C1301" s="8" t="n"/>
      <x:c r="D1301" s="8" t="n"/>
    </x:row>
    <x:row r="1302">
      <x:c r="A1302" s="8" t="n"/>
      <x:c r="B1302" s="8" t="n"/>
      <x:c r="C1302" s="8" t="n"/>
      <x:c r="D1302" s="8" t="n"/>
    </x:row>
    <x:row r="1303">
      <x:c r="A1303" s="8" t="n"/>
      <x:c r="B1303" s="8" t="n"/>
      <x:c r="C1303" s="8" t="n"/>
      <x:c r="D1303" s="8" t="n"/>
    </x:row>
    <x:row r="1304">
      <x:c r="A1304" s="8" t="n"/>
      <x:c r="B1304" s="8" t="n"/>
      <x:c r="C1304" s="8" t="n"/>
      <x:c r="D1304" s="8" t="n"/>
    </x:row>
    <x:row r="1305">
      <x:c r="A1305" s="8" t="n"/>
      <x:c r="B1305" s="8" t="n"/>
      <x:c r="C1305" s="8" t="n"/>
      <x:c r="D1305" s="8" t="n"/>
    </x:row>
    <x:row r="1306">
      <x:c r="A1306" s="8" t="n"/>
      <x:c r="B1306" s="8" t="n"/>
      <x:c r="C1306" s="8" t="n"/>
      <x:c r="D1306" s="8" t="n"/>
    </x:row>
    <x:row r="1307">
      <x:c r="A1307" s="8" t="n"/>
      <x:c r="B1307" s="8" t="n"/>
      <x:c r="C1307" s="8" t="n"/>
      <x:c r="D1307" s="8" t="n"/>
    </x:row>
    <x:row r="1308">
      <x:c r="A1308" s="8" t="n"/>
      <x:c r="B1308" s="8" t="n"/>
      <x:c r="C1308" s="8" t="n"/>
      <x:c r="D1308" s="8" t="n"/>
    </x:row>
    <x:row r="1309">
      <x:c r="A1309" s="8" t="n"/>
      <x:c r="B1309" s="8" t="n"/>
      <x:c r="C1309" s="8" t="n"/>
      <x:c r="D1309" s="8" t="n"/>
    </x:row>
    <x:row r="1310">
      <x:c r="A1310" s="8" t="n"/>
      <x:c r="B1310" s="8" t="n"/>
      <x:c r="C1310" s="8" t="n"/>
      <x:c r="D1310" s="8" t="n"/>
    </x:row>
    <x:row r="1311">
      <x:c r="A1311" s="8" t="n"/>
      <x:c r="B1311" s="8" t="n"/>
      <x:c r="C1311" s="8" t="n"/>
      <x:c r="D1311" s="8" t="n"/>
    </x:row>
    <x:row r="1312">
      <x:c r="A1312" s="8" t="n"/>
      <x:c r="B1312" s="8" t="n"/>
      <x:c r="C1312" s="8" t="n"/>
      <x:c r="D1312" s="8" t="n"/>
    </x:row>
    <x:row r="1313">
      <x:c r="A1313" s="8" t="n"/>
      <x:c r="B1313" s="8" t="n"/>
      <x:c r="C1313" s="8" t="n"/>
      <x:c r="D1313" s="8" t="n"/>
    </x:row>
    <x:row r="1314">
      <x:c r="A1314" s="8" t="n"/>
      <x:c r="B1314" s="8" t="n"/>
      <x:c r="C1314" s="8" t="n"/>
      <x:c r="D1314" s="8" t="n"/>
    </x:row>
    <x:row r="1315">
      <x:c r="A1315" s="8" t="n"/>
      <x:c r="B1315" s="8" t="n"/>
      <x:c r="C1315" s="8" t="n"/>
      <x:c r="D1315" s="8" t="n"/>
    </x:row>
    <x:row r="1316">
      <x:c r="A1316" s="8" t="n"/>
      <x:c r="B1316" s="8" t="n"/>
      <x:c r="C1316" s="8" t="n"/>
      <x:c r="D1316" s="8" t="n"/>
    </x:row>
    <x:row r="1317">
      <x:c r="A1317" s="8" t="n"/>
      <x:c r="B1317" s="8" t="n"/>
      <x:c r="C1317" s="8" t="n"/>
      <x:c r="D1317" s="8" t="n"/>
    </x:row>
    <x:row r="1318">
      <x:c r="A1318" s="8" t="n"/>
      <x:c r="B1318" s="8" t="n"/>
      <x:c r="C1318" s="8" t="n"/>
      <x:c r="D1318" s="8" t="n"/>
    </x:row>
    <x:row r="1319">
      <x:c r="A1319" s="8" t="n"/>
      <x:c r="B1319" s="8" t="n"/>
      <x:c r="C1319" s="8" t="n"/>
      <x:c r="D1319" s="8" t="n"/>
    </x:row>
    <x:row r="1320">
      <x:c r="A1320" s="8" t="n"/>
      <x:c r="B1320" s="8" t="n"/>
      <x:c r="C1320" s="8" t="n"/>
      <x:c r="D1320" s="8" t="n"/>
    </x:row>
    <x:row r="1321">
      <x:c r="A1321" s="8" t="n"/>
      <x:c r="B1321" s="8" t="n"/>
      <x:c r="C1321" s="8" t="n"/>
      <x:c r="D1321" s="8" t="n"/>
    </x:row>
    <x:row r="1322">
      <x:c r="A1322" s="8" t="n"/>
      <x:c r="B1322" s="8" t="n"/>
      <x:c r="C1322" s="8" t="n"/>
      <x:c r="D1322" s="8" t="n"/>
    </x:row>
    <x:row r="1323">
      <x:c r="A1323" s="8" t="n"/>
      <x:c r="B1323" s="8" t="n"/>
      <x:c r="C1323" s="8" t="n"/>
      <x:c r="D1323" s="8" t="n"/>
    </x:row>
    <x:row r="1324">
      <x:c r="A1324" s="8" t="n"/>
      <x:c r="B1324" s="8" t="n"/>
      <x:c r="C1324" s="8" t="n"/>
      <x:c r="D1324" s="8" t="n"/>
    </x:row>
    <x:row r="1325">
      <x:c r="A1325" s="8" t="n"/>
      <x:c r="B1325" s="8" t="n"/>
      <x:c r="C1325" s="8" t="n"/>
      <x:c r="D1325" s="8" t="n"/>
    </x:row>
    <x:row r="1326">
      <x:c r="A1326" s="8" t="n"/>
      <x:c r="B1326" s="8" t="n"/>
      <x:c r="C1326" s="8" t="n"/>
      <x:c r="D1326" s="8" t="n"/>
    </x:row>
    <x:row r="1327">
      <x:c r="A1327" s="8" t="n"/>
      <x:c r="B1327" s="8" t="n"/>
      <x:c r="C1327" s="8" t="n"/>
      <x:c r="D1327" s="8" t="n"/>
    </x:row>
    <x:row r="1328">
      <x:c r="A1328" s="8" t="n"/>
      <x:c r="B1328" s="8" t="n"/>
      <x:c r="C1328" s="8" t="n"/>
      <x:c r="D1328" s="8" t="n"/>
    </x:row>
    <x:row r="1329">
      <x:c r="A1329" s="8" t="n"/>
      <x:c r="B1329" s="8" t="n"/>
      <x:c r="C1329" s="8" t="n"/>
      <x:c r="D1329" s="8" t="n"/>
    </x:row>
    <x:row r="1330">
      <x:c r="A1330" s="8" t="n"/>
      <x:c r="B1330" s="8" t="n"/>
      <x:c r="C1330" s="8" t="n"/>
      <x:c r="D1330" s="8" t="n"/>
    </x:row>
    <x:row r="1331">
      <x:c r="A1331" s="8" t="n"/>
      <x:c r="B1331" s="8" t="n"/>
      <x:c r="C1331" s="8" t="n"/>
      <x:c r="D1331" s="8" t="n"/>
    </x:row>
    <x:row r="1332">
      <x:c r="A1332" s="8" t="n"/>
      <x:c r="B1332" s="8" t="n"/>
      <x:c r="C1332" s="8" t="n"/>
      <x:c r="D1332" s="8" t="n"/>
    </x:row>
    <x:row r="1333">
      <x:c r="A1333" s="8" t="n"/>
      <x:c r="B1333" s="8" t="n"/>
      <x:c r="C1333" s="8" t="n"/>
      <x:c r="D1333" s="8" t="n"/>
    </x:row>
    <x:row r="1334">
      <x:c r="A1334" s="8" t="n"/>
      <x:c r="B1334" s="8" t="n"/>
      <x:c r="C1334" s="8" t="n"/>
      <x:c r="D1334" s="8" t="n"/>
    </x:row>
    <x:row r="1335">
      <x:c r="A1335" s="8" t="n"/>
      <x:c r="B1335" s="8" t="n"/>
      <x:c r="C1335" s="8" t="n"/>
      <x:c r="D1335" s="8" t="n"/>
    </x:row>
    <x:row r="1336">
      <x:c r="A1336" s="8" t="n"/>
      <x:c r="B1336" s="8" t="n"/>
      <x:c r="C1336" s="8" t="n"/>
      <x:c r="D1336" s="8" t="n"/>
    </x:row>
    <x:row r="1337">
      <x:c r="A1337" s="8" t="n"/>
      <x:c r="B1337" s="8" t="n"/>
      <x:c r="C1337" s="8" t="n"/>
      <x:c r="D1337" s="8" t="n"/>
    </x:row>
    <x:row r="1338">
      <x:c r="A1338" s="8" t="n"/>
      <x:c r="B1338" s="8" t="n"/>
      <x:c r="C1338" s="8" t="n"/>
      <x:c r="D1338" s="8" t="n"/>
    </x:row>
    <x:row r="1339">
      <x:c r="A1339" s="8" t="n"/>
      <x:c r="B1339" s="8" t="n"/>
      <x:c r="C1339" s="8" t="n"/>
      <x:c r="D1339" s="8" t="n"/>
    </x:row>
    <x:row r="1340">
      <x:c r="A1340" s="8" t="n"/>
      <x:c r="B1340" s="8" t="n"/>
      <x:c r="C1340" s="8" t="n"/>
      <x:c r="D1340" s="8" t="n"/>
    </x:row>
    <x:row r="1341">
      <x:c r="A1341" s="8" t="n"/>
      <x:c r="B1341" s="8" t="n"/>
      <x:c r="C1341" s="8" t="n"/>
      <x:c r="D1341" s="8" t="n"/>
    </x:row>
    <x:row r="1342">
      <x:c r="A1342" s="8" t="n"/>
      <x:c r="B1342" s="8" t="n"/>
      <x:c r="C1342" s="8" t="n"/>
      <x:c r="D1342" s="8" t="n"/>
    </x:row>
    <x:row r="1343">
      <x:c r="A1343" s="8" t="n"/>
      <x:c r="B1343" s="8" t="n"/>
      <x:c r="C1343" s="8" t="n"/>
      <x:c r="D1343" s="8" t="n"/>
    </x:row>
    <x:row r="1344">
      <x:c r="A1344" s="8" t="n"/>
      <x:c r="B1344" s="8" t="n"/>
      <x:c r="C1344" s="8" t="n"/>
      <x:c r="D1344" s="8" t="n"/>
    </x:row>
    <x:row r="1345">
      <x:c r="A1345" s="8" t="n"/>
      <x:c r="B1345" s="8" t="n"/>
      <x:c r="C1345" s="8" t="n"/>
      <x:c r="D1345" s="8" t="n"/>
    </x:row>
    <x:row r="1346">
      <x:c r="A1346" s="8" t="n"/>
      <x:c r="B1346" s="8" t="n"/>
      <x:c r="C1346" s="8" t="n"/>
      <x:c r="D1346" s="8" t="n"/>
    </x:row>
    <x:row r="1347">
      <x:c r="A1347" s="8" t="n"/>
      <x:c r="B1347" s="8" t="n"/>
      <x:c r="C1347" s="8" t="n"/>
      <x:c r="D1347" s="8" t="n"/>
    </x:row>
    <x:row r="1348">
      <x:c r="A1348" s="8" t="n"/>
      <x:c r="B1348" s="8" t="n"/>
      <x:c r="C1348" s="8" t="n"/>
      <x:c r="D1348" s="8" t="n"/>
    </x:row>
    <x:row r="1349">
      <x:c r="A1349" s="8" t="n"/>
      <x:c r="B1349" s="8" t="n"/>
      <x:c r="C1349" s="8" t="n"/>
      <x:c r="D1349" s="8" t="n"/>
    </x:row>
    <x:row r="1350">
      <x:c r="A1350" s="8" t="n"/>
      <x:c r="B1350" s="8" t="n"/>
      <x:c r="C1350" s="8" t="n"/>
      <x:c r="D1350" s="8" t="n"/>
    </x:row>
    <x:row r="1351">
      <x:c r="A1351" s="8" t="n"/>
      <x:c r="B1351" s="8" t="n"/>
      <x:c r="C1351" s="8" t="n"/>
      <x:c r="D1351" s="8" t="n"/>
    </x:row>
    <x:row r="1352">
      <x:c r="A1352" s="8" t="n"/>
      <x:c r="B1352" s="8" t="n"/>
      <x:c r="C1352" s="8" t="n"/>
      <x:c r="D1352" s="8" t="n"/>
    </x:row>
    <x:row r="1353">
      <x:c r="A1353" s="8" t="n"/>
      <x:c r="B1353" s="8" t="n"/>
      <x:c r="C1353" s="8" t="n"/>
      <x:c r="D1353" s="8" t="n"/>
    </x:row>
    <x:row r="1354">
      <x:c r="A1354" s="8" t="n"/>
      <x:c r="B1354" s="8" t="n"/>
      <x:c r="C1354" s="8" t="n"/>
      <x:c r="D1354" s="8" t="n"/>
    </x:row>
    <x:row r="1355">
      <x:c r="A1355" s="8" t="n"/>
      <x:c r="B1355" s="8" t="n"/>
      <x:c r="C1355" s="8" t="n"/>
      <x:c r="D1355" s="8" t="n"/>
    </x:row>
    <x:row r="1356">
      <x:c r="A1356" s="8" t="n"/>
      <x:c r="B1356" s="8" t="n"/>
      <x:c r="C1356" s="8" t="n"/>
      <x:c r="D1356" s="8" t="n"/>
    </x:row>
    <x:row r="1357">
      <x:c r="A1357" s="8" t="n"/>
      <x:c r="B1357" s="8" t="n"/>
      <x:c r="C1357" s="8" t="n"/>
      <x:c r="D1357" s="8" t="n"/>
    </x:row>
    <x:row r="1358">
      <x:c r="A1358" s="8" t="n"/>
      <x:c r="B1358" s="8" t="n"/>
      <x:c r="C1358" s="8" t="n"/>
      <x:c r="D1358" s="8" t="n"/>
    </x:row>
    <x:row r="1359">
      <x:c r="A1359" s="8" t="n"/>
      <x:c r="B1359" s="8" t="n"/>
      <x:c r="C1359" s="8" t="n"/>
      <x:c r="D1359" s="8" t="n"/>
    </x:row>
    <x:row r="1360">
      <x:c r="A1360" s="8" t="n"/>
      <x:c r="B1360" s="8" t="n"/>
      <x:c r="C1360" s="8" t="n"/>
      <x:c r="D1360" s="8" t="n"/>
    </x:row>
    <x:row r="1361">
      <x:c r="A1361" s="8" t="n"/>
      <x:c r="B1361" s="8" t="n"/>
      <x:c r="C1361" s="8" t="n"/>
      <x:c r="D1361" s="8" t="n"/>
    </x:row>
    <x:row r="1362">
      <x:c r="A1362" s="8" t="n"/>
      <x:c r="B1362" s="8" t="n"/>
      <x:c r="C1362" s="8" t="n"/>
      <x:c r="D1362" s="8" t="n"/>
    </x:row>
    <x:row r="1363">
      <x:c r="A1363" s="8" t="n"/>
      <x:c r="B1363" s="8" t="n"/>
      <x:c r="C1363" s="8" t="n"/>
      <x:c r="D1363" s="8" t="n"/>
    </x:row>
    <x:row r="1364">
      <x:c r="A1364" s="8" t="n"/>
      <x:c r="B1364" s="8" t="n"/>
      <x:c r="C1364" s="8" t="n"/>
      <x:c r="D1364" s="8" t="n"/>
    </x:row>
    <x:row r="1365">
      <x:c r="A1365" s="8" t="n"/>
      <x:c r="B1365" s="8" t="n"/>
      <x:c r="C1365" s="8" t="n"/>
      <x:c r="D1365" s="8" t="n"/>
    </x:row>
    <x:row r="1366">
      <x:c r="A1366" s="8" t="n"/>
      <x:c r="B1366" s="8" t="n"/>
      <x:c r="C1366" s="8" t="n"/>
      <x:c r="D1366" s="8" t="n"/>
    </x:row>
    <x:row r="1367">
      <x:c r="A1367" s="8" t="n"/>
      <x:c r="B1367" s="8" t="n"/>
      <x:c r="C1367" s="8" t="n"/>
      <x:c r="D1367" s="8" t="n"/>
    </x:row>
    <x:row r="1368">
      <x:c r="A1368" s="8" t="n"/>
      <x:c r="B1368" s="8" t="n"/>
      <x:c r="C1368" s="8" t="n"/>
      <x:c r="D1368" s="8" t="n"/>
    </x:row>
    <x:row r="1369">
      <x:c r="A1369" s="8" t="n"/>
      <x:c r="B1369" s="8" t="n"/>
      <x:c r="C1369" s="8" t="n"/>
      <x:c r="D1369" s="8" t="n"/>
    </x:row>
    <x:row r="1370">
      <x:c r="A1370" s="8" t="n"/>
      <x:c r="B1370" s="8" t="n"/>
      <x:c r="C1370" s="8" t="n"/>
      <x:c r="D1370" s="8" t="n"/>
    </x:row>
    <x:row r="1371">
      <x:c r="A1371" s="8" t="n"/>
      <x:c r="B1371" s="8" t="n"/>
      <x:c r="C1371" s="8" t="n"/>
      <x:c r="D1371" s="8" t="n"/>
    </x:row>
    <x:row r="1372">
      <x:c r="A1372" s="8" t="n"/>
      <x:c r="B1372" s="8" t="n"/>
      <x:c r="C1372" s="8" t="n"/>
      <x:c r="D1372" s="8" t="n"/>
    </x:row>
    <x:row r="1373">
      <x:c r="A1373" s="8" t="n"/>
      <x:c r="B1373" s="8" t="n"/>
      <x:c r="C1373" s="8" t="n"/>
      <x:c r="D1373" s="8" t="n"/>
    </x:row>
    <x:row r="1374">
      <x:c r="A1374" s="8" t="n"/>
      <x:c r="B1374" s="8" t="n"/>
      <x:c r="C1374" s="8" t="n"/>
      <x:c r="D1374" s="8" t="n"/>
    </x:row>
    <x:row r="1375">
      <x:c r="A1375" s="8" t="n"/>
      <x:c r="B1375" s="8" t="n"/>
      <x:c r="C1375" s="8" t="n"/>
      <x:c r="D1375" s="8" t="n"/>
    </x:row>
    <x:row r="1376">
      <x:c r="A1376" s="8" t="n"/>
      <x:c r="B1376" s="8" t="n"/>
      <x:c r="C1376" s="8" t="n"/>
      <x:c r="D1376" s="8" t="n"/>
    </x:row>
    <x:row r="1377">
      <x:c r="A1377" s="8" t="n"/>
      <x:c r="B1377" s="8" t="n"/>
      <x:c r="C1377" s="8" t="n"/>
      <x:c r="D1377" s="8" t="n"/>
    </x:row>
    <x:row r="1378">
      <x:c r="A1378" s="8" t="n"/>
      <x:c r="B1378" s="8" t="n"/>
      <x:c r="C1378" s="8" t="n"/>
      <x:c r="D1378" s="8" t="n"/>
    </x:row>
    <x:row r="1379">
      <x:c r="A1379" s="8" t="n"/>
      <x:c r="B1379" s="8" t="n"/>
      <x:c r="C1379" s="8" t="n"/>
      <x:c r="D1379" s="8" t="n"/>
    </x:row>
    <x:row r="1380">
      <x:c r="A1380" s="8" t="n"/>
      <x:c r="B1380" s="8" t="n"/>
      <x:c r="C1380" s="8" t="n"/>
      <x:c r="D1380" s="8" t="n"/>
    </x:row>
    <x:row r="1381">
      <x:c r="A1381" s="8" t="n"/>
      <x:c r="B1381" s="8" t="n"/>
      <x:c r="C1381" s="8" t="n"/>
      <x:c r="D1381" s="8" t="n"/>
    </x:row>
    <x:row r="1382">
      <x:c r="A1382" s="8" t="n"/>
      <x:c r="B1382" s="8" t="n"/>
      <x:c r="C1382" s="8" t="n"/>
      <x:c r="D1382" s="8" t="n"/>
    </x:row>
    <x:row r="1383">
      <x:c r="A1383" s="8" t="n"/>
      <x:c r="B1383" s="8" t="n"/>
      <x:c r="C1383" s="8" t="n"/>
      <x:c r="D1383" s="8" t="n"/>
    </x:row>
    <x:row r="1384">
      <x:c r="A1384" s="8" t="n"/>
      <x:c r="B1384" s="8" t="n"/>
      <x:c r="C1384" s="8" t="n"/>
      <x:c r="D1384" s="8" t="n"/>
    </x:row>
    <x:row r="1385">
      <x:c r="A1385" s="8" t="n"/>
      <x:c r="B1385" s="8" t="n"/>
      <x:c r="C1385" s="8" t="n"/>
      <x:c r="D1385" s="8" t="n"/>
    </x:row>
    <x:row r="1386">
      <x:c r="A1386" s="8" t="n"/>
      <x:c r="B1386" s="8" t="n"/>
      <x:c r="C1386" s="8" t="n"/>
      <x:c r="D1386" s="8" t="n"/>
    </x:row>
    <x:row r="1387">
      <x:c r="A1387" s="8" t="n"/>
      <x:c r="B1387" s="8" t="n"/>
      <x:c r="C1387" s="8" t="n"/>
      <x:c r="D1387" s="8" t="n"/>
    </x:row>
    <x:row r="1388">
      <x:c r="A1388" s="8" t="n"/>
      <x:c r="B1388" s="8" t="n"/>
      <x:c r="C1388" s="8" t="n"/>
      <x:c r="D1388" s="8" t="n"/>
    </x:row>
    <x:row r="1389">
      <x:c r="A1389" s="8" t="n"/>
      <x:c r="B1389" s="8" t="n"/>
      <x:c r="C1389" s="8" t="n"/>
      <x:c r="D1389" s="8" t="n"/>
    </x:row>
    <x:row r="1390">
      <x:c r="A1390" s="8" t="n"/>
      <x:c r="B1390" s="8" t="n"/>
      <x:c r="C1390" s="8" t="n"/>
      <x:c r="D1390" s="8" t="n"/>
    </x:row>
    <x:row r="1391">
      <x:c r="A1391" s="8" t="n"/>
      <x:c r="B1391" s="8" t="n"/>
      <x:c r="C1391" s="8" t="n"/>
      <x:c r="D1391" s="8" t="n"/>
    </x:row>
    <x:row r="1392">
      <x:c r="A1392" s="8" t="n"/>
      <x:c r="B1392" s="8" t="n"/>
      <x:c r="C1392" s="8" t="n"/>
      <x:c r="D1392" s="8" t="n"/>
    </x:row>
    <x:row r="1393">
      <x:c r="A1393" s="8" t="n"/>
      <x:c r="B1393" s="8" t="n"/>
      <x:c r="C1393" s="8" t="n"/>
      <x:c r="D1393" s="8" t="n"/>
    </x:row>
    <x:row r="1394">
      <x:c r="A1394" s="8" t="n"/>
      <x:c r="B1394" s="8" t="n"/>
      <x:c r="C1394" s="8" t="n"/>
      <x:c r="D1394" s="8" t="n"/>
    </x:row>
    <x:row r="1395">
      <x:c r="A1395" s="8" t="n"/>
      <x:c r="B1395" s="8" t="n"/>
      <x:c r="C1395" s="8" t="n"/>
      <x:c r="D1395" s="8" t="n"/>
    </x:row>
    <x:row r="1396">
      <x:c r="A1396" s="8" t="n"/>
      <x:c r="B1396" s="8" t="n"/>
      <x:c r="C1396" s="8" t="n"/>
      <x:c r="D1396" s="8" t="n"/>
    </x:row>
    <x:row r="1397">
      <x:c r="A1397" s="8" t="n"/>
      <x:c r="B1397" s="8" t="n"/>
      <x:c r="C1397" s="8" t="n"/>
      <x:c r="D1397" s="8" t="n"/>
    </x:row>
    <x:row r="1398">
      <x:c r="A1398" s="8" t="n"/>
      <x:c r="B1398" s="8" t="n"/>
      <x:c r="C1398" s="8" t="n"/>
      <x:c r="D1398" s="8" t="n"/>
    </x:row>
    <x:row r="1399">
      <x:c r="A1399" s="8" t="n"/>
      <x:c r="B1399" s="8" t="n"/>
      <x:c r="C1399" s="8" t="n"/>
      <x:c r="D1399" s="8" t="n"/>
    </x:row>
    <x:row r="1400">
      <x:c r="A1400" s="8" t="n"/>
      <x:c r="B1400" s="8" t="n"/>
      <x:c r="C1400" s="8" t="n"/>
      <x:c r="D1400" s="8" t="n"/>
    </x:row>
    <x:row r="1401">
      <x:c r="A1401" s="8" t="n"/>
      <x:c r="B1401" s="8" t="n"/>
      <x:c r="C1401" s="8" t="n"/>
      <x:c r="D1401" s="8" t="n"/>
    </x:row>
    <x:row r="1402">
      <x:c r="A1402" s="8" t="n"/>
      <x:c r="B1402" s="8" t="n"/>
      <x:c r="C1402" s="8" t="n"/>
      <x:c r="D1402" s="8" t="n"/>
    </x:row>
    <x:row r="1403">
      <x:c r="A1403" s="8" t="n"/>
      <x:c r="B1403" s="8" t="n"/>
      <x:c r="C1403" s="8" t="n"/>
      <x:c r="D1403" s="8" t="n"/>
    </x:row>
    <x:row r="1404">
      <x:c r="A1404" s="8" t="n"/>
      <x:c r="B1404" s="8" t="n"/>
      <x:c r="C1404" s="8" t="n"/>
      <x:c r="D1404" s="8" t="n"/>
    </x:row>
    <x:row r="1405">
      <x:c r="A1405" s="8" t="n"/>
      <x:c r="B1405" s="8" t="n"/>
      <x:c r="C1405" s="8" t="n"/>
      <x:c r="D1405" s="8" t="n"/>
    </x:row>
    <x:row r="1406">
      <x:c r="A1406" s="8" t="n"/>
      <x:c r="B1406" s="8" t="n"/>
      <x:c r="C1406" s="8" t="n"/>
      <x:c r="D1406" s="8" t="n"/>
    </x:row>
    <x:row r="1407">
      <x:c r="A1407" s="8" t="n"/>
      <x:c r="B1407" s="8" t="n"/>
      <x:c r="C1407" s="8" t="n"/>
      <x:c r="D1407" s="8" t="n"/>
    </x:row>
    <x:row r="1408">
      <x:c r="A1408" s="8" t="n"/>
      <x:c r="B1408" s="8" t="n"/>
      <x:c r="C1408" s="8" t="n"/>
      <x:c r="D1408" s="8" t="n"/>
    </x:row>
    <x:row r="1409">
      <x:c r="A1409" s="8" t="n"/>
      <x:c r="B1409" s="8" t="n"/>
      <x:c r="C1409" s="8" t="n"/>
      <x:c r="D1409" s="8" t="n"/>
    </x:row>
    <x:row r="1410">
      <x:c r="A1410" s="8" t="n"/>
      <x:c r="B1410" s="8" t="n"/>
      <x:c r="C1410" s="8" t="n"/>
      <x:c r="D1410" s="8" t="n"/>
    </x:row>
    <x:row r="1411">
      <x:c r="A1411" s="8" t="n"/>
      <x:c r="B1411" s="8" t="n"/>
      <x:c r="C1411" s="8" t="n"/>
      <x:c r="D1411" s="8" t="n"/>
    </x:row>
    <x:row r="1412">
      <x:c r="A1412" s="8" t="n"/>
      <x:c r="B1412" s="8" t="n"/>
      <x:c r="C1412" s="8" t="n"/>
      <x:c r="D1412" s="8" t="n"/>
    </x:row>
    <x:row r="1413">
      <x:c r="A1413" s="8" t="n"/>
      <x:c r="B1413" s="8" t="n"/>
      <x:c r="C1413" s="8" t="n"/>
      <x:c r="D1413" s="8" t="n"/>
    </x:row>
    <x:row r="1414">
      <x:c r="A1414" s="8" t="n"/>
      <x:c r="B1414" s="8" t="n"/>
      <x:c r="C1414" s="8" t="n"/>
      <x:c r="D1414" s="8" t="n"/>
    </x:row>
    <x:row r="1415">
      <x:c r="A1415" s="8" t="n"/>
      <x:c r="B1415" s="8" t="n"/>
      <x:c r="C1415" s="8" t="n"/>
      <x:c r="D1415" s="8" t="n"/>
    </x:row>
    <x:row r="1416">
      <x:c r="A1416" s="8" t="n"/>
      <x:c r="B1416" s="8" t="n"/>
      <x:c r="C1416" s="8" t="n"/>
      <x:c r="D1416" s="8" t="n"/>
    </x:row>
    <x:row r="1417">
      <x:c r="A1417" s="8" t="n"/>
      <x:c r="B1417" s="8" t="n"/>
      <x:c r="C1417" s="8" t="n"/>
      <x:c r="D1417" s="8" t="n"/>
    </x:row>
    <x:row r="1418">
      <x:c r="A1418" s="8" t="n"/>
      <x:c r="B1418" s="8" t="n"/>
      <x:c r="C1418" s="8" t="n"/>
      <x:c r="D1418" s="8" t="n"/>
    </x:row>
    <x:row r="1419">
      <x:c r="A1419" s="8" t="n"/>
      <x:c r="B1419" s="8" t="n"/>
      <x:c r="C1419" s="8" t="n"/>
      <x:c r="D1419" s="8" t="n"/>
    </x:row>
    <x:row r="1420">
      <x:c r="A1420" s="8" t="n"/>
      <x:c r="B1420" s="8" t="n"/>
      <x:c r="C1420" s="8" t="n"/>
      <x:c r="D1420" s="8" t="n"/>
    </x:row>
    <x:row r="1421">
      <x:c r="A1421" s="8" t="n"/>
      <x:c r="B1421" s="8" t="n"/>
      <x:c r="C1421" s="8" t="n"/>
      <x:c r="D1421" s="8" t="n"/>
    </x:row>
    <x:row r="1422">
      <x:c r="A1422" s="8" t="n"/>
      <x:c r="B1422" s="8" t="n"/>
      <x:c r="C1422" s="8" t="n"/>
      <x:c r="D1422" s="8" t="n"/>
    </x:row>
    <x:row r="1423">
      <x:c r="A1423" s="8" t="n"/>
      <x:c r="B1423" s="8" t="n"/>
      <x:c r="C1423" s="8" t="n"/>
      <x:c r="D1423" s="8" t="n"/>
    </x:row>
    <x:row r="1424">
      <x:c r="A1424" s="8" t="n"/>
      <x:c r="B1424" s="8" t="n"/>
      <x:c r="C1424" s="8" t="n"/>
      <x:c r="D1424" s="8" t="n"/>
    </x:row>
    <x:row r="1425">
      <x:c r="A1425" s="8" t="n"/>
      <x:c r="B1425" s="8" t="n"/>
      <x:c r="C1425" s="8" t="n"/>
      <x:c r="D1425" s="8" t="n"/>
    </x:row>
    <x:row r="1426">
      <x:c r="A1426" s="8" t="n"/>
      <x:c r="B1426" s="8" t="n"/>
      <x:c r="C1426" s="8" t="n"/>
      <x:c r="D1426" s="8" t="n"/>
    </x:row>
    <x:row r="1427">
      <x:c r="A1427" s="8" t="n"/>
      <x:c r="B1427" s="8" t="n"/>
      <x:c r="C1427" s="8" t="n"/>
      <x:c r="D1427" s="8" t="n"/>
    </x:row>
    <x:row r="1428">
      <x:c r="A1428" s="8" t="n"/>
      <x:c r="B1428" s="8" t="n"/>
      <x:c r="C1428" s="8" t="n"/>
      <x:c r="D1428" s="8" t="n"/>
    </x:row>
    <x:row r="1429">
      <x:c r="A1429" s="8" t="n"/>
      <x:c r="B1429" s="8" t="n"/>
      <x:c r="C1429" s="8" t="n"/>
      <x:c r="D1429" s="8" t="n"/>
    </x:row>
    <x:row r="1430">
      <x:c r="A1430" s="8" t="n"/>
      <x:c r="B1430" s="8" t="n"/>
      <x:c r="C1430" s="8" t="n"/>
      <x:c r="D1430" s="8" t="n"/>
    </x:row>
    <x:row r="1431">
      <x:c r="A1431" s="8" t="n"/>
      <x:c r="B1431" s="8" t="n"/>
      <x:c r="C1431" s="8" t="n"/>
      <x:c r="D1431" s="8" t="n"/>
    </x:row>
    <x:row r="1432">
      <x:c r="A1432" s="8" t="n"/>
      <x:c r="B1432" s="8" t="n"/>
      <x:c r="C1432" s="8" t="n"/>
      <x:c r="D1432" s="8" t="n"/>
    </x:row>
    <x:row r="1433">
      <x:c r="A1433" s="8" t="n"/>
      <x:c r="B1433" s="8" t="n"/>
      <x:c r="C1433" s="8" t="n"/>
      <x:c r="D1433" s="8" t="n"/>
    </x:row>
    <x:row r="1434">
      <x:c r="A1434" s="8" t="n"/>
      <x:c r="B1434" s="8" t="n"/>
      <x:c r="C1434" s="8" t="n"/>
      <x:c r="D1434" s="8" t="n"/>
    </x:row>
    <x:row r="1435">
      <x:c r="A1435" s="8" t="n"/>
      <x:c r="B1435" s="8" t="n"/>
      <x:c r="C1435" s="8" t="n"/>
      <x:c r="D1435" s="8" t="n"/>
    </x:row>
    <x:row r="1436">
      <x:c r="A1436" s="8" t="n"/>
      <x:c r="B1436" s="8" t="n"/>
      <x:c r="C1436" s="8" t="n"/>
      <x:c r="D1436" s="8" t="n"/>
    </x:row>
    <x:row r="1437">
      <x:c r="A1437" s="8" t="n"/>
      <x:c r="B1437" s="8" t="n"/>
      <x:c r="C1437" s="8" t="n"/>
      <x:c r="D1437" s="8" t="n"/>
    </x:row>
    <x:row r="1438">
      <x:c r="A1438" s="8" t="n"/>
      <x:c r="B1438" s="8" t="n"/>
      <x:c r="C1438" s="8" t="n"/>
      <x:c r="D1438" s="8" t="n"/>
    </x:row>
    <x:row r="1439">
      <x:c r="A1439" s="8" t="n"/>
      <x:c r="B1439" s="8" t="n"/>
      <x:c r="C1439" s="8" t="n"/>
      <x:c r="D1439" s="8" t="n"/>
    </x:row>
    <x:row r="1440">
      <x:c r="A1440" s="8" t="n"/>
      <x:c r="B1440" s="8" t="n"/>
      <x:c r="C1440" s="8" t="n"/>
      <x:c r="D1440" s="8" t="n"/>
    </x:row>
    <x:row r="1441">
      <x:c r="A1441" s="8" t="n"/>
      <x:c r="B1441" s="8" t="n"/>
      <x:c r="C1441" s="8" t="n"/>
      <x:c r="D1441" s="8" t="n"/>
    </x:row>
    <x:row r="1442">
      <x:c r="A1442" s="8" t="n"/>
      <x:c r="B1442" s="8" t="n"/>
      <x:c r="C1442" s="8" t="n"/>
      <x:c r="D1442" s="8" t="n"/>
    </x:row>
    <x:row r="1443">
      <x:c r="A1443" s="8" t="n"/>
      <x:c r="B1443" s="8" t="n"/>
      <x:c r="C1443" s="8" t="n"/>
      <x:c r="D1443" s="8" t="n"/>
    </x:row>
    <x:row r="1444">
      <x:c r="A1444" s="8" t="n"/>
      <x:c r="B1444" s="8" t="n"/>
      <x:c r="C1444" s="8" t="n"/>
      <x:c r="D1444" s="8" t="n"/>
    </x:row>
    <x:row r="1445">
      <x:c r="A1445" s="8" t="n"/>
      <x:c r="B1445" s="8" t="n"/>
      <x:c r="C1445" s="8" t="n"/>
      <x:c r="D1445" s="8" t="n"/>
    </x:row>
    <x:row r="1446">
      <x:c r="A1446" s="8" t="n"/>
      <x:c r="B1446" s="8" t="n"/>
      <x:c r="C1446" s="8" t="n"/>
      <x:c r="D1446" s="8" t="n"/>
    </x:row>
    <x:row r="1447">
      <x:c r="A1447" s="8" t="n"/>
      <x:c r="B1447" s="8" t="n"/>
      <x:c r="C1447" s="8" t="n"/>
      <x:c r="D1447" s="8" t="n"/>
    </x:row>
    <x:row r="1448">
      <x:c r="A1448" s="8" t="n"/>
      <x:c r="B1448" s="8" t="n"/>
      <x:c r="C1448" s="8" t="n"/>
      <x:c r="D1448" s="8" t="n"/>
    </x:row>
    <x:row r="1449">
      <x:c r="A1449" s="8" t="n"/>
      <x:c r="B1449" s="8" t="n"/>
      <x:c r="C1449" s="8" t="n"/>
      <x:c r="D1449" s="8" t="n"/>
    </x:row>
    <x:row r="1450">
      <x:c r="A1450" s="8" t="n"/>
      <x:c r="B1450" s="8" t="n"/>
      <x:c r="C1450" s="8" t="n"/>
      <x:c r="D1450" s="8" t="n"/>
    </x:row>
    <x:row r="1451">
      <x:c r="A1451" s="8" t="n"/>
      <x:c r="B1451" s="8" t="n"/>
      <x:c r="C1451" s="8" t="n"/>
      <x:c r="D1451" s="8" t="n"/>
    </x:row>
    <x:row r="1452">
      <x:c r="A1452" s="8" t="n"/>
      <x:c r="B1452" s="8" t="n"/>
      <x:c r="C1452" s="8" t="n"/>
      <x:c r="D1452" s="8" t="n"/>
    </x:row>
    <x:row r="1453">
      <x:c r="A1453" s="8" t="n"/>
      <x:c r="B1453" s="8" t="n"/>
      <x:c r="C1453" s="8" t="n"/>
      <x:c r="D1453" s="8" t="n"/>
    </x:row>
    <x:row r="1454">
      <x:c r="A1454" s="8" t="n"/>
      <x:c r="B1454" s="8" t="n"/>
      <x:c r="C1454" s="8" t="n"/>
      <x:c r="D1454" s="8" t="n"/>
    </x:row>
    <x:row r="1455">
      <x:c r="A1455" s="8" t="n"/>
      <x:c r="B1455" s="8" t="n"/>
      <x:c r="C1455" s="8" t="n"/>
      <x:c r="D1455" s="8" t="n"/>
    </x:row>
    <x:row r="1456">
      <x:c r="A1456" s="8" t="n"/>
      <x:c r="B1456" s="8" t="n"/>
      <x:c r="C1456" s="8" t="n"/>
      <x:c r="D1456" s="8" t="n"/>
    </x:row>
    <x:row r="1457">
      <x:c r="A1457" s="8" t="n"/>
      <x:c r="B1457" s="8" t="n"/>
      <x:c r="C1457" s="8" t="n"/>
      <x:c r="D1457" s="8" t="n"/>
    </x:row>
    <x:row r="1458">
      <x:c r="A1458" s="8" t="n"/>
      <x:c r="B1458" s="8" t="n"/>
      <x:c r="C1458" s="8" t="n"/>
      <x:c r="D1458" s="8" t="n"/>
    </x:row>
    <x:row r="1459">
      <x:c r="A1459" s="8" t="n"/>
      <x:c r="B1459" s="8" t="n"/>
      <x:c r="C1459" s="8" t="n"/>
      <x:c r="D1459" s="8" t="n"/>
    </x:row>
    <x:row r="1460">
      <x:c r="A1460" s="8" t="n"/>
      <x:c r="B1460" s="8" t="n"/>
      <x:c r="C1460" s="8" t="n"/>
      <x:c r="D1460" s="8" t="n"/>
    </x:row>
    <x:row r="1461">
      <x:c r="A1461" s="8" t="n"/>
      <x:c r="B1461" s="8" t="n"/>
      <x:c r="C1461" s="8" t="n"/>
      <x:c r="D1461" s="8" t="n"/>
    </x:row>
    <x:row r="1462">
      <x:c r="A1462" s="8" t="n"/>
      <x:c r="B1462" s="8" t="n"/>
      <x:c r="C1462" s="8" t="n"/>
      <x:c r="D1462" s="8" t="n"/>
    </x:row>
    <x:row r="1463">
      <x:c r="A1463" s="8" t="n"/>
      <x:c r="B1463" s="8" t="n"/>
      <x:c r="C1463" s="8" t="n"/>
      <x:c r="D1463" s="8" t="n"/>
    </x:row>
    <x:row r="1464">
      <x:c r="A1464" s="8" t="n"/>
      <x:c r="B1464" s="8" t="n"/>
      <x:c r="C1464" s="8" t="n"/>
      <x:c r="D1464" s="8" t="n"/>
    </x:row>
    <x:row r="1465">
      <x:c r="A1465" s="8" t="n"/>
      <x:c r="B1465" s="8" t="n"/>
      <x:c r="C1465" s="8" t="n"/>
      <x:c r="D1465" s="8" t="n"/>
    </x:row>
    <x:row r="1466">
      <x:c r="A1466" s="8" t="n"/>
      <x:c r="B1466" s="8" t="n"/>
      <x:c r="C1466" s="8" t="n"/>
      <x:c r="D1466" s="8" t="n"/>
    </x:row>
    <x:row r="1467">
      <x:c r="A1467" s="8" t="n"/>
      <x:c r="B1467" s="8" t="n"/>
      <x:c r="C1467" s="8" t="n"/>
      <x:c r="D1467" s="8" t="n"/>
    </x:row>
    <x:row r="1468">
      <x:c r="A1468" s="8" t="n"/>
      <x:c r="B1468" s="8" t="n"/>
      <x:c r="C1468" s="8" t="n"/>
      <x:c r="D1468" s="8" t="n"/>
    </x:row>
    <x:row r="1469">
      <x:c r="A1469" s="8" t="n"/>
      <x:c r="B1469" s="8" t="n"/>
      <x:c r="C1469" s="8" t="n"/>
      <x:c r="D1469" s="8" t="n"/>
    </x:row>
    <x:row r="1470">
      <x:c r="A1470" s="8" t="n"/>
      <x:c r="B1470" s="8" t="n"/>
      <x:c r="C1470" s="8" t="n"/>
      <x:c r="D1470" s="8" t="n"/>
    </x:row>
    <x:row r="1471">
      <x:c r="A1471" s="8" t="n"/>
      <x:c r="B1471" s="8" t="n"/>
      <x:c r="C1471" s="8" t="n"/>
      <x:c r="D1471" s="8" t="n"/>
    </x:row>
    <x:row r="1472">
      <x:c r="A1472" s="8" t="n"/>
      <x:c r="B1472" s="8" t="n"/>
      <x:c r="C1472" s="8" t="n"/>
      <x:c r="D1472" s="8" t="n"/>
    </x:row>
    <x:row r="1473">
      <x:c r="A1473" s="8" t="n"/>
      <x:c r="B1473" s="8" t="n"/>
      <x:c r="C1473" s="8" t="n"/>
      <x:c r="D1473" s="8" t="n"/>
    </x:row>
    <x:row r="1474">
      <x:c r="A1474" s="8" t="n"/>
      <x:c r="B1474" s="8" t="n"/>
      <x:c r="C1474" s="8" t="n"/>
      <x:c r="D1474" s="8" t="n"/>
    </x:row>
    <x:row r="1475">
      <x:c r="A1475" s="8" t="n"/>
      <x:c r="B1475" s="8" t="n"/>
      <x:c r="C1475" s="8" t="n"/>
      <x:c r="D1475" s="8" t="n"/>
    </x:row>
    <x:row r="1476">
      <x:c r="A1476" s="8" t="n"/>
      <x:c r="B1476" s="8" t="n"/>
      <x:c r="C1476" s="8" t="n"/>
      <x:c r="D1476" s="8" t="n"/>
    </x:row>
    <x:row r="1477">
      <x:c r="A1477" s="8" t="n"/>
      <x:c r="B1477" s="8" t="n"/>
      <x:c r="C1477" s="8" t="n"/>
      <x:c r="D1477" s="8" t="n"/>
    </x:row>
    <x:row r="1478">
      <x:c r="A1478" s="8" t="n"/>
      <x:c r="B1478" s="8" t="n"/>
      <x:c r="C1478" s="8" t="n"/>
      <x:c r="D1478" s="8" t="n"/>
    </x:row>
    <x:row r="1479">
      <x:c r="A1479" s="8" t="n"/>
      <x:c r="B1479" s="8" t="n"/>
      <x:c r="C1479" s="8" t="n"/>
      <x:c r="D1479" s="8" t="n"/>
    </x:row>
    <x:row r="1480">
      <x:c r="A1480" s="8" t="n"/>
      <x:c r="B1480" s="8" t="n"/>
      <x:c r="C1480" s="8" t="n"/>
      <x:c r="D1480" s="8" t="n"/>
    </x:row>
    <x:row r="1481">
      <x:c r="A1481" s="8" t="n"/>
      <x:c r="B1481" s="8" t="n"/>
      <x:c r="C1481" s="8" t="n"/>
      <x:c r="D1481" s="8" t="n"/>
    </x:row>
    <x:row r="1482">
      <x:c r="A1482" s="8" t="n"/>
      <x:c r="B1482" s="8" t="n"/>
      <x:c r="C1482" s="8" t="n"/>
      <x:c r="D1482" s="8" t="n"/>
    </x:row>
    <x:row r="1483">
      <x:c r="A1483" s="8" t="n"/>
      <x:c r="B1483" s="8" t="n"/>
      <x:c r="C1483" s="8" t="n"/>
      <x:c r="D1483" s="8" t="n"/>
    </x:row>
    <x:row r="1484">
      <x:c r="A1484" s="8" t="n"/>
      <x:c r="B1484" s="8" t="n"/>
      <x:c r="C1484" s="8" t="n"/>
      <x:c r="D1484" s="8" t="n"/>
    </x:row>
    <x:row r="1485">
      <x:c r="A1485" s="8" t="n"/>
      <x:c r="B1485" s="8" t="n"/>
      <x:c r="C1485" s="8" t="n"/>
      <x:c r="D1485" s="8" t="n"/>
    </x:row>
    <x:row r="1486">
      <x:c r="A1486" s="8" t="n"/>
      <x:c r="B1486" s="8" t="n"/>
      <x:c r="C1486" s="8" t="n"/>
      <x:c r="D1486" s="8" t="n"/>
    </x:row>
    <x:row r="1487">
      <x:c r="A1487" s="8" t="n"/>
      <x:c r="B1487" s="8" t="n"/>
      <x:c r="C1487" s="8" t="n"/>
      <x:c r="D1487" s="8" t="n"/>
    </x:row>
    <x:row r="1488">
      <x:c r="A1488" s="8" t="n"/>
      <x:c r="B1488" s="8" t="n"/>
      <x:c r="C1488" s="8" t="n"/>
      <x:c r="D1488" s="8" t="n"/>
    </x:row>
    <x:row r="1489">
      <x:c r="A1489" s="8" t="n"/>
      <x:c r="B1489" s="8" t="n"/>
      <x:c r="C1489" s="8" t="n"/>
      <x:c r="D1489" s="8" t="n"/>
    </x:row>
    <x:row r="1490">
      <x:c r="A1490" s="8" t="n"/>
      <x:c r="B1490" s="8" t="n"/>
      <x:c r="C1490" s="8" t="n"/>
      <x:c r="D1490" s="8" t="n"/>
    </x:row>
    <x:row r="1491">
      <x:c r="A1491" s="8" t="n"/>
      <x:c r="B1491" s="8" t="n"/>
      <x:c r="C1491" s="8" t="n"/>
      <x:c r="D1491" s="8" t="n"/>
    </x:row>
    <x:row r="1492">
      <x:c r="A1492" s="8" t="n"/>
      <x:c r="B1492" s="8" t="n"/>
      <x:c r="C1492" s="8" t="n"/>
      <x:c r="D1492" s="8" t="n"/>
    </x:row>
    <x:row r="1493">
      <x:c r="A1493" s="8" t="n"/>
      <x:c r="B1493" s="8" t="n"/>
      <x:c r="C1493" s="8" t="n"/>
      <x:c r="D1493" s="8" t="n"/>
    </x:row>
    <x:row r="1494">
      <x:c r="A1494" s="8" t="n"/>
      <x:c r="B1494" s="8" t="n"/>
      <x:c r="C1494" s="8" t="n"/>
      <x:c r="D1494" s="8" t="n"/>
    </x:row>
    <x:row r="1495">
      <x:c r="A1495" s="8" t="n"/>
      <x:c r="B1495" s="8" t="n"/>
      <x:c r="C1495" s="8" t="n"/>
      <x:c r="D1495" s="8" t="n"/>
    </x:row>
    <x:row r="1496">
      <x:c r="A1496" s="8" t="n"/>
      <x:c r="B1496" s="8" t="n"/>
      <x:c r="C1496" s="8" t="n"/>
      <x:c r="D1496" s="8" t="n"/>
    </x:row>
    <x:row r="1497">
      <x:c r="A1497" s="8" t="n"/>
      <x:c r="B1497" s="8" t="n"/>
      <x:c r="C1497" s="8" t="n"/>
      <x:c r="D1497" s="8" t="n"/>
    </x:row>
    <x:row r="1498">
      <x:c r="A1498" s="8" t="n"/>
      <x:c r="B1498" s="8" t="n"/>
      <x:c r="C1498" s="8" t="n"/>
      <x:c r="D1498" s="8" t="n"/>
    </x:row>
    <x:row r="1499">
      <x:c r="A1499" s="8" t="n"/>
      <x:c r="B1499" s="8" t="n"/>
      <x:c r="C1499" s="8" t="n"/>
      <x:c r="D1499" s="8" t="n"/>
    </x:row>
    <x:row r="1500">
      <x:c r="A1500" s="8" t="n"/>
      <x:c r="B1500" s="8" t="n"/>
      <x:c r="C1500" s="8" t="n"/>
      <x:c r="D1500" s="8" t="n"/>
    </x:row>
    <x:row r="1501">
      <x:c r="A1501" s="8" t="n"/>
      <x:c r="B1501" s="8" t="n"/>
      <x:c r="C1501" s="8" t="n"/>
      <x:c r="D1501" s="8" t="n"/>
    </x:row>
    <x:row r="1502">
      <x:c r="A1502" s="8" t="n"/>
      <x:c r="B1502" s="8" t="n"/>
      <x:c r="C1502" s="8" t="n"/>
      <x:c r="D1502" s="8" t="n"/>
    </x:row>
    <x:row r="1503">
      <x:c r="A1503" s="8" t="n"/>
      <x:c r="B1503" s="8" t="n"/>
      <x:c r="C1503" s="8" t="n"/>
      <x:c r="D1503" s="8" t="n"/>
    </x:row>
    <x:row r="1504">
      <x:c r="A1504" s="8" t="n"/>
      <x:c r="B1504" s="8" t="n"/>
      <x:c r="C1504" s="8" t="n"/>
      <x:c r="D1504" s="8" t="n"/>
    </x:row>
    <x:row r="1505">
      <x:c r="A1505" s="8" t="n"/>
      <x:c r="B1505" s="8" t="n"/>
      <x:c r="C1505" s="8" t="n"/>
      <x:c r="D1505" s="8" t="n"/>
    </x:row>
    <x:row r="1506">
      <x:c r="A1506" s="8" t="n"/>
      <x:c r="B1506" s="8" t="n"/>
      <x:c r="C1506" s="8" t="n"/>
      <x:c r="D1506" s="8" t="n"/>
    </x:row>
    <x:row r="1507">
      <x:c r="A1507" s="8" t="n"/>
      <x:c r="B1507" s="8" t="n"/>
      <x:c r="C1507" s="8" t="n"/>
      <x:c r="D1507" s="8" t="n"/>
    </x:row>
    <x:row r="1508">
      <x:c r="A1508" s="8" t="n"/>
      <x:c r="B1508" s="8" t="n"/>
      <x:c r="C1508" s="8" t="n"/>
      <x:c r="D1508" s="8" t="n"/>
    </x:row>
    <x:row r="1509">
      <x:c r="A1509" s="8" t="n"/>
      <x:c r="B1509" s="8" t="n"/>
      <x:c r="C1509" s="8" t="n"/>
      <x:c r="D1509" s="8" t="n"/>
    </x:row>
    <x:row r="1510">
      <x:c r="A1510" s="8" t="n"/>
      <x:c r="B1510" s="8" t="n"/>
      <x:c r="C1510" s="8" t="n"/>
      <x:c r="D1510" s="8" t="n"/>
    </x:row>
    <x:row r="1511">
      <x:c r="A1511" s="8" t="n"/>
      <x:c r="B1511" s="8" t="n"/>
      <x:c r="C1511" s="8" t="n"/>
      <x:c r="D1511" s="8" t="n"/>
    </x:row>
    <x:row r="1512">
      <x:c r="A1512" s="8" t="n"/>
      <x:c r="B1512" s="8" t="n"/>
      <x:c r="C1512" s="8" t="n"/>
      <x:c r="D1512" s="8" t="n"/>
    </x:row>
    <x:row r="1513">
      <x:c r="A1513" s="8" t="n"/>
      <x:c r="B1513" s="8" t="n"/>
      <x:c r="C1513" s="8" t="n"/>
      <x:c r="D1513" s="8" t="n"/>
    </x:row>
    <x:row r="1514">
      <x:c r="A1514" s="8" t="n"/>
      <x:c r="B1514" s="8" t="n"/>
      <x:c r="C1514" s="8" t="n"/>
      <x:c r="D1514" s="8" t="n"/>
    </x:row>
    <x:row r="1515">
      <x:c r="A1515" s="8" t="n"/>
      <x:c r="B1515" s="8" t="n"/>
      <x:c r="C1515" s="8" t="n"/>
      <x:c r="D1515" s="8" t="n"/>
    </x:row>
    <x:row r="1516">
      <x:c r="A1516" s="8" t="n"/>
      <x:c r="B1516" s="8" t="n"/>
      <x:c r="C1516" s="8" t="n"/>
      <x:c r="D1516" s="8" t="n"/>
    </x:row>
    <x:row r="1517">
      <x:c r="A1517" s="8" t="n"/>
      <x:c r="B1517" s="8" t="n"/>
      <x:c r="C1517" s="8" t="n"/>
      <x:c r="D1517" s="8" t="n"/>
    </x:row>
    <x:row r="1518">
      <x:c r="A1518" s="8" t="n"/>
      <x:c r="B1518" s="8" t="n"/>
      <x:c r="C1518" s="8" t="n"/>
      <x:c r="D1518" s="8" t="n"/>
    </x:row>
    <x:row r="1519">
      <x:c r="A1519" s="8" t="n"/>
      <x:c r="B1519" s="8" t="n"/>
      <x:c r="C1519" s="8" t="n"/>
      <x:c r="D1519" s="8" t="n"/>
    </x:row>
    <x:row r="1520">
      <x:c r="A1520" s="8" t="n"/>
      <x:c r="B1520" s="8" t="n"/>
      <x:c r="C1520" s="8" t="n"/>
      <x:c r="D1520" s="8" t="n"/>
    </x:row>
    <x:row r="1521">
      <x:c r="A1521" s="8" t="n"/>
      <x:c r="B1521" s="8" t="n"/>
      <x:c r="C1521" s="8" t="n"/>
      <x:c r="D1521" s="8" t="n"/>
    </x:row>
    <x:row r="1522">
      <x:c r="A1522" s="8" t="n"/>
      <x:c r="B1522" s="8" t="n"/>
      <x:c r="C1522" s="8" t="n"/>
      <x:c r="D1522" s="8" t="n"/>
    </x:row>
    <x:row r="1523">
      <x:c r="A1523" s="8" t="n"/>
      <x:c r="B1523" s="8" t="n"/>
      <x:c r="C1523" s="8" t="n"/>
      <x:c r="D1523" s="8" t="n"/>
    </x:row>
    <x:row r="1524">
      <x:c r="A1524" s="8" t="n"/>
      <x:c r="B1524" s="8" t="n"/>
      <x:c r="C1524" s="8" t="n"/>
      <x:c r="D1524" s="8" t="n"/>
    </x:row>
    <x:row r="1525">
      <x:c r="A1525" s="8" t="n"/>
      <x:c r="B1525" s="8" t="n"/>
      <x:c r="C1525" s="8" t="n"/>
      <x:c r="D1525" s="8" t="n"/>
    </x:row>
    <x:row r="1526">
      <x:c r="A1526" s="8" t="n"/>
      <x:c r="B1526" s="8" t="n"/>
      <x:c r="C1526" s="8" t="n"/>
      <x:c r="D1526" s="8" t="n"/>
    </x:row>
    <x:row r="1527">
      <x:c r="A1527" s="8" t="n"/>
      <x:c r="B1527" s="8" t="n"/>
      <x:c r="C1527" s="8" t="n"/>
      <x:c r="D1527" s="8" t="n"/>
    </x:row>
    <x:row r="1528">
      <x:c r="A1528" s="8" t="n"/>
      <x:c r="B1528" s="8" t="n"/>
      <x:c r="C1528" s="8" t="n"/>
      <x:c r="D1528" s="8" t="n"/>
    </x:row>
    <x:row r="1529">
      <x:c r="A1529" s="8" t="n"/>
      <x:c r="B1529" s="8" t="n"/>
      <x:c r="C1529" s="8" t="n"/>
      <x:c r="D1529" s="8" t="n"/>
    </x:row>
    <x:row r="1530">
      <x:c r="A1530" s="8" t="n"/>
      <x:c r="B1530" s="8" t="n"/>
      <x:c r="C1530" s="8" t="n"/>
      <x:c r="D1530" s="8" t="n"/>
    </x:row>
    <x:row r="1531">
      <x:c r="A1531" s="8" t="n"/>
      <x:c r="B1531" s="8" t="n"/>
      <x:c r="C1531" s="8" t="n"/>
      <x:c r="D1531" s="8" t="n"/>
    </x:row>
    <x:row r="1532">
      <x:c r="A1532" s="8" t="n"/>
      <x:c r="B1532" s="8" t="n"/>
      <x:c r="C1532" s="8" t="n"/>
      <x:c r="D1532" s="8" t="n"/>
    </x:row>
    <x:row r="1533">
      <x:c r="A1533" s="8" t="n"/>
      <x:c r="B1533" s="8" t="n"/>
      <x:c r="C1533" s="8" t="n"/>
      <x:c r="D1533" s="8" t="n"/>
    </x:row>
    <x:row r="1534">
      <x:c r="A1534" s="8" t="n"/>
      <x:c r="B1534" s="8" t="n"/>
      <x:c r="C1534" s="8" t="n"/>
      <x:c r="D1534" s="8" t="n"/>
    </x:row>
    <x:row r="1535">
      <x:c r="A1535" s="8" t="n"/>
      <x:c r="B1535" s="8" t="n"/>
      <x:c r="C1535" s="8" t="n"/>
      <x:c r="D1535" s="8" t="n"/>
    </x:row>
    <x:row r="1536">
      <x:c r="A1536" s="8" t="n"/>
      <x:c r="B1536" s="8" t="n"/>
      <x:c r="C1536" s="8" t="n"/>
      <x:c r="D1536" s="8" t="n"/>
    </x:row>
    <x:row r="1537">
      <x:c r="A1537" s="8" t="n"/>
      <x:c r="B1537" s="8" t="n"/>
      <x:c r="C1537" s="8" t="n"/>
      <x:c r="D1537" s="8" t="n"/>
    </x:row>
    <x:row r="1538">
      <x:c r="A1538" s="8" t="n"/>
      <x:c r="B1538" s="8" t="n"/>
      <x:c r="C1538" s="8" t="n"/>
      <x:c r="D1538" s="8" t="n"/>
    </x:row>
    <x:row r="1539">
      <x:c r="A1539" s="8" t="n"/>
      <x:c r="B1539" s="8" t="n"/>
      <x:c r="C1539" s="8" t="n"/>
      <x:c r="D1539" s="8" t="n"/>
    </x:row>
    <x:row r="1540">
      <x:c r="A1540" s="8" t="n"/>
      <x:c r="B1540" s="8" t="n"/>
      <x:c r="C1540" s="8" t="n"/>
      <x:c r="D1540" s="8" t="n"/>
    </x:row>
    <x:row r="1541">
      <x:c r="A1541" s="8" t="n"/>
      <x:c r="B1541" s="8" t="n"/>
      <x:c r="C1541" s="8" t="n"/>
      <x:c r="D1541" s="8" t="n"/>
    </x:row>
    <x:row r="1542">
      <x:c r="A1542" s="8" t="n"/>
      <x:c r="B1542" s="8" t="n"/>
      <x:c r="C1542" s="8" t="n"/>
      <x:c r="D1542" s="8" t="n"/>
    </x:row>
    <x:row r="1543">
      <x:c r="A1543" s="8" t="n"/>
      <x:c r="B1543" s="8" t="n"/>
      <x:c r="C1543" s="8" t="n"/>
      <x:c r="D1543" s="8" t="n"/>
    </x:row>
    <x:row r="1544">
      <x:c r="A1544" s="8" t="n"/>
      <x:c r="B1544" s="8" t="n"/>
      <x:c r="C1544" s="8" t="n"/>
      <x:c r="D1544" s="8" t="n"/>
    </x:row>
    <x:row r="1545">
      <x:c r="A1545" s="8" t="n"/>
      <x:c r="B1545" s="8" t="n"/>
      <x:c r="C1545" s="8" t="n"/>
      <x:c r="D1545" s="8" t="n"/>
    </x:row>
    <x:row r="1546">
      <x:c r="A1546" s="8" t="n"/>
      <x:c r="B1546" s="8" t="n"/>
      <x:c r="C1546" s="8" t="n"/>
      <x:c r="D1546" s="8" t="n"/>
    </x:row>
    <x:row r="1547">
      <x:c r="A1547" s="8" t="n"/>
      <x:c r="B1547" s="8" t="n"/>
      <x:c r="C1547" s="8" t="n"/>
      <x:c r="D1547" s="8" t="n"/>
    </x:row>
    <x:row r="1548">
      <x:c r="A1548" s="8" t="n"/>
      <x:c r="B1548" s="8" t="n"/>
      <x:c r="C1548" s="8" t="n"/>
      <x:c r="D1548" s="8" t="n"/>
    </x:row>
    <x:row r="1549">
      <x:c r="A1549" s="8" t="n"/>
      <x:c r="B1549" s="8" t="n"/>
      <x:c r="C1549" s="8" t="n"/>
      <x:c r="D1549" s="8" t="n"/>
    </x:row>
    <x:row r="1550">
      <x:c r="A1550" s="8" t="n"/>
      <x:c r="B1550" s="8" t="n"/>
      <x:c r="C1550" s="8" t="n"/>
      <x:c r="D1550" s="8" t="n"/>
    </x:row>
    <x:row r="1551">
      <x:c r="A1551" s="8" t="n"/>
      <x:c r="B1551" s="8" t="n"/>
      <x:c r="C1551" s="8" t="n"/>
      <x:c r="D1551" s="8" t="n"/>
    </x:row>
    <x:row r="1552">
      <x:c r="A1552" s="8" t="n"/>
      <x:c r="B1552" s="8" t="n"/>
      <x:c r="C1552" s="8" t="n"/>
      <x:c r="D1552" s="8" t="n"/>
    </x:row>
    <x:row r="1553">
      <x:c r="A1553" s="8" t="n"/>
      <x:c r="B1553" s="8" t="n"/>
      <x:c r="C1553" s="8" t="n"/>
      <x:c r="D1553" s="8" t="n"/>
    </x:row>
    <x:row r="1554">
      <x:c r="A1554" s="8" t="n"/>
      <x:c r="B1554" s="8" t="n"/>
      <x:c r="C1554" s="8" t="n"/>
      <x:c r="D1554" s="8" t="n"/>
    </x:row>
    <x:row r="1555">
      <x:c r="A1555" s="8" t="n"/>
      <x:c r="B1555" s="8" t="n"/>
      <x:c r="C1555" s="8" t="n"/>
      <x:c r="D1555" s="8" t="n"/>
    </x:row>
    <x:row r="1556">
      <x:c r="A1556" s="8" t="n"/>
      <x:c r="B1556" s="8" t="n"/>
      <x:c r="C1556" s="8" t="n"/>
      <x:c r="D1556" s="8" t="n"/>
    </x:row>
    <x:row r="1557">
      <x:c r="A1557" s="8" t="n"/>
      <x:c r="B1557" s="8" t="n"/>
      <x:c r="C1557" s="8" t="n"/>
      <x:c r="D1557" s="8" t="n"/>
    </x:row>
    <x:row r="1558">
      <x:c r="A1558" s="8" t="n"/>
      <x:c r="B1558" s="8" t="n"/>
      <x:c r="C1558" s="8" t="n"/>
      <x:c r="D1558" s="8" t="n"/>
    </x:row>
    <x:row r="1559">
      <x:c r="A1559" s="8" t="n"/>
      <x:c r="B1559" s="8" t="n"/>
      <x:c r="C1559" s="8" t="n"/>
      <x:c r="D1559" s="8" t="n"/>
    </x:row>
    <x:row r="1560">
      <x:c r="A1560" s="8" t="n"/>
      <x:c r="B1560" s="8" t="n"/>
      <x:c r="C1560" s="8" t="n"/>
      <x:c r="D1560" s="8" t="n"/>
    </x:row>
    <x:row r="1561">
      <x:c r="A1561" s="8" t="n"/>
      <x:c r="B1561" s="8" t="n"/>
      <x:c r="C1561" s="8" t="n"/>
      <x:c r="D1561" s="8" t="n"/>
    </x:row>
    <x:row r="1562">
      <x:c r="A1562" s="8" t="n"/>
      <x:c r="B1562" s="8" t="n"/>
      <x:c r="C1562" s="8" t="n"/>
      <x:c r="D1562" s="8" t="n"/>
    </x:row>
    <x:row r="1563">
      <x:c r="A1563" s="8" t="n"/>
      <x:c r="B1563" s="8" t="n"/>
      <x:c r="C1563" s="8" t="n"/>
      <x:c r="D1563" s="8" t="n"/>
    </x:row>
    <x:row r="1564">
      <x:c r="A1564" s="8" t="n"/>
      <x:c r="B1564" s="8" t="n"/>
      <x:c r="C1564" s="8" t="n"/>
      <x:c r="D1564" s="8" t="n"/>
    </x:row>
    <x:row r="1565">
      <x:c r="A1565" s="8" t="n"/>
      <x:c r="B1565" s="8" t="n"/>
      <x:c r="C1565" s="8" t="n"/>
      <x:c r="D1565" s="8" t="n"/>
    </x:row>
    <x:row r="1566">
      <x:c r="A1566" s="8" t="n"/>
      <x:c r="B1566" s="8" t="n"/>
      <x:c r="C1566" s="8" t="n"/>
      <x:c r="D1566" s="8" t="n"/>
    </x:row>
    <x:row r="1567">
      <x:c r="A1567" s="8" t="n"/>
      <x:c r="B1567" s="8" t="n"/>
      <x:c r="C1567" s="8" t="n"/>
      <x:c r="D1567" s="8" t="n"/>
    </x:row>
    <x:row r="1568">
      <x:c r="A1568" s="8" t="n"/>
      <x:c r="B1568" s="8" t="n"/>
      <x:c r="C1568" s="8" t="n"/>
      <x:c r="D1568" s="8" t="n"/>
    </x:row>
    <x:row r="1569">
      <x:c r="A1569" s="8" t="n"/>
      <x:c r="B1569" s="8" t="n"/>
      <x:c r="C1569" s="8" t="n"/>
      <x:c r="D1569" s="8" t="n"/>
    </x:row>
    <x:row r="1570">
      <x:c r="A1570" s="8" t="n"/>
      <x:c r="B1570" s="8" t="n"/>
      <x:c r="C1570" s="8" t="n"/>
      <x:c r="D1570" s="8" t="n"/>
    </x:row>
    <x:row r="1571">
      <x:c r="A1571" s="8" t="n"/>
      <x:c r="B1571" s="8" t="n"/>
      <x:c r="C1571" s="8" t="n"/>
      <x:c r="D1571" s="8" t="n"/>
    </x:row>
    <x:row r="1572">
      <x:c r="A1572" s="8" t="n"/>
      <x:c r="B1572" s="8" t="n"/>
      <x:c r="C1572" s="8" t="n"/>
      <x:c r="D1572" s="8" t="n"/>
    </x:row>
    <x:row r="1573">
      <x:c r="A1573" s="8" t="n"/>
      <x:c r="B1573" s="8" t="n"/>
      <x:c r="C1573" s="8" t="n"/>
      <x:c r="D1573" s="8" t="n"/>
    </x:row>
    <x:row r="1574">
      <x:c r="A1574" s="8" t="n"/>
      <x:c r="B1574" s="8" t="n"/>
      <x:c r="C1574" s="8" t="n"/>
      <x:c r="D1574" s="8" t="n"/>
    </x:row>
    <x:row r="1575">
      <x:c r="A1575" s="8" t="n"/>
      <x:c r="B1575" s="8" t="n"/>
      <x:c r="C1575" s="8" t="n"/>
      <x:c r="D1575" s="8" t="n"/>
    </x:row>
    <x:row r="1576">
      <x:c r="A1576" s="8" t="n"/>
      <x:c r="B1576" s="8" t="n"/>
      <x:c r="C1576" s="8" t="n"/>
      <x:c r="D1576" s="8" t="n"/>
    </x:row>
    <x:row r="1577">
      <x:c r="A1577" s="8" t="n"/>
      <x:c r="B1577" s="8" t="n"/>
      <x:c r="C1577" s="8" t="n"/>
      <x:c r="D1577" s="8" t="n"/>
    </x:row>
    <x:row r="1578">
      <x:c r="A1578" s="8" t="n"/>
      <x:c r="B1578" s="8" t="n"/>
      <x:c r="C1578" s="8" t="n"/>
      <x:c r="D1578" s="8" t="n"/>
    </x:row>
    <x:row r="1579">
      <x:c r="A1579" s="8" t="n"/>
      <x:c r="B1579" s="8" t="n"/>
      <x:c r="C1579" s="8" t="n"/>
      <x:c r="D1579" s="8" t="n"/>
    </x:row>
    <x:row r="1580">
      <x:c r="A1580" s="8" t="n"/>
      <x:c r="B1580" s="8" t="n"/>
      <x:c r="C1580" s="8" t="n"/>
      <x:c r="D1580" s="8" t="n"/>
    </x:row>
    <x:row r="1581">
      <x:c r="A1581" s="8" t="n"/>
      <x:c r="B1581" s="8" t="n"/>
      <x:c r="C1581" s="8" t="n"/>
      <x:c r="D1581" s="8" t="n"/>
    </x:row>
    <x:row r="1582">
      <x:c r="A1582" s="8" t="n"/>
      <x:c r="B1582" s="8" t="n"/>
      <x:c r="C1582" s="8" t="n"/>
      <x:c r="D1582" s="8" t="n"/>
    </x:row>
    <x:row r="1583">
      <x:c r="A1583" s="8" t="n"/>
      <x:c r="B1583" s="8" t="n"/>
      <x:c r="C1583" s="8" t="n"/>
      <x:c r="D1583" s="8" t="n"/>
    </x:row>
    <x:row r="1584">
      <x:c r="A1584" s="8" t="n"/>
      <x:c r="B1584" s="8" t="n"/>
      <x:c r="C1584" s="8" t="n"/>
      <x:c r="D1584" s="8" t="n"/>
    </x:row>
    <x:row r="1585">
      <x:c r="A1585" s="8" t="n"/>
      <x:c r="B1585" s="8" t="n"/>
      <x:c r="C1585" s="8" t="n"/>
      <x:c r="D1585" s="8" t="n"/>
    </x:row>
    <x:row r="1586">
      <x:c r="A1586" s="8" t="n"/>
      <x:c r="B1586" s="8" t="n"/>
      <x:c r="C1586" s="8" t="n"/>
      <x:c r="D1586" s="8" t="n"/>
    </x:row>
    <x:row r="1587">
      <x:c r="A1587" s="8" t="n"/>
      <x:c r="B1587" s="8" t="n"/>
      <x:c r="C1587" s="8" t="n"/>
      <x:c r="D1587" s="8" t="n"/>
    </x:row>
    <x:row r="1588">
      <x:c r="A1588" s="8" t="n"/>
      <x:c r="B1588" s="8" t="n"/>
      <x:c r="C1588" s="8" t="n"/>
      <x:c r="D1588" s="8" t="n"/>
    </x:row>
    <x:row r="1589">
      <x:c r="A1589" s="8" t="n"/>
      <x:c r="B1589" s="8" t="n"/>
      <x:c r="C1589" s="8" t="n"/>
      <x:c r="D1589" s="8" t="n"/>
    </x:row>
    <x:row r="1590">
      <x:c r="A1590" s="8" t="n"/>
      <x:c r="B1590" s="8" t="n"/>
      <x:c r="C1590" s="8" t="n"/>
      <x:c r="D1590" s="8" t="n"/>
    </x:row>
    <x:row r="1591">
      <x:c r="A1591" s="8" t="n"/>
      <x:c r="B1591" s="8" t="n"/>
      <x:c r="C1591" s="8" t="n"/>
      <x:c r="D1591" s="8" t="n"/>
    </x:row>
    <x:row r="1592">
      <x:c r="A1592" s="8" t="n"/>
      <x:c r="B1592" s="8" t="n"/>
      <x:c r="C1592" s="8" t="n"/>
      <x:c r="D1592" s="8" t="n"/>
    </x:row>
    <x:row r="1593">
      <x:c r="A1593" s="8" t="n"/>
      <x:c r="B1593" s="8" t="n"/>
      <x:c r="C1593" s="8" t="n"/>
      <x:c r="D1593" s="8" t="n"/>
    </x:row>
    <x:row r="1594">
      <x:c r="A1594" s="8" t="n"/>
      <x:c r="B1594" s="8" t="n"/>
      <x:c r="C1594" s="8" t="n"/>
      <x:c r="D1594" s="8" t="n"/>
    </x:row>
    <x:row r="1595">
      <x:c r="A1595" s="8" t="n"/>
      <x:c r="B1595" s="8" t="n"/>
      <x:c r="C1595" s="8" t="n"/>
      <x:c r="D1595" s="8" t="n"/>
    </x:row>
    <x:row r="1596">
      <x:c r="A1596" s="8" t="n"/>
      <x:c r="B1596" s="8" t="n"/>
      <x:c r="C1596" s="8" t="n"/>
      <x:c r="D1596" s="8" t="n"/>
    </x:row>
    <x:row r="1597">
      <x:c r="A1597" s="8" t="n"/>
      <x:c r="B1597" s="8" t="n"/>
      <x:c r="C1597" s="8" t="n"/>
      <x:c r="D1597" s="8" t="n"/>
    </x:row>
    <x:row r="1598">
      <x:c r="A1598" s="8" t="n"/>
      <x:c r="B1598" s="8" t="n"/>
      <x:c r="C1598" s="8" t="n"/>
      <x:c r="D1598" s="8" t="n"/>
    </x:row>
    <x:row r="1599">
      <x:c r="A1599" s="8" t="n"/>
      <x:c r="B1599" s="8" t="n"/>
      <x:c r="C1599" s="8" t="n"/>
      <x:c r="D1599" s="8" t="n"/>
    </x:row>
    <x:row r="1600">
      <x:c r="A1600" s="8" t="n"/>
      <x:c r="B1600" s="8" t="n"/>
      <x:c r="C1600" s="8" t="n"/>
      <x:c r="D1600" s="8" t="n"/>
    </x:row>
    <x:row r="1601">
      <x:c r="A1601" s="8" t="n"/>
      <x:c r="B1601" s="8" t="n"/>
      <x:c r="C1601" s="8" t="n"/>
      <x:c r="D1601" s="8" t="n"/>
    </x:row>
    <x:row r="1602">
      <x:c r="A1602" s="8" t="n"/>
      <x:c r="B1602" s="8" t="n"/>
      <x:c r="C1602" s="8" t="n"/>
      <x:c r="D1602" s="8" t="n"/>
    </x:row>
    <x:row r="1603">
      <x:c r="A1603" s="8" t="n"/>
      <x:c r="B1603" s="8" t="n"/>
      <x:c r="C1603" s="8" t="n"/>
      <x:c r="D1603" s="8" t="n"/>
    </x:row>
    <x:row r="1604">
      <x:c r="A1604" s="8" t="n"/>
      <x:c r="B1604" s="8" t="n"/>
      <x:c r="C1604" s="8" t="n"/>
      <x:c r="D1604" s="8" t="n"/>
    </x:row>
    <x:row r="1605">
      <x:c r="A1605" s="8" t="n"/>
      <x:c r="B1605" s="8" t="n"/>
      <x:c r="C1605" s="8" t="n"/>
      <x:c r="D1605" s="8" t="n"/>
    </x:row>
    <x:row r="1606">
      <x:c r="A1606" s="8" t="n"/>
      <x:c r="B1606" s="8" t="n"/>
      <x:c r="C1606" s="8" t="n"/>
      <x:c r="D1606" s="8" t="n"/>
    </x:row>
    <x:row r="1607">
      <x:c r="A1607" s="8" t="n"/>
      <x:c r="B1607" s="8" t="n"/>
      <x:c r="C1607" s="8" t="n"/>
      <x:c r="D1607" s="8" t="n"/>
    </x:row>
    <x:row r="1608">
      <x:c r="A1608" s="8" t="n"/>
      <x:c r="B1608" s="8" t="n"/>
      <x:c r="C1608" s="8" t="n"/>
      <x:c r="D1608" s="8" t="n"/>
    </x:row>
    <x:row r="1609">
      <x:c r="A1609" s="8" t="n"/>
      <x:c r="B1609" s="8" t="n"/>
      <x:c r="C1609" s="8" t="n"/>
      <x:c r="D1609" s="8" t="n"/>
    </x:row>
    <x:row r="1610">
      <x:c r="A1610" s="8" t="n"/>
      <x:c r="B1610" s="8" t="n"/>
      <x:c r="C1610" s="8" t="n"/>
      <x:c r="D1610" s="8" t="n"/>
    </x:row>
    <x:row r="1611">
      <x:c r="A1611" s="8" t="n"/>
      <x:c r="B1611" s="8" t="n"/>
      <x:c r="C1611" s="8" t="n"/>
      <x:c r="D1611" s="8" t="n"/>
    </x:row>
    <x:row r="1612">
      <x:c r="A1612" s="8" t="n"/>
      <x:c r="B1612" s="8" t="n"/>
      <x:c r="C1612" s="8" t="n"/>
      <x:c r="D1612" s="8" t="n"/>
    </x:row>
    <x:row r="1613">
      <x:c r="A1613" s="8" t="n"/>
      <x:c r="B1613" s="8" t="n"/>
      <x:c r="C1613" s="8" t="n"/>
      <x:c r="D1613" s="8" t="n"/>
    </x:row>
    <x:row r="1614">
      <x:c r="A1614" s="8" t="n"/>
      <x:c r="B1614" s="8" t="n"/>
      <x:c r="C1614" s="8" t="n"/>
      <x:c r="D1614" s="8" t="n"/>
    </x:row>
    <x:row r="1615">
      <x:c r="A1615" s="8" t="n"/>
      <x:c r="B1615" s="8" t="n"/>
      <x:c r="C1615" s="8" t="n"/>
      <x:c r="D1615" s="8" t="n"/>
    </x:row>
    <x:row r="1616">
      <x:c r="A1616" s="8" t="n"/>
      <x:c r="B1616" s="8" t="n"/>
      <x:c r="C1616" s="8" t="n"/>
      <x:c r="D1616" s="8" t="n"/>
    </x:row>
    <x:row r="1617">
      <x:c r="A1617" s="8" t="n"/>
      <x:c r="B1617" s="8" t="n"/>
      <x:c r="C1617" s="8" t="n"/>
      <x:c r="D1617" s="8" t="n"/>
    </x:row>
    <x:row r="1618">
      <x:c r="A1618" s="8" t="n"/>
      <x:c r="B1618" s="8" t="n"/>
      <x:c r="C1618" s="8" t="n"/>
      <x:c r="D1618" s="8" t="n"/>
    </x:row>
    <x:row r="1619">
      <x:c r="A1619" s="8" t="n"/>
      <x:c r="B1619" s="8" t="n"/>
      <x:c r="C1619" s="8" t="n"/>
      <x:c r="D1619" s="8" t="n"/>
    </x:row>
    <x:row r="1620">
      <x:c r="A1620" s="8" t="n"/>
      <x:c r="B1620" s="8" t="n"/>
      <x:c r="C1620" s="8" t="n"/>
      <x:c r="D1620" s="8" t="n"/>
    </x:row>
    <x:row r="1621">
      <x:c r="A1621" s="8" t="n"/>
      <x:c r="B1621" s="8" t="n"/>
      <x:c r="C1621" s="8" t="n"/>
      <x:c r="D1621" s="8" t="n"/>
    </x:row>
    <x:row r="1622">
      <x:c r="A1622" s="8" t="n"/>
      <x:c r="B1622" s="8" t="n"/>
      <x:c r="C1622" s="8" t="n"/>
      <x:c r="D1622" s="8" t="n"/>
    </x:row>
    <x:row r="1623">
      <x:c r="A1623" s="8" t="n"/>
      <x:c r="B1623" s="8" t="n"/>
      <x:c r="C1623" s="8" t="n"/>
      <x:c r="D1623" s="8" t="n"/>
    </x:row>
    <x:row r="1624">
      <x:c r="A1624" s="8" t="n"/>
      <x:c r="B1624" s="8" t="n"/>
      <x:c r="C1624" s="8" t="n"/>
      <x:c r="D1624" s="8" t="n"/>
    </x:row>
    <x:row r="1625">
      <x:c r="A1625" s="8" t="n"/>
      <x:c r="B1625" s="8" t="n"/>
      <x:c r="C1625" s="8" t="n"/>
      <x:c r="D1625" s="8" t="n"/>
    </x:row>
    <x:row r="1626">
      <x:c r="A1626" s="8" t="n"/>
      <x:c r="B1626" s="8" t="n"/>
      <x:c r="C1626" s="8" t="n"/>
      <x:c r="D1626" s="8" t="n"/>
    </x:row>
    <x:row r="1627">
      <x:c r="A1627" s="8" t="n"/>
      <x:c r="B1627" s="8" t="n"/>
      <x:c r="C1627" s="8" t="n"/>
      <x:c r="D1627" s="8" t="n"/>
    </x:row>
    <x:row r="1628">
      <x:c r="A1628" s="8" t="n"/>
      <x:c r="B1628" s="8" t="n"/>
      <x:c r="C1628" s="8" t="n"/>
      <x:c r="D1628" s="8" t="n"/>
    </x:row>
    <x:row r="1629">
      <x:c r="A1629" s="8" t="n"/>
      <x:c r="B1629" s="8" t="n"/>
      <x:c r="C1629" s="8" t="n"/>
      <x:c r="D1629" s="8" t="n"/>
    </x:row>
    <x:row r="1630">
      <x:c r="A1630" s="8" t="n"/>
      <x:c r="B1630" s="8" t="n"/>
      <x:c r="C1630" s="8" t="n"/>
      <x:c r="D1630" s="8" t="n"/>
    </x:row>
    <x:row r="1631">
      <x:c r="A1631" s="8" t="n"/>
      <x:c r="B1631" s="8" t="n"/>
      <x:c r="C1631" s="8" t="n"/>
      <x:c r="D1631" s="8" t="n"/>
    </x:row>
    <x:row r="1632">
      <x:c r="A1632" s="8" t="n"/>
      <x:c r="B1632" s="8" t="n"/>
      <x:c r="C1632" s="8" t="n"/>
      <x:c r="D1632" s="8" t="n"/>
    </x:row>
    <x:row r="1633">
      <x:c r="A1633" s="8" t="n"/>
      <x:c r="B1633" s="8" t="n"/>
      <x:c r="C1633" s="8" t="n"/>
      <x:c r="D1633" s="8" t="n"/>
    </x:row>
    <x:row r="1634">
      <x:c r="A1634" s="8" t="n"/>
      <x:c r="B1634" s="8" t="n"/>
      <x:c r="C1634" s="8" t="n"/>
      <x:c r="D1634" s="8" t="n"/>
    </x:row>
    <x:row r="1635">
      <x:c r="A1635" s="8" t="n"/>
      <x:c r="B1635" s="8" t="n"/>
      <x:c r="C1635" s="8" t="n"/>
      <x:c r="D1635" s="8" t="n"/>
    </x:row>
    <x:row r="1636">
      <x:c r="A1636" s="8" t="n"/>
      <x:c r="B1636" s="8" t="n"/>
      <x:c r="C1636" s="8" t="n"/>
      <x:c r="D1636" s="8" t="n"/>
    </x:row>
    <x:row r="1637">
      <x:c r="A1637" s="8" t="n"/>
      <x:c r="B1637" s="8" t="n"/>
      <x:c r="C1637" s="8" t="n"/>
      <x:c r="D1637" s="8" t="n"/>
    </x:row>
    <x:row r="1638">
      <x:c r="A1638" s="8" t="n"/>
      <x:c r="B1638" s="8" t="n"/>
      <x:c r="C1638" s="8" t="n"/>
      <x:c r="D1638" s="8" t="n"/>
    </x:row>
    <x:row r="1639">
      <x:c r="A1639" s="8" t="n"/>
      <x:c r="B1639" s="8" t="n"/>
      <x:c r="C1639" s="8" t="n"/>
      <x:c r="D1639" s="8" t="n"/>
    </x:row>
    <x:row r="1640">
      <x:c r="A1640" s="8" t="n"/>
      <x:c r="B1640" s="8" t="n"/>
      <x:c r="C1640" s="8" t="n"/>
      <x:c r="D1640" s="8" t="n"/>
    </x:row>
    <x:row r="1641">
      <x:c r="A1641" s="8" t="n"/>
      <x:c r="B1641" s="8" t="n"/>
      <x:c r="C1641" s="8" t="n"/>
      <x:c r="D1641" s="8" t="n"/>
    </x:row>
    <x:row r="1642">
      <x:c r="A1642" s="8" t="n"/>
      <x:c r="B1642" s="8" t="n"/>
      <x:c r="C1642" s="8" t="n"/>
      <x:c r="D1642" s="8" t="n"/>
    </x:row>
    <x:row r="1643">
      <x:c r="A1643" s="8" t="n"/>
      <x:c r="B1643" s="8" t="n"/>
      <x:c r="C1643" s="8" t="n"/>
      <x:c r="D1643" s="8" t="n"/>
    </x:row>
    <x:row r="1644">
      <x:c r="A1644" s="8" t="n"/>
      <x:c r="B1644" s="8" t="n"/>
      <x:c r="C1644" s="8" t="n"/>
      <x:c r="D1644" s="8" t="n"/>
    </x:row>
    <x:row r="1645">
      <x:c r="A1645" s="8" t="n"/>
      <x:c r="B1645" s="8" t="n"/>
      <x:c r="C1645" s="8" t="n"/>
      <x:c r="D1645" s="8" t="n"/>
    </x:row>
    <x:row r="1646">
      <x:c r="A1646" s="8" t="n"/>
      <x:c r="B1646" s="8" t="n"/>
      <x:c r="C1646" s="8" t="n"/>
      <x:c r="D1646" s="8" t="n"/>
    </x:row>
    <x:row r="1647">
      <x:c r="A1647" s="8" t="n"/>
      <x:c r="B1647" s="8" t="n"/>
      <x:c r="C1647" s="8" t="n"/>
      <x:c r="D1647" s="8" t="n"/>
    </x:row>
    <x:row r="1648">
      <x:c r="A1648" s="8" t="n"/>
      <x:c r="B1648" s="8" t="n"/>
      <x:c r="C1648" s="8" t="n"/>
      <x:c r="D1648" s="8" t="n"/>
    </x:row>
    <x:row r="1649">
      <x:c r="A1649" s="8" t="n"/>
      <x:c r="B1649" s="8" t="n"/>
      <x:c r="C1649" s="8" t="n"/>
      <x:c r="D1649" s="8" t="n"/>
    </x:row>
    <x:row r="1650">
      <x:c r="A1650" s="8" t="n"/>
      <x:c r="B1650" s="8" t="n"/>
      <x:c r="C1650" s="8" t="n"/>
      <x:c r="D1650" s="8" t="n"/>
    </x:row>
    <x:row r="1651">
      <x:c r="A1651" s="8" t="n"/>
      <x:c r="B1651" s="8" t="n"/>
      <x:c r="C1651" s="8" t="n"/>
      <x:c r="D1651" s="8" t="n"/>
    </x:row>
    <x:row r="1652">
      <x:c r="A1652" s="8" t="n"/>
      <x:c r="B1652" s="8" t="n"/>
      <x:c r="C1652" s="8" t="n"/>
      <x:c r="D1652" s="8" t="n"/>
    </x:row>
    <x:row r="1653">
      <x:c r="A1653" s="8" t="n"/>
      <x:c r="B1653" s="8" t="n"/>
      <x:c r="C1653" s="8" t="n"/>
      <x:c r="D1653" s="8" t="n"/>
    </x:row>
    <x:row r="1654">
      <x:c r="A1654" s="8" t="n"/>
      <x:c r="B1654" s="8" t="n"/>
      <x:c r="C1654" s="8" t="n"/>
      <x:c r="D1654" s="8" t="n"/>
    </x:row>
    <x:row r="1655">
      <x:c r="A1655" s="8" t="n"/>
      <x:c r="B1655" s="8" t="n"/>
      <x:c r="C1655" s="8" t="n"/>
      <x:c r="D1655" s="8" t="n"/>
    </x:row>
    <x:row r="1656">
      <x:c r="A1656" s="8" t="n"/>
      <x:c r="B1656" s="8" t="n"/>
      <x:c r="C1656" s="8" t="n"/>
      <x:c r="D1656" s="8" t="n"/>
    </x:row>
    <x:row r="1657">
      <x:c r="A1657" s="8" t="n"/>
      <x:c r="B1657" s="8" t="n"/>
      <x:c r="C1657" s="8" t="n"/>
      <x:c r="D1657" s="8" t="n"/>
    </x:row>
    <x:row r="1658">
      <x:c r="A1658" s="8" t="n"/>
      <x:c r="B1658" s="8" t="n"/>
      <x:c r="C1658" s="8" t="n"/>
      <x:c r="D1658" s="8" t="n"/>
    </x:row>
    <x:row r="1659">
      <x:c r="A1659" s="8" t="n"/>
      <x:c r="B1659" s="8" t="n"/>
      <x:c r="C1659" s="8" t="n"/>
      <x:c r="D1659" s="8" t="n"/>
    </x:row>
    <x:row r="1660">
      <x:c r="A1660" s="8" t="n"/>
      <x:c r="B1660" s="8" t="n"/>
      <x:c r="C1660" s="8" t="n"/>
      <x:c r="D1660" s="8" t="n"/>
    </x:row>
    <x:row r="1661">
      <x:c r="A1661" s="8" t="n"/>
      <x:c r="B1661" s="8" t="n"/>
      <x:c r="C1661" s="8" t="n"/>
      <x:c r="D1661" s="8" t="n"/>
    </x:row>
    <x:row r="1662">
      <x:c r="A1662" s="8" t="n"/>
      <x:c r="B1662" s="8" t="n"/>
      <x:c r="C1662" s="8" t="n"/>
      <x:c r="D1662" s="8" t="n"/>
    </x:row>
    <x:row r="1663">
      <x:c r="A1663" s="8" t="n"/>
      <x:c r="B1663" s="8" t="n"/>
      <x:c r="C1663" s="8" t="n"/>
      <x:c r="D1663" s="8" t="n"/>
    </x:row>
    <x:row r="1664">
      <x:c r="A1664" s="8" t="n"/>
      <x:c r="B1664" s="8" t="n"/>
      <x:c r="C1664" s="8" t="n"/>
      <x:c r="D1664" s="8" t="n"/>
    </x:row>
    <x:row r="1665">
      <x:c r="A1665" s="8" t="n"/>
      <x:c r="B1665" s="8" t="n"/>
      <x:c r="C1665" s="8" t="n"/>
      <x:c r="D1665" s="8" t="n"/>
    </x:row>
    <x:row r="1666">
      <x:c r="A1666" s="8" t="n"/>
      <x:c r="B1666" s="8" t="n"/>
      <x:c r="C1666" s="8" t="n"/>
      <x:c r="D1666" s="8" t="n"/>
    </x:row>
    <x:row r="1667">
      <x:c r="A1667" s="8" t="n"/>
      <x:c r="B1667" s="8" t="n"/>
      <x:c r="C1667" s="8" t="n"/>
      <x:c r="D1667" s="8" t="n"/>
    </x:row>
    <x:row r="1668">
      <x:c r="A1668" s="8" t="n"/>
      <x:c r="B1668" s="8" t="n"/>
      <x:c r="C1668" s="8" t="n"/>
      <x:c r="D1668" s="8" t="n"/>
    </x:row>
    <x:row r="1669">
      <x:c r="A1669" s="8" t="n"/>
      <x:c r="B1669" s="8" t="n"/>
      <x:c r="C1669" s="8" t="n"/>
      <x:c r="D1669" s="8" t="n"/>
    </x:row>
    <x:row r="1670">
      <x:c r="A1670" s="8" t="n"/>
      <x:c r="B1670" s="8" t="n"/>
      <x:c r="C1670" s="8" t="n"/>
      <x:c r="D1670" s="8" t="n"/>
    </x:row>
    <x:row r="1671">
      <x:c r="A1671" s="8" t="n"/>
      <x:c r="B1671" s="8" t="n"/>
      <x:c r="C1671" s="8" t="n"/>
      <x:c r="D1671" s="8" t="n"/>
    </x:row>
    <x:row r="1672">
      <x:c r="A1672" s="8" t="n"/>
      <x:c r="B1672" s="8" t="n"/>
      <x:c r="C1672" s="8" t="n"/>
      <x:c r="D1672" s="8" t="n"/>
    </x:row>
    <x:row r="1673">
      <x:c r="A1673" s="8" t="n"/>
      <x:c r="B1673" s="8" t="n"/>
      <x:c r="C1673" s="8" t="n"/>
      <x:c r="D1673" s="8" t="n"/>
    </x:row>
    <x:row r="1674">
      <x:c r="A1674" s="8" t="n"/>
      <x:c r="B1674" s="8" t="n"/>
      <x:c r="C1674" s="8" t="n"/>
      <x:c r="D1674" s="8" t="n"/>
    </x:row>
    <x:row r="1675">
      <x:c r="A1675" s="8" t="n"/>
      <x:c r="B1675" s="8" t="n"/>
      <x:c r="C1675" s="8" t="n"/>
      <x:c r="D1675" s="8" t="n"/>
    </x:row>
    <x:row r="1676">
      <x:c r="A1676" s="8" t="n"/>
      <x:c r="B1676" s="8" t="n"/>
      <x:c r="C1676" s="8" t="n"/>
      <x:c r="D1676" s="8" t="n"/>
    </x:row>
    <x:row r="1677">
      <x:c r="A1677" s="8" t="n"/>
      <x:c r="B1677" s="8" t="n"/>
      <x:c r="C1677" s="8" t="n"/>
      <x:c r="D1677" s="8" t="n"/>
    </x:row>
    <x:row r="1678">
      <x:c r="A1678" s="8" t="n"/>
      <x:c r="B1678" s="8" t="n"/>
      <x:c r="C1678" s="8" t="n"/>
      <x:c r="D1678" s="8" t="n"/>
    </x:row>
    <x:row r="1679">
      <x:c r="A1679" s="8" t="n"/>
      <x:c r="B1679" s="8" t="n"/>
      <x:c r="C1679" s="8" t="n"/>
      <x:c r="D1679" s="8" t="n"/>
    </x:row>
    <x:row r="1680">
      <x:c r="A1680" s="8" t="n"/>
      <x:c r="B1680" s="8" t="n"/>
      <x:c r="C1680" s="8" t="n"/>
      <x:c r="D1680" s="8" t="n"/>
    </x:row>
    <x:row r="1681">
      <x:c r="A1681" s="8" t="n"/>
      <x:c r="B1681" s="8" t="n"/>
      <x:c r="C1681" s="8" t="n"/>
      <x:c r="D1681" s="8" t="n"/>
    </x:row>
    <x:row r="1682">
      <x:c r="A1682" s="8" t="n"/>
      <x:c r="B1682" s="8" t="n"/>
      <x:c r="C1682" s="8" t="n"/>
      <x:c r="D1682" s="8" t="n"/>
    </x:row>
    <x:row r="1683">
      <x:c r="A1683" s="8" t="n"/>
      <x:c r="B1683" s="8" t="n"/>
      <x:c r="C1683" s="8" t="n"/>
      <x:c r="D1683" s="8" t="n"/>
    </x:row>
    <x:row r="1684">
      <x:c r="A1684" s="8" t="n"/>
      <x:c r="B1684" s="8" t="n"/>
      <x:c r="C1684" s="8" t="n"/>
      <x:c r="D1684" s="8" t="n"/>
    </x:row>
    <x:row r="1685">
      <x:c r="A1685" s="8" t="n"/>
      <x:c r="B1685" s="8" t="n"/>
      <x:c r="C1685" s="8" t="n"/>
      <x:c r="D1685" s="8" t="n"/>
    </x:row>
    <x:row r="1686">
      <x:c r="A1686" s="8" t="n"/>
      <x:c r="B1686" s="8" t="n"/>
      <x:c r="C1686" s="8" t="n"/>
      <x:c r="D1686" s="8" t="n"/>
    </x:row>
    <x:row r="1687">
      <x:c r="A1687" s="8" t="n"/>
      <x:c r="B1687" s="8" t="n"/>
      <x:c r="C1687" s="8" t="n"/>
      <x:c r="D1687" s="8" t="n"/>
    </x:row>
    <x:row r="1688">
      <x:c r="A1688" s="8" t="n"/>
      <x:c r="B1688" s="8" t="n"/>
      <x:c r="C1688" s="8" t="n"/>
      <x:c r="D1688" s="8" t="n"/>
    </x:row>
    <x:row r="1689">
      <x:c r="A1689" s="8" t="n"/>
      <x:c r="B1689" s="8" t="n"/>
      <x:c r="C1689" s="8" t="n"/>
      <x:c r="D1689" s="8" t="n"/>
    </x:row>
    <x:row r="1690">
      <x:c r="A1690" s="8" t="n"/>
      <x:c r="B1690" s="8" t="n"/>
      <x:c r="C1690" s="8" t="n"/>
      <x:c r="D1690" s="8" t="n"/>
    </x:row>
    <x:row r="1691">
      <x:c r="A1691" s="8" t="n"/>
      <x:c r="B1691" s="8" t="n"/>
      <x:c r="C1691" s="8" t="n"/>
      <x:c r="D1691" s="8" t="n"/>
    </x:row>
    <x:row r="1692">
      <x:c r="A1692" s="8" t="n"/>
      <x:c r="B1692" s="8" t="n"/>
      <x:c r="C1692" s="8" t="n"/>
      <x:c r="D1692" s="8" t="n"/>
    </x:row>
    <x:row r="1693">
      <x:c r="A1693" s="8" t="n"/>
      <x:c r="B1693" s="8" t="n"/>
      <x:c r="C1693" s="8" t="n"/>
      <x:c r="D1693" s="8" t="n"/>
    </x:row>
    <x:row r="1694">
      <x:c r="A1694" s="8" t="n"/>
      <x:c r="B1694" s="8" t="n"/>
      <x:c r="C1694" s="8" t="n"/>
      <x:c r="D1694" s="8" t="n"/>
    </x:row>
    <x:row r="1695">
      <x:c r="A1695" s="8" t="n"/>
      <x:c r="B1695" s="8" t="n"/>
      <x:c r="C1695" s="8" t="n"/>
      <x:c r="D1695" s="8" t="n"/>
    </x:row>
    <x:row r="1696">
      <x:c r="A1696" s="8" t="n"/>
      <x:c r="B1696" s="8" t="n"/>
      <x:c r="C1696" s="8" t="n"/>
      <x:c r="D1696" s="8" t="n"/>
    </x:row>
    <x:row r="1697">
      <x:c r="A1697" s="8" t="n"/>
      <x:c r="B1697" s="8" t="n"/>
      <x:c r="C1697" s="8" t="n"/>
      <x:c r="D1697" s="8" t="n"/>
    </x:row>
    <x:row r="1698">
      <x:c r="A1698" s="8" t="n"/>
      <x:c r="B1698" s="8" t="n"/>
      <x:c r="C1698" s="8" t="n"/>
      <x:c r="D1698" s="8" t="n"/>
    </x:row>
    <x:row r="1699">
      <x:c r="A1699" s="8" t="n"/>
      <x:c r="B1699" s="8" t="n"/>
      <x:c r="C1699" s="8" t="n"/>
      <x:c r="D1699" s="8" t="n"/>
    </x:row>
    <x:row r="1700">
      <x:c r="A1700" s="8" t="n"/>
      <x:c r="B1700" s="8" t="n"/>
      <x:c r="C1700" s="8" t="n"/>
      <x:c r="D1700" s="8" t="n"/>
    </x:row>
    <x:row r="1701">
      <x:c r="A1701" s="8" t="n"/>
      <x:c r="B1701" s="8" t="n"/>
      <x:c r="C1701" s="8" t="n"/>
      <x:c r="D1701" s="8" t="n"/>
    </x:row>
    <x:row r="1702">
      <x:c r="A1702" s="8" t="n"/>
      <x:c r="B1702" s="8" t="n"/>
      <x:c r="C1702" s="8" t="n"/>
      <x:c r="D1702" s="8" t="n"/>
    </x:row>
    <x:row r="1703">
      <x:c r="A1703" s="8" t="n"/>
      <x:c r="B1703" s="8" t="n"/>
      <x:c r="C1703" s="8" t="n"/>
      <x:c r="D1703" s="8" t="n"/>
    </x:row>
    <x:row r="1704">
      <x:c r="A1704" s="8" t="n"/>
      <x:c r="B1704" s="8" t="n"/>
      <x:c r="C1704" s="8" t="n"/>
      <x:c r="D1704" s="8" t="n"/>
    </x:row>
    <x:row r="1705">
      <x:c r="A1705" s="8" t="n"/>
      <x:c r="B1705" s="8" t="n"/>
      <x:c r="C1705" s="8" t="n"/>
      <x:c r="D1705" s="8" t="n"/>
    </x:row>
    <x:row r="1706">
      <x:c r="A1706" s="8" t="n"/>
      <x:c r="B1706" s="8" t="n"/>
      <x:c r="C1706" s="8" t="n"/>
      <x:c r="D1706" s="8" t="n"/>
    </x:row>
    <x:row r="1707">
      <x:c r="A1707" s="8" t="n"/>
      <x:c r="B1707" s="8" t="n"/>
      <x:c r="C1707" s="8" t="n"/>
      <x:c r="D1707" s="8" t="n"/>
    </x:row>
    <x:row r="1708">
      <x:c r="A1708" s="8" t="n"/>
      <x:c r="B1708" s="8" t="n"/>
      <x:c r="C1708" s="8" t="n"/>
      <x:c r="D1708" s="8" t="n"/>
    </x:row>
    <x:row r="1709">
      <x:c r="A1709" s="8" t="n"/>
      <x:c r="B1709" s="8" t="n"/>
      <x:c r="C1709" s="8" t="n"/>
      <x:c r="D1709" s="8" t="n"/>
    </x:row>
    <x:row r="1710">
      <x:c r="A1710" s="8" t="n"/>
      <x:c r="B1710" s="8" t="n"/>
      <x:c r="C1710" s="8" t="n"/>
      <x:c r="D1710" s="8" t="n"/>
    </x:row>
    <x:row r="1711">
      <x:c r="A1711" s="8" t="n"/>
      <x:c r="B1711" s="8" t="n"/>
      <x:c r="C1711" s="8" t="n"/>
      <x:c r="D1711" s="8" t="n"/>
    </x:row>
    <x:row r="1712">
      <x:c r="A1712" s="8" t="n"/>
      <x:c r="B1712" s="8" t="n"/>
      <x:c r="C1712" s="8" t="n"/>
      <x:c r="D1712" s="8" t="n"/>
    </x:row>
    <x:row r="1713">
      <x:c r="A1713" s="8" t="n"/>
      <x:c r="B1713" s="8" t="n"/>
      <x:c r="C1713" s="8" t="n"/>
      <x:c r="D1713" s="8" t="n"/>
    </x:row>
    <x:row r="1714">
      <x:c r="A1714" s="8" t="n"/>
      <x:c r="B1714" s="8" t="n"/>
      <x:c r="C1714" s="8" t="n"/>
      <x:c r="D1714" s="8" t="n"/>
    </x:row>
    <x:row r="1715">
      <x:c r="A1715" s="8" t="n"/>
      <x:c r="B1715" s="8" t="n"/>
      <x:c r="C1715" s="8" t="n"/>
      <x:c r="D1715" s="8" t="n"/>
    </x:row>
    <x:row r="1716">
      <x:c r="A1716" s="8" t="n"/>
      <x:c r="B1716" s="8" t="n"/>
      <x:c r="C1716" s="8" t="n"/>
      <x:c r="D1716" s="8" t="n"/>
    </x:row>
    <x:row r="1717">
      <x:c r="A1717" s="8" t="n"/>
      <x:c r="B1717" s="8" t="n"/>
      <x:c r="C1717" s="8" t="n"/>
      <x:c r="D1717" s="8" t="n"/>
    </x:row>
    <x:row r="1718">
      <x:c r="A1718" s="8" t="n"/>
      <x:c r="B1718" s="8" t="n"/>
      <x:c r="C1718" s="8" t="n"/>
      <x:c r="D1718" s="8" t="n"/>
    </x:row>
    <x:row r="1719">
      <x:c r="A1719" s="8" t="n"/>
      <x:c r="B1719" s="8" t="n"/>
      <x:c r="C1719" s="8" t="n"/>
      <x:c r="D1719" s="8" t="n"/>
    </x:row>
    <x:row r="1720">
      <x:c r="A1720" s="8" t="n"/>
      <x:c r="B1720" s="8" t="n"/>
      <x:c r="C1720" s="8" t="n"/>
      <x:c r="D1720" s="8" t="n"/>
    </x:row>
    <x:row r="1721">
      <x:c r="A1721" s="8" t="n"/>
      <x:c r="B1721" s="8" t="n"/>
      <x:c r="C1721" s="8" t="n"/>
      <x:c r="D1721" s="8" t="n"/>
    </x:row>
    <x:row r="1722">
      <x:c r="A1722" s="8" t="n"/>
      <x:c r="B1722" s="8" t="n"/>
      <x:c r="C1722" s="8" t="n"/>
      <x:c r="D1722" s="8" t="n"/>
    </x:row>
    <x:row r="1723">
      <x:c r="A1723" s="8" t="n"/>
      <x:c r="B1723" s="8" t="n"/>
      <x:c r="C1723" s="8" t="n"/>
      <x:c r="D1723" s="8" t="n"/>
    </x:row>
    <x:row r="1724">
      <x:c r="A1724" s="8" t="n"/>
      <x:c r="B1724" s="8" t="n"/>
      <x:c r="C1724" s="8" t="n"/>
      <x:c r="D1724" s="8" t="n"/>
    </x:row>
    <x:row r="1725">
      <x:c r="A1725" s="8" t="n"/>
      <x:c r="B1725" s="8" t="n"/>
      <x:c r="C1725" s="8" t="n"/>
      <x:c r="D1725" s="8" t="n"/>
    </x:row>
    <x:row r="1726">
      <x:c r="A1726" s="8" t="n"/>
      <x:c r="B1726" s="8" t="n"/>
      <x:c r="C1726" s="8" t="n"/>
      <x:c r="D1726" s="8" t="n"/>
    </x:row>
    <x:row r="1727">
      <x:c r="A1727" s="8" t="n"/>
      <x:c r="B1727" s="8" t="n"/>
      <x:c r="C1727" s="8" t="n"/>
      <x:c r="D1727" s="8" t="n"/>
    </x:row>
    <x:row r="1728">
      <x:c r="A1728" s="8" t="n"/>
      <x:c r="B1728" s="8" t="n"/>
      <x:c r="C1728" s="8" t="n"/>
      <x:c r="D1728" s="8" t="n"/>
    </x:row>
    <x:row r="1729">
      <x:c r="A1729" s="8" t="n"/>
      <x:c r="B1729" s="8" t="n"/>
      <x:c r="C1729" s="8" t="n"/>
      <x:c r="D1729" s="8" t="n"/>
    </x:row>
    <x:row r="1730">
      <x:c r="A1730" s="8" t="n"/>
      <x:c r="B1730" s="8" t="n"/>
      <x:c r="C1730" s="8" t="n"/>
      <x:c r="D1730" s="8" t="n"/>
    </x:row>
    <x:row r="1731">
      <x:c r="A1731" s="8" t="n"/>
      <x:c r="B1731" s="8" t="n"/>
      <x:c r="C1731" s="8" t="n"/>
      <x:c r="D1731" s="8" t="n"/>
    </x:row>
    <x:row r="1732">
      <x:c r="A1732" s="8" t="n"/>
      <x:c r="B1732" s="8" t="n"/>
      <x:c r="C1732" s="8" t="n"/>
      <x:c r="D1732" s="8" t="n"/>
    </x:row>
    <x:row r="1733">
      <x:c r="A1733" s="8" t="n"/>
      <x:c r="B1733" s="8" t="n"/>
      <x:c r="C1733" s="8" t="n"/>
      <x:c r="D1733" s="8" t="n"/>
    </x:row>
    <x:row r="1734">
      <x:c r="A1734" s="8" t="n"/>
      <x:c r="B1734" s="8" t="n"/>
      <x:c r="C1734" s="8" t="n"/>
      <x:c r="D1734" s="8" t="n"/>
    </x:row>
    <x:row r="1735">
      <x:c r="A1735" s="8" t="n"/>
      <x:c r="B1735" s="8" t="n"/>
      <x:c r="C1735" s="8" t="n"/>
      <x:c r="D1735" s="8" t="n"/>
    </x:row>
    <x:row r="1736">
      <x:c r="A1736" s="8" t="n"/>
      <x:c r="B1736" s="8" t="n"/>
      <x:c r="C1736" s="8" t="n"/>
      <x:c r="D1736" s="8" t="n"/>
    </x:row>
    <x:row r="1737">
      <x:c r="A1737" s="8" t="n"/>
      <x:c r="B1737" s="8" t="n"/>
      <x:c r="C1737" s="8" t="n"/>
      <x:c r="D1737" s="8" t="n"/>
    </x:row>
    <x:row r="1738">
      <x:c r="A1738" s="8" t="n"/>
      <x:c r="B1738" s="8" t="n"/>
      <x:c r="C1738" s="8" t="n"/>
      <x:c r="D1738" s="8" t="n"/>
    </x:row>
    <x:row r="1739">
      <x:c r="A1739" s="8" t="n"/>
      <x:c r="B1739" s="8" t="n"/>
      <x:c r="C1739" s="8" t="n"/>
      <x:c r="D1739" s="8" t="n"/>
    </x:row>
    <x:row r="1740">
      <x:c r="A1740" s="8" t="n"/>
      <x:c r="B1740" s="8" t="n"/>
      <x:c r="C1740" s="8" t="n"/>
      <x:c r="D1740" s="8" t="n"/>
    </x:row>
    <x:row r="1741">
      <x:c r="A1741" s="8" t="n"/>
      <x:c r="B1741" s="8" t="n"/>
      <x:c r="C1741" s="8" t="n"/>
      <x:c r="D1741" s="8" t="n"/>
    </x:row>
    <x:row r="1742">
      <x:c r="A1742" s="8" t="n"/>
      <x:c r="B1742" s="8" t="n"/>
      <x:c r="C1742" s="8" t="n"/>
      <x:c r="D1742" s="8" t="n"/>
    </x:row>
    <x:row r="1743">
      <x:c r="A1743" s="8" t="n"/>
      <x:c r="B1743" s="8" t="n"/>
      <x:c r="C1743" s="8" t="n"/>
      <x:c r="D1743" s="8" t="n"/>
    </x:row>
    <x:row r="1744">
      <x:c r="A1744" s="8" t="n"/>
      <x:c r="B1744" s="8" t="n"/>
      <x:c r="C1744" s="8" t="n"/>
      <x:c r="D1744" s="8" t="n"/>
    </x:row>
    <x:row r="1745">
      <x:c r="A1745" s="8" t="n"/>
      <x:c r="B1745" s="8" t="n"/>
      <x:c r="C1745" s="8" t="n"/>
      <x:c r="D1745" s="8" t="n"/>
    </x:row>
    <x:row r="1746">
      <x:c r="A1746" s="8" t="n"/>
      <x:c r="B1746" s="8" t="n"/>
      <x:c r="C1746" s="8" t="n"/>
      <x:c r="D1746" s="8" t="n"/>
    </x:row>
    <x:row r="1747">
      <x:c r="A1747" s="8" t="n"/>
      <x:c r="B1747" s="8" t="n"/>
      <x:c r="C1747" s="8" t="n"/>
      <x:c r="D1747" s="8" t="n"/>
    </x:row>
    <x:row r="1748">
      <x:c r="A1748" s="8" t="n"/>
      <x:c r="B1748" s="8" t="n"/>
      <x:c r="C1748" s="8" t="n"/>
      <x:c r="D1748" s="8" t="n"/>
    </x:row>
    <x:row r="1749">
      <x:c r="A1749" s="8" t="n"/>
      <x:c r="B1749" s="8" t="n"/>
      <x:c r="C1749" s="8" t="n"/>
      <x:c r="D1749" s="8" t="n"/>
    </x:row>
    <x:row r="1750">
      <x:c r="A1750" s="8" t="n"/>
      <x:c r="B1750" s="8" t="n"/>
      <x:c r="C1750" s="8" t="n"/>
      <x:c r="D1750" s="8" t="n"/>
    </x:row>
    <x:row r="1751">
      <x:c r="A1751" s="8" t="n"/>
      <x:c r="B1751" s="8" t="n"/>
      <x:c r="C1751" s="8" t="n"/>
      <x:c r="D1751" s="8" t="n"/>
    </x:row>
    <x:row r="1752">
      <x:c r="A1752" s="8" t="n"/>
      <x:c r="B1752" s="8" t="n"/>
      <x:c r="C1752" s="8" t="n"/>
      <x:c r="D1752" s="8" t="n"/>
    </x:row>
    <x:row r="1753">
      <x:c r="A1753" s="8" t="n"/>
      <x:c r="B1753" s="8" t="n"/>
      <x:c r="C1753" s="8" t="n"/>
      <x:c r="D1753" s="8" t="n"/>
    </x:row>
    <x:row r="1754">
      <x:c r="A1754" s="8" t="n"/>
      <x:c r="B1754" s="8" t="n"/>
      <x:c r="C1754" s="8" t="n"/>
      <x:c r="D1754" s="8" t="n"/>
    </x:row>
    <x:row r="1755">
      <x:c r="A1755" s="8" t="n"/>
      <x:c r="B1755" s="8" t="n"/>
      <x:c r="C1755" s="8" t="n"/>
      <x:c r="D1755" s="8" t="n"/>
    </x:row>
    <x:row r="1756">
      <x:c r="A1756" s="8" t="n"/>
      <x:c r="B1756" s="8" t="n"/>
      <x:c r="C1756" s="8" t="n"/>
      <x:c r="D1756" s="8" t="n"/>
    </x:row>
    <x:row r="1757">
      <x:c r="A1757" s="8" t="n"/>
      <x:c r="B1757" s="8" t="n"/>
      <x:c r="C1757" s="8" t="n"/>
      <x:c r="D1757" s="8" t="n"/>
    </x:row>
    <x:row r="1758">
      <x:c r="A1758" s="8" t="n"/>
      <x:c r="B1758" s="8" t="n"/>
      <x:c r="C1758" s="8" t="n"/>
      <x:c r="D1758" s="8" t="n"/>
    </x:row>
    <x:row r="1759">
      <x:c r="A1759" s="8" t="n"/>
      <x:c r="B1759" s="8" t="n"/>
      <x:c r="C1759" s="8" t="n"/>
      <x:c r="D1759" s="8" t="n"/>
    </x:row>
    <x:row r="1760">
      <x:c r="A1760" s="8" t="n"/>
      <x:c r="B1760" s="8" t="n"/>
      <x:c r="C1760" s="8" t="n"/>
      <x:c r="D1760" s="8" t="n"/>
    </x:row>
    <x:row r="1761">
      <x:c r="A1761" s="8" t="n"/>
      <x:c r="B1761" s="8" t="n"/>
      <x:c r="C1761" s="8" t="n"/>
      <x:c r="D1761" s="8" t="n"/>
    </x:row>
    <x:row r="1762">
      <x:c r="A1762" s="8" t="n"/>
      <x:c r="B1762" s="8" t="n"/>
      <x:c r="C1762" s="8" t="n"/>
      <x:c r="D1762" s="8" t="n"/>
    </x:row>
    <x:row r="1763">
      <x:c r="A1763" s="8" t="n"/>
      <x:c r="B1763" s="8" t="n"/>
      <x:c r="C1763" s="8" t="n"/>
      <x:c r="D1763" s="8" t="n"/>
    </x:row>
    <x:row r="1764">
      <x:c r="A1764" s="8" t="n"/>
      <x:c r="B1764" s="8" t="n"/>
      <x:c r="C1764" s="8" t="n"/>
      <x:c r="D1764" s="8" t="n"/>
    </x:row>
    <x:row r="1765">
      <x:c r="A1765" s="8" t="n"/>
      <x:c r="B1765" s="8" t="n"/>
      <x:c r="C1765" s="8" t="n"/>
      <x:c r="D1765" s="8" t="n"/>
    </x:row>
    <x:row r="1766">
      <x:c r="A1766" s="8" t="n"/>
      <x:c r="B1766" s="8" t="n"/>
      <x:c r="C1766" s="8" t="n"/>
      <x:c r="D1766" s="8" t="n"/>
    </x:row>
    <x:row r="1767">
      <x:c r="A1767" s="8" t="n"/>
      <x:c r="B1767" s="8" t="n"/>
      <x:c r="C1767" s="8" t="n"/>
      <x:c r="D1767" s="8" t="n"/>
    </x:row>
    <x:row r="1768">
      <x:c r="A1768" s="8" t="n"/>
      <x:c r="B1768" s="8" t="n"/>
      <x:c r="C1768" s="8" t="n"/>
      <x:c r="D1768" s="8" t="n"/>
    </x:row>
    <x:row r="1769">
      <x:c r="A1769" s="8" t="n"/>
      <x:c r="B1769" s="8" t="n"/>
      <x:c r="C1769" s="8" t="n"/>
      <x:c r="D1769" s="8" t="n"/>
    </x:row>
    <x:row r="1770">
      <x:c r="A1770" s="8" t="n"/>
      <x:c r="B1770" s="8" t="n"/>
      <x:c r="C1770" s="8" t="n"/>
      <x:c r="D1770" s="8" t="n"/>
    </x:row>
    <x:row r="1771">
      <x:c r="A1771" s="8" t="n"/>
      <x:c r="B1771" s="8" t="n"/>
      <x:c r="C1771" s="8" t="n"/>
      <x:c r="D1771" s="8" t="n"/>
    </x:row>
    <x:row r="1772">
      <x:c r="A1772" s="8" t="n"/>
      <x:c r="B1772" s="8" t="n"/>
      <x:c r="C1772" s="8" t="n"/>
      <x:c r="D1772" s="8" t="n"/>
    </x:row>
    <x:row r="1773">
      <x:c r="A1773" s="8" t="n"/>
      <x:c r="B1773" s="8" t="n"/>
      <x:c r="C1773" s="8" t="n"/>
      <x:c r="D1773" s="8" t="n"/>
    </x:row>
    <x:row r="1774">
      <x:c r="A1774" s="8" t="n"/>
      <x:c r="B1774" s="8" t="n"/>
      <x:c r="C1774" s="8" t="n"/>
      <x:c r="D1774" s="8" t="n"/>
    </x:row>
    <x:row r="1775">
      <x:c r="A1775" s="8" t="n"/>
      <x:c r="B1775" s="8" t="n"/>
      <x:c r="C1775" s="8" t="n"/>
      <x:c r="D1775" s="8" t="n"/>
    </x:row>
    <x:row r="1776">
      <x:c r="A1776" s="8" t="n"/>
      <x:c r="B1776" s="8" t="n"/>
      <x:c r="C1776" s="8" t="n"/>
      <x:c r="D1776" s="8" t="n"/>
    </x:row>
    <x:row r="1777">
      <x:c r="A1777" s="8" t="n"/>
      <x:c r="B1777" s="8" t="n"/>
      <x:c r="C1777" s="8" t="n"/>
      <x:c r="D1777" s="8" t="n"/>
    </x:row>
    <x:row r="1778">
      <x:c r="A1778" s="8" t="n"/>
      <x:c r="B1778" s="8" t="n"/>
      <x:c r="C1778" s="8" t="n"/>
      <x:c r="D1778" s="8" t="n"/>
    </x:row>
    <x:row r="1779">
      <x:c r="A1779" s="8" t="n"/>
      <x:c r="B1779" s="8" t="n"/>
      <x:c r="C1779" s="8" t="n"/>
      <x:c r="D1779" s="8" t="n"/>
    </x:row>
    <x:row r="1780">
      <x:c r="A1780" s="8" t="n"/>
      <x:c r="B1780" s="8" t="n"/>
      <x:c r="C1780" s="8" t="n"/>
      <x:c r="D1780" s="8" t="n"/>
    </x:row>
    <x:row r="1781">
      <x:c r="A1781" s="8" t="n"/>
      <x:c r="B1781" s="8" t="n"/>
      <x:c r="C1781" s="8" t="n"/>
      <x:c r="D1781" s="8" t="n"/>
    </x:row>
    <x:row r="1782">
      <x:c r="A1782" s="8" t="n"/>
      <x:c r="B1782" s="8" t="n"/>
      <x:c r="C1782" s="8" t="n"/>
      <x:c r="D1782" s="8" t="n"/>
    </x:row>
    <x:row r="1783">
      <x:c r="A1783" s="8" t="n"/>
      <x:c r="B1783" s="8" t="n"/>
      <x:c r="C1783" s="8" t="n"/>
      <x:c r="D1783" s="8" t="n"/>
    </x:row>
    <x:row r="1784">
      <x:c r="A1784" s="8" t="n"/>
      <x:c r="B1784" s="8" t="n"/>
      <x:c r="C1784" s="8" t="n"/>
      <x:c r="D1784" s="8" t="n"/>
    </x:row>
    <x:row r="1785">
      <x:c r="A1785" s="8" t="n"/>
      <x:c r="B1785" s="8" t="n"/>
      <x:c r="C1785" s="8" t="n"/>
      <x:c r="D1785" s="8" t="n"/>
    </x:row>
    <x:row r="1786">
      <x:c r="A1786" s="8" t="n"/>
      <x:c r="B1786" s="8" t="n"/>
      <x:c r="C1786" s="8" t="n"/>
      <x:c r="D1786" s="8" t="n"/>
    </x:row>
    <x:row r="1787">
      <x:c r="A1787" s="8" t="n"/>
      <x:c r="B1787" s="8" t="n"/>
      <x:c r="C1787" s="8" t="n"/>
      <x:c r="D1787" s="8" t="n"/>
    </x:row>
    <x:row r="1788">
      <x:c r="A1788" s="8" t="n"/>
      <x:c r="B1788" s="8" t="n"/>
      <x:c r="C1788" s="8" t="n"/>
      <x:c r="D1788" s="8" t="n"/>
    </x:row>
    <x:row r="1789">
      <x:c r="A1789" s="8" t="n"/>
      <x:c r="B1789" s="8" t="n"/>
      <x:c r="C1789" s="8" t="n"/>
      <x:c r="D1789" s="8" t="n"/>
    </x:row>
    <x:row r="1790">
      <x:c r="A1790" s="8" t="n"/>
      <x:c r="B1790" s="8" t="n"/>
      <x:c r="C1790" s="8" t="n"/>
      <x:c r="D1790" s="8" t="n"/>
    </x:row>
    <x:row r="1791">
      <x:c r="A1791" s="8" t="n"/>
      <x:c r="B1791" s="8" t="n"/>
      <x:c r="C1791" s="8" t="n"/>
      <x:c r="D1791" s="8" t="n"/>
    </x:row>
    <x:row r="1792">
      <x:c r="A1792" s="8" t="n"/>
      <x:c r="B1792" s="8" t="n"/>
      <x:c r="C1792" s="8" t="n"/>
      <x:c r="D1792" s="8" t="n"/>
    </x:row>
    <x:row r="1793">
      <x:c r="A1793" s="8" t="n"/>
      <x:c r="B1793" s="8" t="n"/>
      <x:c r="C1793" s="8" t="n"/>
      <x:c r="D1793" s="8" t="n"/>
    </x:row>
    <x:row r="1794">
      <x:c r="A1794" s="8" t="n"/>
      <x:c r="B1794" s="8" t="n"/>
      <x:c r="C1794" s="8" t="n"/>
      <x:c r="D1794" s="8" t="n"/>
    </x:row>
    <x:row r="1795">
      <x:c r="A1795" s="8" t="n"/>
      <x:c r="B1795" s="8" t="n"/>
      <x:c r="C1795" s="8" t="n"/>
      <x:c r="D1795" s="8" t="n"/>
    </x:row>
    <x:row r="1796">
      <x:c r="A1796" s="8" t="n"/>
      <x:c r="B1796" s="8" t="n"/>
      <x:c r="C1796" s="8" t="n"/>
      <x:c r="D1796" s="8" t="n"/>
    </x:row>
    <x:row r="1797">
      <x:c r="A1797" s="8" t="n"/>
      <x:c r="B1797" s="8" t="n"/>
      <x:c r="C1797" s="8" t="n"/>
      <x:c r="D1797" s="8" t="n"/>
    </x:row>
    <x:row r="1798">
      <x:c r="A1798" s="8" t="n"/>
      <x:c r="B1798" s="8" t="n"/>
      <x:c r="C1798" s="8" t="n"/>
      <x:c r="D1798" s="8" t="n"/>
    </x:row>
    <x:row r="1799">
      <x:c r="A1799" s="8" t="n"/>
      <x:c r="B1799" s="8" t="n"/>
      <x:c r="C1799" s="8" t="n"/>
      <x:c r="D1799" s="8" t="n"/>
    </x:row>
    <x:row r="1800">
      <x:c r="A1800" s="8" t="n"/>
      <x:c r="B1800" s="8" t="n"/>
      <x:c r="C1800" s="8" t="n"/>
      <x:c r="D1800" s="8" t="n"/>
    </x:row>
    <x:row r="1801">
      <x:c r="A1801" s="8" t="n"/>
      <x:c r="B1801" s="8" t="n"/>
      <x:c r="C1801" s="8" t="n"/>
      <x:c r="D1801" s="8" t="n"/>
    </x:row>
    <x:row r="1802">
      <x:c r="A1802" s="8" t="n"/>
      <x:c r="B1802" s="8" t="n"/>
      <x:c r="C1802" s="8" t="n"/>
      <x:c r="D1802" s="8" t="n"/>
    </x:row>
    <x:row r="1803">
      <x:c r="A1803" s="8" t="n"/>
      <x:c r="B1803" s="8" t="n"/>
      <x:c r="C1803" s="8" t="n"/>
      <x:c r="D1803" s="8" t="n"/>
    </x:row>
    <x:row r="1804">
      <x:c r="A1804" s="8" t="n"/>
      <x:c r="B1804" s="8" t="n"/>
      <x:c r="C1804" s="8" t="n"/>
      <x:c r="D1804" s="8" t="n"/>
    </x:row>
    <x:row r="1805">
      <x:c r="A1805" s="8" t="n"/>
      <x:c r="B1805" s="8" t="n"/>
      <x:c r="C1805" s="8" t="n"/>
      <x:c r="D1805" s="8" t="n"/>
    </x:row>
    <x:row r="1806">
      <x:c r="A1806" s="8" t="n"/>
      <x:c r="B1806" s="8" t="n"/>
      <x:c r="C1806" s="8" t="n"/>
      <x:c r="D1806" s="8" t="n"/>
    </x:row>
    <x:row r="1807">
      <x:c r="A1807" s="8" t="n"/>
      <x:c r="B1807" s="8" t="n"/>
      <x:c r="C1807" s="8" t="n"/>
      <x:c r="D1807" s="8" t="n"/>
    </x:row>
    <x:row r="1808">
      <x:c r="A1808" s="8" t="n"/>
      <x:c r="B1808" s="8" t="n"/>
      <x:c r="C1808" s="8" t="n"/>
      <x:c r="D1808" s="8" t="n"/>
    </x:row>
    <x:row r="1809">
      <x:c r="A1809" s="8" t="n"/>
      <x:c r="B1809" s="8" t="n"/>
      <x:c r="C1809" s="8" t="n"/>
      <x:c r="D1809" s="8" t="n"/>
    </x:row>
    <x:row r="1810">
      <x:c r="A1810" s="8" t="n"/>
      <x:c r="B1810" s="8" t="n"/>
      <x:c r="C1810" s="8" t="n"/>
      <x:c r="D1810" s="8" t="n"/>
    </x:row>
    <x:row r="1811">
      <x:c r="A1811" s="8" t="n"/>
      <x:c r="B1811" s="8" t="n"/>
      <x:c r="C1811" s="8" t="n"/>
      <x:c r="D1811" s="8" t="n"/>
    </x:row>
    <x:row r="1812">
      <x:c r="A1812" s="8" t="n"/>
      <x:c r="B1812" s="8" t="n"/>
      <x:c r="C1812" s="8" t="n"/>
      <x:c r="D1812" s="8" t="n"/>
    </x:row>
    <x:row r="1813">
      <x:c r="A1813" s="8" t="n"/>
      <x:c r="B1813" s="8" t="n"/>
      <x:c r="C1813" s="8" t="n"/>
      <x:c r="D1813" s="8" t="n"/>
    </x:row>
    <x:row r="1814">
      <x:c r="A1814" s="8" t="n"/>
      <x:c r="B1814" s="8" t="n"/>
      <x:c r="C1814" s="8" t="n"/>
      <x:c r="D1814" s="8" t="n"/>
    </x:row>
    <x:row r="1815">
      <x:c r="A1815" s="8" t="n"/>
      <x:c r="B1815" s="8" t="n"/>
      <x:c r="C1815" s="8" t="n"/>
      <x:c r="D1815" s="8" t="n"/>
    </x:row>
    <x:row r="1816">
      <x:c r="A1816" s="8" t="n"/>
      <x:c r="B1816" s="8" t="n"/>
      <x:c r="C1816" s="8" t="n"/>
      <x:c r="D1816" s="8" t="n"/>
    </x:row>
    <x:row r="1817">
      <x:c r="A1817" s="8" t="n"/>
      <x:c r="B1817" s="8" t="n"/>
      <x:c r="C1817" s="8" t="n"/>
      <x:c r="D1817" s="8" t="n"/>
    </x:row>
    <x:row r="1818">
      <x:c r="A1818" s="8" t="n"/>
      <x:c r="B1818" s="8" t="n"/>
      <x:c r="C1818" s="8" t="n"/>
      <x:c r="D1818" s="8" t="n"/>
    </x:row>
    <x:row r="1819">
      <x:c r="A1819" s="8" t="n"/>
      <x:c r="B1819" s="8" t="n"/>
      <x:c r="C1819" s="8" t="n"/>
      <x:c r="D1819" s="8" t="n"/>
    </x:row>
    <x:row r="1820">
      <x:c r="A1820" s="8" t="n"/>
      <x:c r="B1820" s="8" t="n"/>
      <x:c r="C1820" s="8" t="n"/>
      <x:c r="D1820" s="8" t="n"/>
    </x:row>
    <x:row r="1821">
      <x:c r="A1821" s="8" t="n"/>
      <x:c r="B1821" s="8" t="n"/>
      <x:c r="C1821" s="8" t="n"/>
      <x:c r="D1821" s="8" t="n"/>
    </x:row>
    <x:row r="1822">
      <x:c r="A1822" s="8" t="n"/>
      <x:c r="B1822" s="8" t="n"/>
      <x:c r="C1822" s="8" t="n"/>
      <x:c r="D1822" s="8" t="n"/>
    </x:row>
    <x:row r="1823">
      <x:c r="A1823" s="8" t="n"/>
      <x:c r="B1823" s="8" t="n"/>
      <x:c r="C1823" s="8" t="n"/>
      <x:c r="D1823" s="8" t="n"/>
    </x:row>
    <x:row r="1824">
      <x:c r="A1824" s="8" t="n"/>
      <x:c r="B1824" s="8" t="n"/>
      <x:c r="C1824" s="8" t="n"/>
      <x:c r="D1824" s="8" t="n"/>
    </x:row>
    <x:row r="1825">
      <x:c r="A1825" s="8" t="n"/>
      <x:c r="B1825" s="8" t="n"/>
      <x:c r="C1825" s="8" t="n"/>
      <x:c r="D1825" s="8" t="n"/>
    </x:row>
    <x:row r="1826">
      <x:c r="A1826" s="8" t="n"/>
      <x:c r="B1826" s="8" t="n"/>
      <x:c r="C1826" s="8" t="n"/>
      <x:c r="D1826" s="8" t="n"/>
    </x:row>
    <x:row r="1827">
      <x:c r="A1827" s="8" t="n"/>
      <x:c r="B1827" s="8" t="n"/>
      <x:c r="C1827" s="8" t="n"/>
      <x:c r="D1827" s="8" t="n"/>
    </x:row>
    <x:row r="1828">
      <x:c r="A1828" s="8" t="n"/>
      <x:c r="B1828" s="8" t="n"/>
      <x:c r="C1828" s="8" t="n"/>
      <x:c r="D1828" s="8" t="n"/>
    </x:row>
    <x:row r="1829">
      <x:c r="A1829" s="8" t="n"/>
      <x:c r="B1829" s="8" t="n"/>
      <x:c r="C1829" s="8" t="n"/>
      <x:c r="D1829" s="8" t="n"/>
    </x:row>
    <x:row r="1830">
      <x:c r="A1830" s="8" t="n"/>
      <x:c r="B1830" s="8" t="n"/>
      <x:c r="C1830" s="8" t="n"/>
      <x:c r="D1830" s="8" t="n"/>
    </x:row>
    <x:row r="1831">
      <x:c r="A1831" s="8" t="n"/>
      <x:c r="B1831" s="8" t="n"/>
      <x:c r="C1831" s="8" t="n"/>
      <x:c r="D1831" s="8" t="n"/>
    </x:row>
    <x:row r="1832">
      <x:c r="A1832" s="8" t="n"/>
      <x:c r="B1832" s="8" t="n"/>
      <x:c r="C1832" s="8" t="n"/>
      <x:c r="D1832" s="8" t="n"/>
    </x:row>
    <x:row r="1833">
      <x:c r="A1833" s="8" t="n"/>
      <x:c r="B1833" s="8" t="n"/>
      <x:c r="C1833" s="8" t="n"/>
      <x:c r="D1833" s="8" t="n"/>
    </x:row>
    <x:row r="1834">
      <x:c r="A1834" s="8" t="n"/>
      <x:c r="B1834" s="8" t="n"/>
      <x:c r="C1834" s="8" t="n"/>
      <x:c r="D1834" s="8" t="n"/>
    </x:row>
    <x:row r="1835">
      <x:c r="A1835" s="8" t="n"/>
      <x:c r="B1835" s="8" t="n"/>
      <x:c r="C1835" s="8" t="n"/>
      <x:c r="D1835" s="8" t="n"/>
    </x:row>
    <x:row r="1836">
      <x:c r="A1836" s="8" t="n"/>
      <x:c r="B1836" s="8" t="n"/>
      <x:c r="C1836" s="8" t="n"/>
      <x:c r="D1836" s="8" t="n"/>
    </x:row>
    <x:row r="1837">
      <x:c r="A1837" s="8" t="n"/>
      <x:c r="B1837" s="8" t="n"/>
      <x:c r="C1837" s="8" t="n"/>
      <x:c r="D1837" s="8" t="n"/>
    </x:row>
    <x:row r="1838">
      <x:c r="A1838" s="8" t="n"/>
      <x:c r="B1838" s="8" t="n"/>
      <x:c r="C1838" s="8" t="n"/>
      <x:c r="D1838" s="8" t="n"/>
    </x:row>
    <x:row r="1839">
      <x:c r="A1839" s="8" t="n"/>
      <x:c r="B1839" s="8" t="n"/>
      <x:c r="C1839" s="8" t="n"/>
      <x:c r="D1839" s="8" t="n"/>
    </x:row>
    <x:row r="1840">
      <x:c r="A1840" s="8" t="n"/>
      <x:c r="B1840" s="8" t="n"/>
      <x:c r="C1840" s="8" t="n"/>
      <x:c r="D1840" s="8" t="n"/>
    </x:row>
    <x:row r="1841">
      <x:c r="A1841" s="8" t="n"/>
      <x:c r="B1841" s="8" t="n"/>
      <x:c r="C1841" s="8" t="n"/>
      <x:c r="D1841" s="8" t="n"/>
    </x:row>
    <x:row r="1842">
      <x:c r="A1842" s="8" t="n"/>
      <x:c r="B1842" s="8" t="n"/>
      <x:c r="C1842" s="8" t="n"/>
      <x:c r="D1842" s="8" t="n"/>
    </x:row>
    <x:row r="1843">
      <x:c r="A1843" s="8" t="n"/>
      <x:c r="B1843" s="8" t="n"/>
      <x:c r="C1843" s="8" t="n"/>
      <x:c r="D1843" s="8" t="n"/>
    </x:row>
    <x:row r="1844">
      <x:c r="A1844" s="8" t="n"/>
      <x:c r="B1844" s="8" t="n"/>
      <x:c r="C1844" s="8" t="n"/>
      <x:c r="D1844" s="8" t="n"/>
    </x:row>
    <x:row r="1845">
      <x:c r="A1845" s="8" t="n"/>
      <x:c r="B1845" s="8" t="n"/>
      <x:c r="C1845" s="8" t="n"/>
      <x:c r="D1845" s="8" t="n"/>
    </x:row>
    <x:row r="1846">
      <x:c r="A1846" s="8" t="n"/>
      <x:c r="B1846" s="8" t="n"/>
      <x:c r="C1846" s="8" t="n"/>
      <x:c r="D1846" s="8" t="n"/>
    </x:row>
    <x:row r="1847">
      <x:c r="A1847" s="8" t="n"/>
      <x:c r="B1847" s="8" t="n"/>
      <x:c r="C1847" s="8" t="n"/>
      <x:c r="D1847" s="8" t="n"/>
    </x:row>
    <x:row r="1848">
      <x:c r="A1848" s="8" t="n"/>
      <x:c r="B1848" s="8" t="n"/>
      <x:c r="C1848" s="8" t="n"/>
      <x:c r="D1848" s="8" t="n"/>
    </x:row>
    <x:row r="1849">
      <x:c r="A1849" s="8" t="n"/>
      <x:c r="B1849" s="8" t="n"/>
      <x:c r="C1849" s="8" t="n"/>
      <x:c r="D1849" s="8" t="n"/>
    </x:row>
    <x:row r="1850">
      <x:c r="A1850" s="8" t="n"/>
      <x:c r="B1850" s="8" t="n"/>
      <x:c r="C1850" s="8" t="n"/>
      <x:c r="D1850" s="8" t="n"/>
    </x:row>
    <x:row r="1851">
      <x:c r="A1851" s="8" t="n"/>
      <x:c r="B1851" s="8" t="n"/>
      <x:c r="C1851" s="8" t="n"/>
      <x:c r="D1851" s="8" t="n"/>
    </x:row>
    <x:row r="1852">
      <x:c r="A1852" s="8" t="n"/>
      <x:c r="B1852" s="8" t="n"/>
      <x:c r="C1852" s="8" t="n"/>
      <x:c r="D1852" s="8" t="n"/>
    </x:row>
    <x:row r="1853">
      <x:c r="A1853" s="8" t="n"/>
      <x:c r="B1853" s="8" t="n"/>
      <x:c r="C1853" s="8" t="n"/>
      <x:c r="D1853" s="8" t="n"/>
    </x:row>
    <x:row r="1854">
      <x:c r="A1854" s="8" t="n"/>
      <x:c r="B1854" s="8" t="n"/>
      <x:c r="C1854" s="8" t="n"/>
      <x:c r="D1854" s="8" t="n"/>
    </x:row>
    <x:row r="1855">
      <x:c r="A1855" s="8" t="n"/>
      <x:c r="B1855" s="8" t="n"/>
      <x:c r="C1855" s="8" t="n"/>
      <x:c r="D1855" s="8" t="n"/>
    </x:row>
    <x:row r="1856">
      <x:c r="A1856" s="8" t="n"/>
      <x:c r="B1856" s="8" t="n"/>
      <x:c r="C1856" s="8" t="n"/>
      <x:c r="D1856" s="8" t="n"/>
    </x:row>
    <x:row r="1857">
      <x:c r="A1857" s="8" t="n"/>
      <x:c r="B1857" s="8" t="n"/>
      <x:c r="C1857" s="8" t="n"/>
      <x:c r="D1857" s="8" t="n"/>
    </x:row>
    <x:row r="1858">
      <x:c r="A1858" s="8" t="n"/>
      <x:c r="B1858" s="8" t="n"/>
      <x:c r="C1858" s="8" t="n"/>
      <x:c r="D1858" s="8" t="n"/>
    </x:row>
    <x:row r="1859">
      <x:c r="A1859" s="8" t="n"/>
      <x:c r="B1859" s="8" t="n"/>
      <x:c r="C1859" s="8" t="n"/>
      <x:c r="D1859" s="8" t="n"/>
    </x:row>
    <x:row r="1860">
      <x:c r="A1860" s="8" t="n"/>
      <x:c r="B1860" s="8" t="n"/>
      <x:c r="C1860" s="8" t="n"/>
      <x:c r="D1860" s="8" t="n"/>
    </x:row>
    <x:row r="1861">
      <x:c r="A1861" s="8" t="n"/>
      <x:c r="B1861" s="8" t="n"/>
      <x:c r="C1861" s="8" t="n"/>
      <x:c r="D1861" s="8" t="n"/>
    </x:row>
    <x:row r="1862">
      <x:c r="A1862" s="8" t="n"/>
      <x:c r="B1862" s="8" t="n"/>
      <x:c r="C1862" s="8" t="n"/>
      <x:c r="D1862" s="8" t="n"/>
    </x:row>
    <x:row r="1863">
      <x:c r="A1863" s="8" t="n"/>
      <x:c r="B1863" s="8" t="n"/>
      <x:c r="C1863" s="8" t="n"/>
      <x:c r="D1863" s="8" t="n"/>
    </x:row>
    <x:row r="1864">
      <x:c r="A1864" s="8" t="n"/>
      <x:c r="B1864" s="8" t="n"/>
      <x:c r="C1864" s="8" t="n"/>
      <x:c r="D1864" s="8" t="n"/>
    </x:row>
    <x:row r="1865">
      <x:c r="A1865" s="8" t="n"/>
      <x:c r="B1865" s="8" t="n"/>
      <x:c r="C1865" s="8" t="n"/>
      <x:c r="D1865" s="8" t="n"/>
    </x:row>
    <x:row r="1866">
      <x:c r="A1866" s="8" t="n"/>
      <x:c r="B1866" s="8" t="n"/>
      <x:c r="C1866" s="8" t="n"/>
      <x:c r="D1866" s="8" t="n"/>
    </x:row>
    <x:row r="1867">
      <x:c r="A1867" s="8" t="n"/>
      <x:c r="B1867" s="8" t="n"/>
      <x:c r="C1867" s="8" t="n"/>
      <x:c r="D1867" s="8" t="n"/>
    </x:row>
    <x:row r="1868">
      <x:c r="A1868" s="8" t="n"/>
      <x:c r="B1868" s="8" t="n"/>
      <x:c r="C1868" s="8" t="n"/>
      <x:c r="D1868" s="8" t="n"/>
    </x:row>
    <x:row r="1869">
      <x:c r="A1869" s="8" t="n"/>
      <x:c r="B1869" s="8" t="n"/>
      <x:c r="C1869" s="8" t="n"/>
      <x:c r="D1869" s="8" t="n"/>
    </x:row>
    <x:row r="1870">
      <x:c r="A1870" s="8" t="n"/>
      <x:c r="B1870" s="8" t="n"/>
      <x:c r="C1870" s="8" t="n"/>
      <x:c r="D1870" s="8" t="n"/>
    </x:row>
    <x:row r="1871">
      <x:c r="A1871" s="8" t="n"/>
      <x:c r="B1871" s="8" t="n"/>
      <x:c r="C1871" s="8" t="n"/>
      <x:c r="D1871" s="8" t="n"/>
    </x:row>
    <x:row r="1872">
      <x:c r="A1872" s="8" t="n"/>
      <x:c r="B1872" s="8" t="n"/>
      <x:c r="C1872" s="8" t="n"/>
      <x:c r="D1872" s="8" t="n"/>
    </x:row>
    <x:row r="1873">
      <x:c r="A1873" s="8" t="n"/>
      <x:c r="B1873" s="8" t="n"/>
      <x:c r="C1873" s="8" t="n"/>
      <x:c r="D1873" s="8" t="n"/>
    </x:row>
    <x:row r="1874">
      <x:c r="A1874" s="8" t="n"/>
      <x:c r="B1874" s="8" t="n"/>
      <x:c r="C1874" s="8" t="n"/>
      <x:c r="D1874" s="8" t="n"/>
    </x:row>
    <x:row r="1875">
      <x:c r="A1875" s="8" t="n"/>
      <x:c r="B1875" s="8" t="n"/>
      <x:c r="C1875" s="8" t="n"/>
      <x:c r="D1875" s="8" t="n"/>
    </x:row>
    <x:row r="1876">
      <x:c r="A1876" s="8" t="n"/>
      <x:c r="B1876" s="8" t="n"/>
      <x:c r="C1876" s="8" t="n"/>
      <x:c r="D1876" s="8" t="n"/>
    </x:row>
    <x:row r="1877">
      <x:c r="A1877" s="8" t="n"/>
      <x:c r="B1877" s="8" t="n"/>
      <x:c r="C1877" s="8" t="n"/>
      <x:c r="D1877" s="8" t="n"/>
    </x:row>
    <x:row r="1878">
      <x:c r="A1878" s="8" t="n"/>
      <x:c r="B1878" s="8" t="n"/>
      <x:c r="C1878" s="8" t="n"/>
      <x:c r="D1878" s="8" t="n"/>
    </x:row>
    <x:row r="1879">
      <x:c r="A1879" s="8" t="n"/>
      <x:c r="B1879" s="8" t="n"/>
      <x:c r="C1879" s="8" t="n"/>
      <x:c r="D1879" s="8" t="n"/>
    </x:row>
    <x:row r="1880">
      <x:c r="A1880" s="8" t="n"/>
      <x:c r="B1880" s="8" t="n"/>
      <x:c r="C1880" s="8" t="n"/>
      <x:c r="D1880" s="8" t="n"/>
    </x:row>
    <x:row r="1881">
      <x:c r="A1881" s="8" t="n"/>
      <x:c r="B1881" s="8" t="n"/>
      <x:c r="C1881" s="8" t="n"/>
      <x:c r="D1881" s="8" t="n"/>
    </x:row>
    <x:row r="1882">
      <x:c r="A1882" s="8" t="n"/>
      <x:c r="B1882" s="8" t="n"/>
      <x:c r="C1882" s="8" t="n"/>
      <x:c r="D1882" s="8" t="n"/>
    </x:row>
    <x:row r="1883">
      <x:c r="A1883" s="8" t="n"/>
      <x:c r="B1883" s="8" t="n"/>
      <x:c r="C1883" s="8" t="n"/>
      <x:c r="D1883" s="8" t="n"/>
    </x:row>
    <x:row r="1884">
      <x:c r="A1884" s="8" t="n"/>
      <x:c r="B1884" s="8" t="n"/>
      <x:c r="C1884" s="8" t="n"/>
      <x:c r="D1884" s="8" t="n"/>
    </x:row>
    <x:row r="1885">
      <x:c r="A1885" s="8" t="n"/>
      <x:c r="B1885" s="8" t="n"/>
      <x:c r="C1885" s="8" t="n"/>
      <x:c r="D1885" s="8" t="n"/>
    </x:row>
    <x:row r="1886">
      <x:c r="A1886" s="8" t="n"/>
      <x:c r="B1886" s="8" t="n"/>
      <x:c r="C1886" s="8" t="n"/>
      <x:c r="D1886" s="8" t="n"/>
    </x:row>
    <x:row r="1887">
      <x:c r="A1887" s="8" t="n"/>
      <x:c r="B1887" s="8" t="n"/>
      <x:c r="C1887" s="8" t="n"/>
      <x:c r="D1887" s="8" t="n"/>
    </x:row>
    <x:row r="1888">
      <x:c r="A1888" s="8" t="n"/>
      <x:c r="B1888" s="8" t="n"/>
      <x:c r="C1888" s="8" t="n"/>
      <x:c r="D1888" s="8" t="n"/>
    </x:row>
    <x:row r="1889">
      <x:c r="A1889" s="8" t="n"/>
      <x:c r="B1889" s="8" t="n"/>
      <x:c r="C1889" s="8" t="n"/>
      <x:c r="D1889" s="8" t="n"/>
    </x:row>
    <x:row r="1890">
      <x:c r="A1890" s="8" t="n"/>
      <x:c r="B1890" s="8" t="n"/>
      <x:c r="C1890" s="8" t="n"/>
      <x:c r="D1890" s="8" t="n"/>
    </x:row>
    <x:row r="1891">
      <x:c r="A1891" s="8" t="n"/>
      <x:c r="B1891" s="8" t="n"/>
      <x:c r="C1891" s="8" t="n"/>
      <x:c r="D1891" s="8" t="n"/>
    </x:row>
    <x:row r="1892">
      <x:c r="A1892" s="8" t="n"/>
      <x:c r="B1892" s="8" t="n"/>
      <x:c r="C1892" s="8" t="n"/>
      <x:c r="D1892" s="8" t="n"/>
    </x:row>
    <x:row r="1893">
      <x:c r="A1893" s="8" t="n"/>
      <x:c r="B1893" s="8" t="n"/>
      <x:c r="C1893" s="8" t="n"/>
      <x:c r="D1893" s="8" t="n"/>
    </x:row>
    <x:row r="1894">
      <x:c r="A1894" s="8" t="n"/>
      <x:c r="B1894" s="8" t="n"/>
      <x:c r="C1894" s="8" t="n"/>
      <x:c r="D1894" s="8" t="n"/>
    </x:row>
    <x:row r="1895">
      <x:c r="A1895" s="8" t="n"/>
      <x:c r="B1895" s="8" t="n"/>
      <x:c r="C1895" s="8" t="n"/>
      <x:c r="D1895" s="8" t="n"/>
    </x:row>
    <x:row r="1896">
      <x:c r="A1896" s="8" t="n"/>
      <x:c r="B1896" s="8" t="n"/>
      <x:c r="C1896" s="8" t="n"/>
      <x:c r="D1896" s="8" t="n"/>
    </x:row>
    <x:row r="1897">
      <x:c r="A1897" s="8" t="n"/>
      <x:c r="B1897" s="8" t="n"/>
      <x:c r="C1897" s="8" t="n"/>
      <x:c r="D1897" s="8" t="n"/>
    </x:row>
    <x:row r="1898">
      <x:c r="A1898" s="8" t="n"/>
      <x:c r="B1898" s="8" t="n"/>
      <x:c r="C1898" s="8" t="n"/>
      <x:c r="D1898" s="8" t="n"/>
    </x:row>
    <x:row r="1899">
      <x:c r="A1899" s="8" t="n"/>
      <x:c r="B1899" s="8" t="n"/>
      <x:c r="C1899" s="8" t="n"/>
      <x:c r="D1899" s="8" t="n"/>
    </x:row>
    <x:row r="1900">
      <x:c r="A1900" s="8" t="n"/>
      <x:c r="B1900" s="8" t="n"/>
      <x:c r="C1900" s="8" t="n"/>
      <x:c r="D1900" s="8" t="n"/>
    </x:row>
    <x:row r="1901">
      <x:c r="A1901" s="8" t="n"/>
      <x:c r="B1901" s="8" t="n"/>
      <x:c r="C1901" s="8" t="n"/>
      <x:c r="D1901" s="8" t="n"/>
    </x:row>
    <x:row r="1902">
      <x:c r="A1902" s="8" t="n"/>
      <x:c r="B1902" s="8" t="n"/>
      <x:c r="C1902" s="8" t="n"/>
      <x:c r="D1902" s="8" t="n"/>
    </x:row>
    <x:row r="1903">
      <x:c r="A1903" s="8" t="n"/>
      <x:c r="B1903" s="8" t="n"/>
      <x:c r="C1903" s="8" t="n"/>
      <x:c r="D1903" s="8" t="n"/>
    </x:row>
    <x:row r="1904">
      <x:c r="A1904" s="8" t="n"/>
      <x:c r="B1904" s="8" t="n"/>
      <x:c r="C1904" s="8" t="n"/>
      <x:c r="D1904" s="8" t="n"/>
    </x:row>
    <x:row r="1905">
      <x:c r="A1905" s="8" t="n"/>
      <x:c r="B1905" s="8" t="n"/>
      <x:c r="C1905" s="8" t="n"/>
      <x:c r="D1905" s="8" t="n"/>
    </x:row>
    <x:row r="1906">
      <x:c r="A1906" s="8" t="n"/>
      <x:c r="B1906" s="8" t="n"/>
      <x:c r="C1906" s="8" t="n"/>
      <x:c r="D1906" s="8" t="n"/>
    </x:row>
    <x:row r="1907">
      <x:c r="A1907" s="8" t="n"/>
      <x:c r="B1907" s="8" t="n"/>
      <x:c r="C1907" s="8" t="n"/>
      <x:c r="D1907" s="8" t="n"/>
    </x:row>
    <x:row r="1908">
      <x:c r="A1908" s="8" t="n"/>
      <x:c r="B1908" s="8" t="n"/>
      <x:c r="C1908" s="8" t="n"/>
      <x:c r="D1908" s="8" t="n"/>
    </x:row>
    <x:row r="1909">
      <x:c r="A1909" s="8" t="n"/>
      <x:c r="B1909" s="8" t="n"/>
      <x:c r="C1909" s="8" t="n"/>
      <x:c r="D1909" s="8" t="n"/>
    </x:row>
    <x:row r="1910">
      <x:c r="A1910" s="8" t="n"/>
      <x:c r="B1910" s="8" t="n"/>
      <x:c r="C1910" s="8" t="n"/>
      <x:c r="D1910" s="8" t="n"/>
    </x:row>
    <x:row r="1911">
      <x:c r="A1911" s="8" t="n"/>
      <x:c r="B1911" s="8" t="n"/>
      <x:c r="C1911" s="8" t="n"/>
      <x:c r="D1911" s="8" t="n"/>
    </x:row>
    <x:row r="1912">
      <x:c r="A1912" s="8" t="n"/>
      <x:c r="B1912" s="8" t="n"/>
      <x:c r="C1912" s="8" t="n"/>
      <x:c r="D1912" s="8" t="n"/>
    </x:row>
    <x:row r="1913">
      <x:c r="A1913" s="8" t="n"/>
      <x:c r="B1913" s="8" t="n"/>
      <x:c r="C1913" s="8" t="n"/>
      <x:c r="D1913" s="8" t="n"/>
    </x:row>
    <x:row r="1914">
      <x:c r="A1914" s="8" t="n"/>
      <x:c r="B1914" s="8" t="n"/>
      <x:c r="C1914" s="8" t="n"/>
      <x:c r="D1914" s="8" t="n"/>
    </x:row>
    <x:row r="1915">
      <x:c r="A1915" s="8" t="n"/>
      <x:c r="B1915" s="8" t="n"/>
      <x:c r="C1915" s="8" t="n"/>
      <x:c r="D1915" s="8" t="n"/>
    </x:row>
    <x:row r="1916">
      <x:c r="A1916" s="8" t="n"/>
      <x:c r="B1916" s="8" t="n"/>
      <x:c r="C1916" s="8" t="n"/>
      <x:c r="D1916" s="8" t="n"/>
    </x:row>
    <x:row r="1917">
      <x:c r="A1917" s="8" t="n"/>
      <x:c r="B1917" s="8" t="n"/>
      <x:c r="C1917" s="8" t="n"/>
      <x:c r="D1917" s="8" t="n"/>
    </x:row>
    <x:row r="1918">
      <x:c r="A1918" s="8" t="n"/>
      <x:c r="B1918" s="8" t="n"/>
      <x:c r="C1918" s="8" t="n"/>
      <x:c r="D1918" s="8" t="n"/>
    </x:row>
    <x:row r="1919">
      <x:c r="A1919" s="8" t="n"/>
      <x:c r="B1919" s="8" t="n"/>
      <x:c r="C1919" s="8" t="n"/>
      <x:c r="D1919" s="8" t="n"/>
    </x:row>
    <x:row r="1920">
      <x:c r="A1920" s="8" t="n"/>
      <x:c r="B1920" s="8" t="n"/>
      <x:c r="C1920" s="8" t="n"/>
      <x:c r="D1920" s="8" t="n"/>
    </x:row>
    <x:row r="1921">
      <x:c r="A1921" s="8" t="n"/>
      <x:c r="B1921" s="8" t="n"/>
      <x:c r="C1921" s="8" t="n"/>
      <x:c r="D1921" s="8" t="n"/>
    </x:row>
    <x:row r="1922">
      <x:c r="A1922" s="8" t="n"/>
      <x:c r="B1922" s="8" t="n"/>
      <x:c r="C1922" s="8" t="n"/>
      <x:c r="D1922" s="8" t="n"/>
    </x:row>
    <x:row r="1923">
      <x:c r="A1923" s="8" t="n"/>
      <x:c r="B1923" s="8" t="n"/>
      <x:c r="C1923" s="8" t="n"/>
      <x:c r="D1923" s="8" t="n"/>
    </x:row>
    <x:row r="1924">
      <x:c r="A1924" s="8" t="n"/>
      <x:c r="B1924" s="8" t="n"/>
      <x:c r="C1924" s="8" t="n"/>
      <x:c r="D1924" s="8" t="n"/>
    </x:row>
    <x:row r="1925">
      <x:c r="A1925" s="8" t="n"/>
      <x:c r="B1925" s="8" t="n"/>
      <x:c r="C1925" s="8" t="n"/>
      <x:c r="D1925" s="8" t="n"/>
    </x:row>
    <x:row r="1926">
      <x:c r="A1926" s="8" t="n"/>
      <x:c r="B1926" s="8" t="n"/>
      <x:c r="C1926" s="8" t="n"/>
      <x:c r="D1926" s="8" t="n"/>
    </x:row>
    <x:row r="1927">
      <x:c r="A1927" s="8" t="n"/>
      <x:c r="B1927" s="8" t="n"/>
      <x:c r="C1927" s="8" t="n"/>
      <x:c r="D1927" s="8" t="n"/>
    </x:row>
    <x:row r="1928">
      <x:c r="A1928" s="8" t="n"/>
      <x:c r="B1928" s="8" t="n"/>
      <x:c r="C1928" s="8" t="n"/>
      <x:c r="D1928" s="8" t="n"/>
    </x:row>
    <x:row r="1929">
      <x:c r="A1929" s="8" t="n"/>
      <x:c r="B1929" s="8" t="n"/>
      <x:c r="C1929" s="8" t="n"/>
      <x:c r="D1929" s="8" t="n"/>
    </x:row>
    <x:row r="1930">
      <x:c r="A1930" s="8" t="n"/>
      <x:c r="B1930" s="8" t="n"/>
      <x:c r="C1930" s="8" t="n"/>
      <x:c r="D1930" s="8" t="n"/>
    </x:row>
    <x:row r="1931">
      <x:c r="A1931" s="8" t="n"/>
      <x:c r="B1931" s="8" t="n"/>
      <x:c r="C1931" s="8" t="n"/>
      <x:c r="D1931" s="8" t="n"/>
    </x:row>
    <x:row r="1932">
      <x:c r="A1932" s="8" t="n"/>
      <x:c r="B1932" s="8" t="n"/>
      <x:c r="C1932" s="8" t="n"/>
      <x:c r="D1932" s="8" t="n"/>
    </x:row>
    <x:row r="1933">
      <x:c r="A1933" s="8" t="n"/>
      <x:c r="B1933" s="8" t="n"/>
      <x:c r="C1933" s="8" t="n"/>
      <x:c r="D1933" s="8" t="n"/>
    </x:row>
    <x:row r="1934">
      <x:c r="A1934" s="8" t="n"/>
      <x:c r="B1934" s="8" t="n"/>
      <x:c r="C1934" s="8" t="n"/>
      <x:c r="D1934" s="8" t="n"/>
    </x:row>
    <x:row r="1935">
      <x:c r="A1935" s="8" t="n"/>
      <x:c r="B1935" s="8" t="n"/>
      <x:c r="C1935" s="8" t="n"/>
      <x:c r="D1935" s="8" t="n"/>
    </x:row>
    <x:row r="1936">
      <x:c r="A1936" s="8" t="n"/>
      <x:c r="B1936" s="8" t="n"/>
      <x:c r="C1936" s="8" t="n"/>
      <x:c r="D1936" s="8" t="n"/>
    </x:row>
    <x:row r="1937">
      <x:c r="A1937" s="8" t="n"/>
      <x:c r="B1937" s="8" t="n"/>
      <x:c r="C1937" s="8" t="n"/>
      <x:c r="D1937" s="8" t="n"/>
    </x:row>
    <x:row r="1938">
      <x:c r="A1938" s="8" t="n"/>
      <x:c r="B1938" s="8" t="n"/>
      <x:c r="C1938" s="8" t="n"/>
      <x:c r="D1938" s="8" t="n"/>
    </x:row>
    <x:row r="1939">
      <x:c r="A1939" s="8" t="n"/>
      <x:c r="B1939" s="8" t="n"/>
      <x:c r="C1939" s="8" t="n"/>
      <x:c r="D1939" s="8" t="n"/>
    </x:row>
    <x:row r="1940">
      <x:c r="A1940" s="8" t="n"/>
      <x:c r="B1940" s="8" t="n"/>
      <x:c r="C1940" s="8" t="n"/>
      <x:c r="D1940" s="8" t="n"/>
    </x:row>
    <x:row r="1941">
      <x:c r="A1941" s="8" t="n"/>
      <x:c r="B1941" s="8" t="n"/>
      <x:c r="C1941" s="8" t="n"/>
      <x:c r="D1941" s="8" t="n"/>
    </x:row>
    <x:row r="1942">
      <x:c r="A1942" s="8" t="n"/>
      <x:c r="B1942" s="8" t="n"/>
      <x:c r="C1942" s="8" t="n"/>
      <x:c r="D1942" s="8" t="n"/>
    </x:row>
    <x:row r="1943">
      <x:c r="A1943" s="8" t="n"/>
      <x:c r="B1943" s="8" t="n"/>
      <x:c r="C1943" s="8" t="n"/>
      <x:c r="D1943" s="8" t="n"/>
    </x:row>
    <x:row r="1944">
      <x:c r="A1944" s="8" t="n"/>
      <x:c r="B1944" s="8" t="n"/>
      <x:c r="C1944" s="8" t="n"/>
      <x:c r="D1944" s="8" t="n"/>
    </x:row>
    <x:row r="1945">
      <x:c r="A1945" s="8" t="n"/>
      <x:c r="B1945" s="8" t="n"/>
      <x:c r="C1945" s="8" t="n"/>
      <x:c r="D1945" s="8" t="n"/>
    </x:row>
    <x:row r="1946">
      <x:c r="A1946" s="8" t="n"/>
      <x:c r="B1946" s="8" t="n"/>
      <x:c r="C1946" s="8" t="n"/>
      <x:c r="D1946" s="8" t="n"/>
    </x:row>
    <x:row r="1947">
      <x:c r="A1947" s="8" t="n"/>
      <x:c r="B1947" s="8" t="n"/>
      <x:c r="C1947" s="8" t="n"/>
      <x:c r="D1947" s="8" t="n"/>
    </x:row>
    <x:row r="1948">
      <x:c r="A1948" s="8" t="n"/>
      <x:c r="B1948" s="8" t="n"/>
      <x:c r="C1948" s="8" t="n"/>
      <x:c r="D1948" s="8" t="n"/>
    </x:row>
    <x:row r="1949">
      <x:c r="A1949" s="8" t="n"/>
      <x:c r="B1949" s="8" t="n"/>
      <x:c r="C1949" s="8" t="n"/>
      <x:c r="D1949" s="8" t="n"/>
    </x:row>
    <x:row r="1950">
      <x:c r="A1950" s="8" t="n"/>
      <x:c r="B1950" s="8" t="n"/>
      <x:c r="C1950" s="8" t="n"/>
      <x:c r="D1950" s="8" t="n"/>
    </x:row>
    <x:row r="1951">
      <x:c r="A1951" s="8" t="n"/>
      <x:c r="B1951" s="8" t="n"/>
      <x:c r="C1951" s="8" t="n"/>
      <x:c r="D1951" s="8" t="n"/>
    </x:row>
    <x:row r="1952">
      <x:c r="A1952" s="8" t="n"/>
      <x:c r="B1952" s="8" t="n"/>
      <x:c r="C1952" s="8" t="n"/>
      <x:c r="D1952" s="8" t="n"/>
    </x:row>
    <x:row r="1953">
      <x:c r="A1953" s="8" t="n"/>
      <x:c r="B1953" s="8" t="n"/>
      <x:c r="C1953" s="8" t="n"/>
      <x:c r="D1953" s="8" t="n"/>
    </x:row>
    <x:row r="1954">
      <x:c r="A1954" s="8" t="n"/>
      <x:c r="B1954" s="8" t="n"/>
      <x:c r="C1954" s="8" t="n"/>
      <x:c r="D1954" s="8" t="n"/>
    </x:row>
    <x:row r="1955">
      <x:c r="A1955" s="8" t="n"/>
      <x:c r="B1955" s="8" t="n"/>
      <x:c r="C1955" s="8" t="n"/>
      <x:c r="D1955" s="8" t="n"/>
    </x:row>
    <x:row r="1956">
      <x:c r="A1956" s="8" t="n"/>
      <x:c r="B1956" s="8" t="n"/>
      <x:c r="C1956" s="8" t="n"/>
      <x:c r="D1956" s="8" t="n"/>
    </x:row>
    <x:row r="1957">
      <x:c r="A1957" s="8" t="n"/>
      <x:c r="B1957" s="8" t="n"/>
      <x:c r="C1957" s="8" t="n"/>
      <x:c r="D1957" s="8" t="n"/>
    </x:row>
    <x:row r="1958">
      <x:c r="A1958" s="8" t="n"/>
      <x:c r="B1958" s="8" t="n"/>
      <x:c r="C1958" s="8" t="n"/>
      <x:c r="D1958" s="8" t="n"/>
    </x:row>
    <x:row r="1959">
      <x:c r="A1959" s="8" t="n"/>
      <x:c r="B1959" s="8" t="n"/>
      <x:c r="C1959" s="8" t="n"/>
      <x:c r="D1959" s="8" t="n"/>
    </x:row>
    <x:row r="1960">
      <x:c r="A1960" s="8" t="n"/>
      <x:c r="B1960" s="8" t="n"/>
      <x:c r="C1960" s="8" t="n"/>
      <x:c r="D1960" s="8" t="n"/>
    </x:row>
    <x:row r="1961">
      <x:c r="A1961" s="8" t="n"/>
      <x:c r="B1961" s="8" t="n"/>
      <x:c r="C1961" s="8" t="n"/>
      <x:c r="D1961" s="8" t="n"/>
    </x:row>
    <x:row r="1962">
      <x:c r="A1962" s="8" t="n"/>
      <x:c r="B1962" s="8" t="n"/>
      <x:c r="C1962" s="8" t="n"/>
      <x:c r="D1962" s="8" t="n"/>
    </x:row>
    <x:row r="1963">
      <x:c r="A1963" s="8" t="n"/>
      <x:c r="B1963" s="8" t="n"/>
      <x:c r="C1963" s="8" t="n"/>
      <x:c r="D1963" s="8" t="n"/>
    </x:row>
    <x:row r="1964">
      <x:c r="A1964" s="8" t="n"/>
      <x:c r="B1964" s="8" t="n"/>
      <x:c r="C1964" s="8" t="n"/>
      <x:c r="D1964" s="8" t="n"/>
    </x:row>
    <x:row r="1965">
      <x:c r="A1965" s="8" t="n"/>
      <x:c r="B1965" s="8" t="n"/>
      <x:c r="C1965" s="8" t="n"/>
      <x:c r="D1965" s="8" t="n"/>
    </x:row>
    <x:row r="1966">
      <x:c r="A1966" s="8" t="n"/>
      <x:c r="B1966" s="8" t="n"/>
      <x:c r="C1966" s="8" t="n"/>
      <x:c r="D1966" s="8" t="n"/>
    </x:row>
    <x:row r="1967">
      <x:c r="A1967" s="8" t="n"/>
      <x:c r="B1967" s="8" t="n"/>
      <x:c r="C1967" s="8" t="n"/>
      <x:c r="D1967" s="8" t="n"/>
    </x:row>
    <x:row r="1968">
      <x:c r="A1968" s="8" t="n"/>
      <x:c r="B1968" s="8" t="n"/>
      <x:c r="C1968" s="8" t="n"/>
      <x:c r="D1968" s="8" t="n"/>
    </x:row>
    <x:row r="1969">
      <x:c r="A1969" s="8" t="n"/>
      <x:c r="B1969" s="8" t="n"/>
      <x:c r="C1969" s="8" t="n"/>
      <x:c r="D1969" s="8" t="n"/>
    </x:row>
    <x:row r="1970">
      <x:c r="A1970" s="8" t="n"/>
      <x:c r="B1970" s="8" t="n"/>
      <x:c r="C1970" s="8" t="n"/>
      <x:c r="D1970" s="8" t="n"/>
    </x:row>
    <x:row r="1971">
      <x:c r="A1971" s="8" t="n"/>
      <x:c r="B1971" s="8" t="n"/>
      <x:c r="C1971" s="8" t="n"/>
      <x:c r="D1971" s="8" t="n"/>
    </x:row>
    <x:row r="1972">
      <x:c r="A1972" s="8" t="n"/>
      <x:c r="B1972" s="8" t="n"/>
      <x:c r="C1972" s="8" t="n"/>
      <x:c r="D1972" s="8" t="n"/>
    </x:row>
    <x:row r="1973">
      <x:c r="A1973" s="8" t="n"/>
      <x:c r="B1973" s="8" t="n"/>
      <x:c r="C1973" s="8" t="n"/>
      <x:c r="D1973" s="8" t="n"/>
    </x:row>
    <x:row r="1974">
      <x:c r="A1974" s="8" t="n"/>
      <x:c r="B1974" s="8" t="n"/>
      <x:c r="C1974" s="8" t="n"/>
      <x:c r="D1974" s="8" t="n"/>
    </x:row>
    <x:row r="1975">
      <x:c r="A1975" s="8" t="n"/>
      <x:c r="B1975" s="8" t="n"/>
      <x:c r="C1975" s="8" t="n"/>
      <x:c r="D1975" s="8" t="n"/>
    </x:row>
    <x:row r="1976">
      <x:c r="A1976" s="8" t="n"/>
      <x:c r="B1976" s="8" t="n"/>
      <x:c r="C1976" s="8" t="n"/>
      <x:c r="D1976" s="8" t="n"/>
    </x:row>
    <x:row r="1977">
      <x:c r="A1977" s="8" t="n"/>
      <x:c r="B1977" s="8" t="n"/>
      <x:c r="C1977" s="8" t="n"/>
      <x:c r="D1977" s="8" t="n"/>
    </x:row>
    <x:row r="1978">
      <x:c r="A1978" s="8" t="n"/>
      <x:c r="B1978" s="8" t="n"/>
      <x:c r="C1978" s="8" t="n"/>
      <x:c r="D1978" s="8" t="n"/>
    </x:row>
    <x:row r="1979">
      <x:c r="A1979" s="8" t="n"/>
      <x:c r="B1979" s="8" t="n"/>
      <x:c r="C1979" s="8" t="n"/>
      <x:c r="D1979" s="8" t="n"/>
    </x:row>
    <x:row r="1980">
      <x:c r="A1980" s="8" t="n"/>
      <x:c r="B1980" s="8" t="n"/>
      <x:c r="C1980" s="8" t="n"/>
      <x:c r="D1980" s="8" t="n"/>
    </x:row>
    <x:row r="1981">
      <x:c r="A1981" s="8" t="n"/>
      <x:c r="B1981" s="8" t="n"/>
      <x:c r="C1981" s="8" t="n"/>
      <x:c r="D1981" s="8" t="n"/>
    </x:row>
    <x:row r="1982">
      <x:c r="A1982" s="8" t="n"/>
      <x:c r="B1982" s="8" t="n"/>
      <x:c r="C1982" s="8" t="n"/>
      <x:c r="D1982" s="8" t="n"/>
    </x:row>
    <x:row r="1983">
      <x:c r="A1983" s="8" t="n"/>
      <x:c r="B1983" s="8" t="n"/>
      <x:c r="C1983" s="8" t="n"/>
      <x:c r="D1983" s="8" t="n"/>
    </x:row>
    <x:row r="1984">
      <x:c r="A1984" s="8" t="n"/>
      <x:c r="B1984" s="8" t="n"/>
      <x:c r="C1984" s="8" t="n"/>
      <x:c r="D1984" s="8" t="n"/>
    </x:row>
    <x:row r="1985">
      <x:c r="A1985" s="8" t="n"/>
      <x:c r="B1985" s="8" t="n"/>
      <x:c r="C1985" s="8" t="n"/>
      <x:c r="D1985" s="8" t="n"/>
    </x:row>
    <x:row r="1986">
      <x:c r="A1986" s="8" t="n"/>
      <x:c r="B1986" s="8" t="n"/>
      <x:c r="C1986" s="8" t="n"/>
      <x:c r="D1986" s="8" t="n"/>
    </x:row>
    <x:row r="1987">
      <x:c r="A1987" s="8" t="n"/>
      <x:c r="B1987" s="8" t="n"/>
      <x:c r="C1987" s="8" t="n"/>
      <x:c r="D1987" s="8" t="n"/>
    </x:row>
    <x:row r="1988">
      <x:c r="A1988" s="8" t="n"/>
      <x:c r="B1988" s="8" t="n"/>
      <x:c r="C1988" s="8" t="n"/>
      <x:c r="D1988" s="8" t="n"/>
    </x:row>
    <x:row r="1989">
      <x:c r="A1989" s="8" t="n"/>
      <x:c r="B1989" s="8" t="n"/>
      <x:c r="C1989" s="8" t="n"/>
      <x:c r="D1989" s="8" t="n"/>
    </x:row>
    <x:row r="1990">
      <x:c r="A1990" s="8" t="n"/>
      <x:c r="B1990" s="8" t="n"/>
      <x:c r="C1990" s="8" t="n"/>
      <x:c r="D1990" s="8" t="n"/>
    </x:row>
    <x:row r="1991">
      <x:c r="A1991" s="8" t="n"/>
      <x:c r="B1991" s="8" t="n"/>
      <x:c r="C1991" s="8" t="n"/>
      <x:c r="D1991" s="8" t="n"/>
    </x:row>
    <x:row r="1992">
      <x:c r="A1992" s="8" t="n"/>
      <x:c r="B1992" s="8" t="n"/>
      <x:c r="C1992" s="8" t="n"/>
      <x:c r="D1992" s="8" t="n"/>
    </x:row>
    <x:row r="1993">
      <x:c r="A1993" s="8" t="n"/>
      <x:c r="B1993" s="8" t="n"/>
      <x:c r="C1993" s="8" t="n"/>
      <x:c r="D1993" s="8" t="n"/>
    </x:row>
    <x:row r="1994">
      <x:c r="A1994" s="8" t="n"/>
      <x:c r="B1994" s="8" t="n"/>
      <x:c r="C1994" s="8" t="n"/>
      <x:c r="D1994" s="8" t="n"/>
    </x:row>
    <x:row r="1995">
      <x:c r="A1995" s="8" t="n"/>
      <x:c r="B1995" s="8" t="n"/>
      <x:c r="C1995" s="8" t="n"/>
      <x:c r="D1995" s="8" t="n"/>
    </x:row>
    <x:row r="1996">
      <x:c r="A1996" s="8" t="n"/>
      <x:c r="B1996" s="8" t="n"/>
      <x:c r="C1996" s="8" t="n"/>
      <x:c r="D1996" s="8" t="n"/>
    </x:row>
    <x:row r="1997">
      <x:c r="A1997" s="8" t="n"/>
      <x:c r="B1997" s="8" t="n"/>
      <x:c r="C1997" s="8" t="n"/>
      <x:c r="D1997" s="8" t="n"/>
    </x:row>
    <x:row r="1998">
      <x:c r="A1998" s="8" t="n"/>
      <x:c r="B1998" s="8" t="n"/>
      <x:c r="C1998" s="8" t="n"/>
      <x:c r="D1998" s="8" t="n"/>
    </x:row>
    <x:row r="1999">
      <x:c r="A1999" s="8" t="n"/>
      <x:c r="B1999" s="8" t="n"/>
      <x:c r="C1999" s="8" t="n"/>
      <x:c r="D1999" s="8" t="n"/>
    </x:row>
    <x:row r="2000">
      <x:c r="A2000" s="8" t="n"/>
      <x:c r="B2000" s="8" t="n"/>
      <x:c r="C2000" s="8" t="n"/>
      <x:c r="D2000" s="8" t="n"/>
    </x:row>
    <x:row r="2001">
      <x:c r="A2001" s="8" t="n"/>
      <x:c r="B2001" s="8" t="n"/>
      <x:c r="C2001" s="8" t="n"/>
      <x:c r="D2001" s="8" t="n"/>
    </x:row>
    <x:row r="2002">
      <x:c r="A2002" s="8" t="n"/>
      <x:c r="B2002" s="8" t="n"/>
      <x:c r="C2002" s="8" t="n"/>
      <x:c r="D2002" s="8" t="n"/>
    </x:row>
    <x:row r="2003">
      <x:c r="A2003" s="8" t="n"/>
      <x:c r="B2003" s="8" t="n"/>
      <x:c r="C2003" s="8" t="n"/>
      <x:c r="D2003" s="8" t="n"/>
    </x:row>
    <x:row r="2004">
      <x:c r="A2004" s="8" t="n"/>
      <x:c r="B2004" s="8" t="n"/>
      <x:c r="C2004" s="8" t="n"/>
      <x:c r="D2004" s="8" t="n"/>
    </x:row>
    <x:row r="2005">
      <x:c r="A2005" s="8" t="n"/>
      <x:c r="B2005" s="8" t="n"/>
      <x:c r="C2005" s="8" t="n"/>
      <x:c r="D2005" s="8" t="n"/>
    </x:row>
    <x:row r="2006">
      <x:c r="A2006" s="8" t="n"/>
      <x:c r="B2006" s="8" t="n"/>
      <x:c r="C2006" s="8" t="n"/>
      <x:c r="D2006" s="8" t="n"/>
    </x:row>
    <x:row r="2007">
      <x:c r="A2007" s="8" t="n"/>
      <x:c r="B2007" s="8" t="n"/>
      <x:c r="C2007" s="8" t="n"/>
      <x:c r="D2007" s="8" t="n"/>
    </x:row>
    <x:row r="2008">
      <x:c r="A2008" s="8" t="n"/>
      <x:c r="B2008" s="8" t="n"/>
      <x:c r="C2008" s="8" t="n"/>
      <x:c r="D2008" s="8" t="n"/>
    </x:row>
    <x:row r="2009">
      <x:c r="A2009" s="8" t="n"/>
      <x:c r="B2009" s="8" t="n"/>
      <x:c r="C2009" s="8" t="n"/>
      <x:c r="D2009" s="8" t="n"/>
    </x:row>
    <x:row r="2010">
      <x:c r="A2010" s="8" t="n"/>
      <x:c r="B2010" s="8" t="n"/>
      <x:c r="C2010" s="8" t="n"/>
      <x:c r="D2010" s="8" t="n"/>
    </x:row>
    <x:row r="2011">
      <x:c r="A2011" s="8" t="n"/>
      <x:c r="B2011" s="8" t="n"/>
      <x:c r="C2011" s="8" t="n"/>
      <x:c r="D2011" s="8" t="n"/>
    </x:row>
    <x:row r="2012">
      <x:c r="A2012" s="8" t="n"/>
      <x:c r="B2012" s="8" t="n"/>
      <x:c r="C2012" s="8" t="n"/>
      <x:c r="D2012" s="8" t="n"/>
    </x:row>
    <x:row r="2013">
      <x:c r="A2013" s="8" t="n"/>
      <x:c r="B2013" s="8" t="n"/>
      <x:c r="C2013" s="8" t="n"/>
      <x:c r="D2013" s="8" t="n"/>
    </x:row>
    <x:row r="2014">
      <x:c r="A2014" s="8" t="n"/>
      <x:c r="B2014" s="8" t="n"/>
      <x:c r="C2014" s="8" t="n"/>
      <x:c r="D2014" s="8" t="n"/>
    </x:row>
    <x:row r="2015">
      <x:c r="A2015" s="8" t="n"/>
      <x:c r="B2015" s="8" t="n"/>
      <x:c r="C2015" s="8" t="n"/>
      <x:c r="D2015" s="8" t="n"/>
    </x:row>
    <x:row r="2016">
      <x:c r="A2016" s="8" t="n"/>
      <x:c r="B2016" s="8" t="n"/>
      <x:c r="C2016" s="8" t="n"/>
      <x:c r="D2016" s="8" t="n"/>
    </x:row>
    <x:row r="2017">
      <x:c r="A2017" s="8" t="n"/>
      <x:c r="B2017" s="8" t="n"/>
      <x:c r="C2017" s="8" t="n"/>
      <x:c r="D2017" s="8" t="n"/>
    </x:row>
    <x:row r="2018">
      <x:c r="A2018" s="8" t="n"/>
      <x:c r="B2018" s="8" t="n"/>
      <x:c r="C2018" s="8" t="n"/>
      <x:c r="D2018" s="8" t="n"/>
    </x:row>
    <x:row r="2019">
      <x:c r="A2019" s="8" t="n"/>
      <x:c r="B2019" s="8" t="n"/>
      <x:c r="C2019" s="8" t="n"/>
      <x:c r="D2019" s="8" t="n"/>
    </x:row>
    <x:row r="2020">
      <x:c r="A2020" s="8" t="n"/>
      <x:c r="B2020" s="8" t="n"/>
      <x:c r="C2020" s="8" t="n"/>
      <x:c r="D2020" s="8" t="n"/>
    </x:row>
    <x:row r="2021">
      <x:c r="A2021" s="8" t="n"/>
      <x:c r="B2021" s="8" t="n"/>
      <x:c r="C2021" s="8" t="n"/>
      <x:c r="D2021" s="8" t="n"/>
    </x:row>
    <x:row r="2022">
      <x:c r="A2022" s="8" t="n"/>
      <x:c r="B2022" s="8" t="n"/>
      <x:c r="C2022" s="8" t="n"/>
      <x:c r="D2022" s="8" t="n"/>
    </x:row>
    <x:row r="2023">
      <x:c r="A2023" s="8" t="n"/>
      <x:c r="B2023" s="8" t="n"/>
      <x:c r="C2023" s="8" t="n"/>
      <x:c r="D2023" s="8" t="n"/>
    </x:row>
    <x:row r="2024">
      <x:c r="A2024" s="8" t="n"/>
      <x:c r="B2024" s="8" t="n"/>
      <x:c r="C2024" s="8" t="n"/>
      <x:c r="D2024" s="8" t="n"/>
    </x:row>
    <x:row r="2025">
      <x:c r="A2025" s="8" t="n"/>
      <x:c r="B2025" s="8" t="n"/>
      <x:c r="C2025" s="8" t="n"/>
      <x:c r="D2025" s="8" t="n"/>
    </x:row>
    <x:row r="2026">
      <x:c r="A2026" s="8" t="n"/>
      <x:c r="B2026" s="8" t="n"/>
      <x:c r="C2026" s="8" t="n"/>
      <x:c r="D2026" s="8" t="n"/>
    </x:row>
    <x:row r="2027">
      <x:c r="A2027" s="8" t="n"/>
      <x:c r="B2027" s="8" t="n"/>
      <x:c r="C2027" s="8" t="n"/>
      <x:c r="D2027" s="8" t="n"/>
    </x:row>
    <x:row r="2028">
      <x:c r="A2028" s="8" t="n"/>
      <x:c r="B2028" s="8" t="n"/>
      <x:c r="C2028" s="8" t="n"/>
      <x:c r="D2028" s="8" t="n"/>
    </x:row>
    <x:row r="2029">
      <x:c r="A2029" s="8" t="n"/>
      <x:c r="B2029" s="8" t="n"/>
      <x:c r="C2029" s="8" t="n"/>
      <x:c r="D2029" s="8" t="n"/>
    </x:row>
    <x:row r="2030">
      <x:c r="A2030" s="8" t="n"/>
      <x:c r="B2030" s="8" t="n"/>
      <x:c r="C2030" s="8" t="n"/>
      <x:c r="D2030" s="8" t="n"/>
    </x:row>
    <x:row r="2031">
      <x:c r="A2031" s="8" t="n"/>
      <x:c r="B2031" s="8" t="n"/>
      <x:c r="C2031" s="8" t="n"/>
      <x:c r="D2031" s="8" t="n"/>
    </x:row>
    <x:row r="2032">
      <x:c r="A2032" s="8" t="n"/>
      <x:c r="B2032" s="8" t="n"/>
      <x:c r="C2032" s="8" t="n"/>
      <x:c r="D2032" s="8" t="n"/>
    </x:row>
    <x:row r="2033">
      <x:c r="A2033" s="8" t="n"/>
      <x:c r="B2033" s="8" t="n"/>
      <x:c r="C2033" s="8" t="n"/>
      <x:c r="D2033" s="8" t="n"/>
    </x:row>
    <x:row r="2034">
      <x:c r="A2034" s="8" t="n"/>
      <x:c r="B2034" s="8" t="n"/>
      <x:c r="C2034" s="8" t="n"/>
      <x:c r="D2034" s="8" t="n"/>
    </x:row>
    <x:row r="2035">
      <x:c r="A2035" s="8" t="n"/>
      <x:c r="B2035" s="8" t="n"/>
      <x:c r="C2035" s="8" t="n"/>
      <x:c r="D2035" s="8" t="n"/>
    </x:row>
    <x:row r="2036">
      <x:c r="A2036" s="8" t="n"/>
      <x:c r="B2036" s="8" t="n"/>
      <x:c r="C2036" s="8" t="n"/>
      <x:c r="D2036" s="8" t="n"/>
    </x:row>
    <x:row r="2037">
      <x:c r="A2037" s="8" t="n"/>
      <x:c r="B2037" s="8" t="n"/>
      <x:c r="C2037" s="8" t="n"/>
      <x:c r="D2037" s="8" t="n"/>
    </x:row>
    <x:row r="2038">
      <x:c r="A2038" s="8" t="n"/>
      <x:c r="B2038" s="8" t="n"/>
      <x:c r="C2038" s="8" t="n"/>
      <x:c r="D2038" s="8" t="n"/>
    </x:row>
    <x:row r="2039">
      <x:c r="A2039" s="8" t="n"/>
      <x:c r="B2039" s="8" t="n"/>
      <x:c r="C2039" s="8" t="n"/>
      <x:c r="D2039" s="8" t="n"/>
    </x:row>
    <x:row r="2040">
      <x:c r="A2040" s="8" t="n"/>
      <x:c r="B2040" s="8" t="n"/>
      <x:c r="C2040" s="8" t="n"/>
      <x:c r="D2040" s="8" t="n"/>
    </x:row>
    <x:row r="2041">
      <x:c r="A2041" s="8" t="n"/>
      <x:c r="B2041" s="8" t="n"/>
      <x:c r="C2041" s="8" t="n"/>
      <x:c r="D2041" s="8" t="n"/>
    </x:row>
    <x:row r="2042">
      <x:c r="A2042" s="8" t="n"/>
      <x:c r="B2042" s="8" t="n"/>
      <x:c r="C2042" s="8" t="n"/>
      <x:c r="D2042" s="8" t="n"/>
    </x:row>
    <x:row r="2043">
      <x:c r="A2043" s="8" t="n"/>
      <x:c r="B2043" s="8" t="n"/>
      <x:c r="C2043" s="8" t="n"/>
      <x:c r="D2043" s="8" t="n"/>
    </x:row>
    <x:row r="2044">
      <x:c r="A2044" s="8" t="n"/>
      <x:c r="B2044" s="8" t="n"/>
      <x:c r="C2044" s="8" t="n"/>
      <x:c r="D2044" s="8" t="n"/>
    </x:row>
    <x:row r="2045">
      <x:c r="A2045" s="8" t="n"/>
      <x:c r="B2045" s="8" t="n"/>
      <x:c r="C2045" s="8" t="n"/>
      <x:c r="D2045" s="8" t="n"/>
    </x:row>
    <x:row r="2046">
      <x:c r="A2046" s="8" t="n"/>
      <x:c r="B2046" s="8" t="n"/>
      <x:c r="C2046" s="8" t="n"/>
      <x:c r="D2046" s="8" t="n"/>
    </x:row>
    <x:row r="2047">
      <x:c r="A2047" s="8" t="n"/>
      <x:c r="B2047" s="8" t="n"/>
      <x:c r="C2047" s="8" t="n"/>
      <x:c r="D2047" s="8" t="n"/>
    </x:row>
    <x:row r="2048">
      <x:c r="A2048" s="8" t="n"/>
      <x:c r="B2048" s="8" t="n"/>
      <x:c r="C2048" s="8" t="n"/>
      <x:c r="D2048" s="8" t="n"/>
    </x:row>
    <x:row r="2049">
      <x:c r="A2049" s="8" t="n"/>
      <x:c r="B2049" s="8" t="n"/>
      <x:c r="C2049" s="8" t="n"/>
      <x:c r="D2049" s="8" t="n"/>
    </x:row>
    <x:row r="2050">
      <x:c r="A2050" s="8" t="n"/>
      <x:c r="B2050" s="8" t="n"/>
      <x:c r="C2050" s="8" t="n"/>
      <x:c r="D2050" s="8" t="n"/>
    </x:row>
    <x:row r="2051">
      <x:c r="A2051" s="8" t="n"/>
      <x:c r="B2051" s="8" t="n"/>
      <x:c r="C2051" s="8" t="n"/>
      <x:c r="D2051" s="8" t="n"/>
    </x:row>
    <x:row r="2052">
      <x:c r="A2052" s="8" t="n"/>
      <x:c r="B2052" s="8" t="n"/>
      <x:c r="C2052" s="8" t="n"/>
      <x:c r="D2052" s="8" t="n"/>
    </x:row>
    <x:row r="2053">
      <x:c r="A2053" s="8" t="n"/>
      <x:c r="B2053" s="8" t="n"/>
      <x:c r="C2053" s="8" t="n"/>
      <x:c r="D2053" s="8" t="n"/>
    </x:row>
    <x:row r="2054">
      <x:c r="A2054" s="8" t="n"/>
      <x:c r="B2054" s="8" t="n"/>
      <x:c r="C2054" s="8" t="n"/>
      <x:c r="D2054" s="8" t="n"/>
    </x:row>
    <x:row r="2055">
      <x:c r="A2055" s="8" t="n"/>
      <x:c r="B2055" s="8" t="n"/>
      <x:c r="C2055" s="8" t="n"/>
      <x:c r="D2055" s="8" t="n"/>
    </x:row>
    <x:row r="2056">
      <x:c r="A2056" s="8" t="n"/>
      <x:c r="B2056" s="8" t="n"/>
      <x:c r="C2056" s="8" t="n"/>
      <x:c r="D2056" s="8" t="n"/>
    </x:row>
    <x:row r="2057">
      <x:c r="A2057" s="8" t="n"/>
      <x:c r="B2057" s="8" t="n"/>
      <x:c r="C2057" s="8" t="n"/>
      <x:c r="D2057" s="8" t="n"/>
    </x:row>
    <x:row r="2058">
      <x:c r="A2058" s="8" t="n"/>
      <x:c r="B2058" s="8" t="n"/>
      <x:c r="C2058" s="8" t="n"/>
      <x:c r="D2058" s="8" t="n"/>
    </x:row>
    <x:row r="2059">
      <x:c r="A2059" s="8" t="n"/>
      <x:c r="B2059" s="8" t="n"/>
      <x:c r="C2059" s="8" t="n"/>
      <x:c r="D2059" s="8" t="n"/>
    </x:row>
    <x:row r="2060">
      <x:c r="A2060" s="8" t="n"/>
      <x:c r="B2060" s="8" t="n"/>
      <x:c r="C2060" s="8" t="n"/>
      <x:c r="D2060" s="8" t="n"/>
    </x:row>
    <x:row r="2061">
      <x:c r="A2061" s="8" t="n"/>
      <x:c r="B2061" s="8" t="n"/>
      <x:c r="C2061" s="8" t="n"/>
      <x:c r="D2061" s="8" t="n"/>
    </x:row>
    <x:row r="2062">
      <x:c r="A2062" s="8" t="n"/>
      <x:c r="B2062" s="8" t="n"/>
      <x:c r="C2062" s="8" t="n"/>
      <x:c r="D2062" s="8" t="n"/>
    </x:row>
    <x:row r="2063">
      <x:c r="A2063" s="8" t="n"/>
      <x:c r="B2063" s="8" t="n"/>
      <x:c r="C2063" s="8" t="n"/>
      <x:c r="D2063" s="8" t="n"/>
    </x:row>
    <x:row r="2064">
      <x:c r="A2064" s="8" t="n"/>
      <x:c r="B2064" s="8" t="n"/>
      <x:c r="C2064" s="8" t="n"/>
      <x:c r="D2064" s="8" t="n"/>
    </x:row>
    <x:row r="2065">
      <x:c r="A2065" s="8" t="n"/>
      <x:c r="B2065" s="8" t="n"/>
      <x:c r="C2065" s="8" t="n"/>
      <x:c r="D2065" s="8" t="n"/>
    </x:row>
    <x:row r="2066">
      <x:c r="A2066" s="8" t="n"/>
      <x:c r="B2066" s="8" t="n"/>
      <x:c r="C2066" s="8" t="n"/>
      <x:c r="D2066" s="8" t="n"/>
    </x:row>
    <x:row r="2067">
      <x:c r="A2067" s="8" t="n"/>
      <x:c r="B2067" s="8" t="n"/>
      <x:c r="C2067" s="8" t="n"/>
      <x:c r="D2067" s="8" t="n"/>
    </x:row>
    <x:row r="2068">
      <x:c r="A2068" s="8" t="n"/>
      <x:c r="B2068" s="8" t="n"/>
      <x:c r="C2068" s="8" t="n"/>
      <x:c r="D2068" s="8" t="n"/>
    </x:row>
    <x:row r="2069">
      <x:c r="A2069" s="8" t="n"/>
      <x:c r="B2069" s="8" t="n"/>
      <x:c r="C2069" s="8" t="n"/>
      <x:c r="D2069" s="8" t="n"/>
    </x:row>
    <x:row r="2070">
      <x:c r="A2070" s="8" t="n"/>
      <x:c r="B2070" s="8" t="n"/>
      <x:c r="C2070" s="8" t="n"/>
      <x:c r="D2070" s="8" t="n"/>
    </x:row>
    <x:row r="2071">
      <x:c r="A2071" s="8" t="n"/>
      <x:c r="B2071" s="8" t="n"/>
      <x:c r="C2071" s="8" t="n"/>
      <x:c r="D2071" s="8" t="n"/>
    </x:row>
    <x:row r="2072">
      <x:c r="A2072" s="8" t="n"/>
      <x:c r="B2072" s="8" t="n"/>
      <x:c r="C2072" s="8" t="n"/>
      <x:c r="D2072" s="8" t="n"/>
    </x:row>
    <x:row r="2073">
      <x:c r="A2073" s="8" t="n"/>
      <x:c r="B2073" s="8" t="n"/>
      <x:c r="C2073" s="8" t="n"/>
      <x:c r="D2073" s="8" t="n"/>
    </x:row>
    <x:row r="2074">
      <x:c r="A2074" s="8" t="n"/>
      <x:c r="B2074" s="8" t="n"/>
      <x:c r="C2074" s="8" t="n"/>
      <x:c r="D2074" s="8" t="n"/>
    </x:row>
    <x:row r="2075">
      <x:c r="A2075" s="8" t="n"/>
      <x:c r="B2075" s="8" t="n"/>
      <x:c r="C2075" s="8" t="n"/>
      <x:c r="D2075" s="8" t="n"/>
    </x:row>
    <x:row r="2076">
      <x:c r="A2076" s="8" t="n"/>
      <x:c r="B2076" s="8" t="n"/>
      <x:c r="C2076" s="8" t="n"/>
      <x:c r="D2076" s="8" t="n"/>
    </x:row>
    <x:row r="2077">
      <x:c r="A2077" s="8" t="n"/>
      <x:c r="B2077" s="8" t="n"/>
      <x:c r="C2077" s="8" t="n"/>
      <x:c r="D2077" s="8" t="n"/>
    </x:row>
    <x:row r="2078">
      <x:c r="A2078" s="8" t="n"/>
      <x:c r="B2078" s="8" t="n"/>
      <x:c r="C2078" s="8" t="n"/>
      <x:c r="D2078" s="8" t="n"/>
    </x:row>
    <x:row r="2079">
      <x:c r="A2079" s="8" t="n"/>
      <x:c r="B2079" s="8" t="n"/>
      <x:c r="C2079" s="8" t="n"/>
      <x:c r="D2079" s="8" t="n"/>
    </x:row>
    <x:row r="2080">
      <x:c r="A2080" s="8" t="n"/>
      <x:c r="B2080" s="8" t="n"/>
      <x:c r="C2080" s="8" t="n"/>
      <x:c r="D2080" s="8" t="n"/>
    </x:row>
    <x:row r="2081">
      <x:c r="A2081" s="8" t="n"/>
      <x:c r="B2081" s="8" t="n"/>
      <x:c r="C2081" s="8" t="n"/>
      <x:c r="D2081" s="8" t="n"/>
    </x:row>
    <x:row r="2082">
      <x:c r="A2082" s="8" t="n"/>
      <x:c r="B2082" s="8" t="n"/>
      <x:c r="C2082" s="8" t="n"/>
      <x:c r="D2082" s="8" t="n"/>
    </x:row>
    <x:row r="2083">
      <x:c r="A2083" s="8" t="n"/>
      <x:c r="B2083" s="8" t="n"/>
      <x:c r="C2083" s="8" t="n"/>
      <x:c r="D2083" s="8" t="n"/>
    </x:row>
    <x:row r="2084">
      <x:c r="A2084" s="8" t="n"/>
      <x:c r="B2084" s="8" t="n"/>
      <x:c r="C2084" s="8" t="n"/>
      <x:c r="D2084" s="8" t="n"/>
    </x:row>
    <x:row r="2085">
      <x:c r="A2085" s="8" t="n"/>
      <x:c r="B2085" s="8" t="n"/>
      <x:c r="C2085" s="8" t="n"/>
      <x:c r="D2085" s="8" t="n"/>
    </x:row>
    <x:row r="2086">
      <x:c r="A2086" s="8" t="n"/>
      <x:c r="B2086" s="8" t="n"/>
      <x:c r="C2086" s="8" t="n"/>
      <x:c r="D2086" s="8" t="n"/>
    </x:row>
    <x:row r="2087">
      <x:c r="A2087" s="8" t="n"/>
      <x:c r="B2087" s="8" t="n"/>
      <x:c r="C2087" s="8" t="n"/>
      <x:c r="D2087" s="8" t="n"/>
    </x:row>
    <x:row r="2088">
      <x:c r="A2088" s="8" t="n"/>
      <x:c r="B2088" s="8" t="n"/>
      <x:c r="C2088" s="8" t="n"/>
      <x:c r="D2088" s="8" t="n"/>
    </x:row>
    <x:row r="2089">
      <x:c r="A2089" s="8" t="n"/>
      <x:c r="B2089" s="8" t="n"/>
      <x:c r="C2089" s="8" t="n"/>
      <x:c r="D2089" s="8" t="n"/>
    </x:row>
    <x:row r="2090">
      <x:c r="A2090" s="8" t="n"/>
      <x:c r="B2090" s="8" t="n"/>
      <x:c r="C2090" s="8" t="n"/>
      <x:c r="D2090" s="8" t="n"/>
    </x:row>
    <x:row r="2091">
      <x:c r="A2091" s="8" t="n"/>
      <x:c r="B2091" s="8" t="n"/>
      <x:c r="C2091" s="8" t="n"/>
      <x:c r="D2091" s="8" t="n"/>
    </x:row>
    <x:row r="2092">
      <x:c r="A2092" s="8" t="n"/>
      <x:c r="B2092" s="8" t="n"/>
      <x:c r="C2092" s="8" t="n"/>
      <x:c r="D2092" s="8" t="n"/>
    </x:row>
    <x:row r="2093">
      <x:c r="A2093" s="8" t="n"/>
      <x:c r="B2093" s="8" t="n"/>
      <x:c r="C2093" s="8" t="n"/>
      <x:c r="D2093" s="8" t="n"/>
    </x:row>
    <x:row r="2094">
      <x:c r="A2094" s="8" t="n"/>
      <x:c r="B2094" s="8" t="n"/>
      <x:c r="C2094" s="8" t="n"/>
      <x:c r="D2094" s="8" t="n"/>
    </x:row>
    <x:row r="2095">
      <x:c r="A2095" s="8" t="n"/>
      <x:c r="B2095" s="8" t="n"/>
      <x:c r="C2095" s="8" t="n"/>
      <x:c r="D2095" s="8" t="n"/>
    </x:row>
    <x:row r="2096">
      <x:c r="A2096" s="8" t="n"/>
      <x:c r="B2096" s="8" t="n"/>
      <x:c r="C2096" s="8" t="n"/>
      <x:c r="D2096" s="8" t="n"/>
    </x:row>
    <x:row r="2097">
      <x:c r="A2097" s="8" t="n"/>
      <x:c r="B2097" s="8" t="n"/>
      <x:c r="C2097" s="8" t="n"/>
      <x:c r="D2097" s="8" t="n"/>
    </x:row>
    <x:row r="2098">
      <x:c r="A2098" s="8" t="n"/>
      <x:c r="B2098" s="8" t="n"/>
      <x:c r="C2098" s="8" t="n"/>
      <x:c r="D2098" s="8" t="n"/>
    </x:row>
    <x:row r="2099">
      <x:c r="A2099" s="8" t="n"/>
      <x:c r="B2099" s="8" t="n"/>
      <x:c r="C2099" s="8" t="n"/>
      <x:c r="D2099" s="8" t="n"/>
    </x:row>
    <x:row r="2100">
      <x:c r="A2100" s="8" t="n"/>
      <x:c r="B2100" s="8" t="n"/>
      <x:c r="C2100" s="8" t="n"/>
      <x:c r="D2100" s="8" t="n"/>
    </x:row>
    <x:row r="2101">
      <x:c r="A2101" s="8" t="n"/>
      <x:c r="B2101" s="8" t="n"/>
      <x:c r="C2101" s="8" t="n"/>
      <x:c r="D2101" s="8" t="n"/>
    </x:row>
    <x:row r="2102">
      <x:c r="A2102" s="8" t="n"/>
      <x:c r="B2102" s="8" t="n"/>
      <x:c r="C2102" s="8" t="n"/>
      <x:c r="D2102" s="8" t="n"/>
    </x:row>
    <x:row r="2103">
      <x:c r="A2103" s="8" t="n"/>
      <x:c r="B2103" s="8" t="n"/>
      <x:c r="C2103" s="8" t="n"/>
      <x:c r="D2103" s="8" t="n"/>
    </x:row>
    <x:row r="2104">
      <x:c r="A2104" s="8" t="n"/>
      <x:c r="B2104" s="8" t="n"/>
      <x:c r="C2104" s="8" t="n"/>
      <x:c r="D2104" s="8" t="n"/>
    </x:row>
    <x:row r="2105">
      <x:c r="A2105" s="8" t="n"/>
      <x:c r="B2105" s="8" t="n"/>
      <x:c r="C2105" s="8" t="n"/>
      <x:c r="D2105" s="8" t="n"/>
    </x:row>
    <x:row r="2106">
      <x:c r="A2106" s="8" t="n"/>
      <x:c r="B2106" s="8" t="n"/>
      <x:c r="C2106" s="8" t="n"/>
      <x:c r="D2106" s="8" t="n"/>
    </x:row>
    <x:row r="2107">
      <x:c r="A2107" s="8" t="n"/>
      <x:c r="B2107" s="8" t="n"/>
      <x:c r="C2107" s="8" t="n"/>
      <x:c r="D2107" s="8" t="n"/>
    </x:row>
    <x:row r="2108">
      <x:c r="A2108" s="8" t="n"/>
      <x:c r="B2108" s="8" t="n"/>
      <x:c r="C2108" s="8" t="n"/>
      <x:c r="D2108" s="8" t="n"/>
    </x:row>
    <x:row r="2109">
      <x:c r="A2109" s="8" t="n"/>
      <x:c r="B2109" s="8" t="n"/>
      <x:c r="C2109" s="8" t="n"/>
      <x:c r="D2109" s="8" t="n"/>
    </x:row>
    <x:row r="2110">
      <x:c r="A2110" s="8" t="n"/>
      <x:c r="B2110" s="8" t="n"/>
      <x:c r="C2110" s="8" t="n"/>
      <x:c r="D2110" s="8" t="n"/>
    </x:row>
    <x:row r="2111">
      <x:c r="A2111" s="8" t="n"/>
      <x:c r="B2111" s="8" t="n"/>
      <x:c r="C2111" s="8" t="n"/>
      <x:c r="D2111" s="8" t="n"/>
    </x:row>
    <x:row r="2112">
      <x:c r="A2112" s="8" t="n"/>
      <x:c r="B2112" s="8" t="n"/>
      <x:c r="C2112" s="8" t="n"/>
      <x:c r="D2112" s="8" t="n"/>
    </x:row>
    <x:row r="2113">
      <x:c r="A2113" s="8" t="n"/>
      <x:c r="B2113" s="8" t="n"/>
      <x:c r="C2113" s="8" t="n"/>
      <x:c r="D2113" s="8" t="n"/>
    </x:row>
    <x:row r="2114">
      <x:c r="A2114" s="8" t="n"/>
      <x:c r="B2114" s="8" t="n"/>
      <x:c r="C2114" s="8" t="n"/>
      <x:c r="D2114" s="8" t="n"/>
    </x:row>
    <x:row r="2115">
      <x:c r="A2115" s="8" t="n"/>
      <x:c r="B2115" s="8" t="n"/>
      <x:c r="C2115" s="8" t="n"/>
      <x:c r="D2115" s="8" t="n"/>
    </x:row>
    <x:row r="2116">
      <x:c r="A2116" s="8" t="n"/>
      <x:c r="B2116" s="8" t="n"/>
      <x:c r="C2116" s="8" t="n"/>
      <x:c r="D2116" s="8" t="n"/>
    </x:row>
    <x:row r="2117">
      <x:c r="A2117" s="8" t="n"/>
      <x:c r="B2117" s="8" t="n"/>
      <x:c r="C2117" s="8" t="n"/>
      <x:c r="D2117" s="8" t="n"/>
    </x:row>
    <x:row r="2118">
      <x:c r="A2118" s="8" t="n"/>
      <x:c r="B2118" s="8" t="n"/>
      <x:c r="C2118" s="8" t="n"/>
      <x:c r="D2118" s="8" t="n"/>
    </x:row>
    <x:row r="2119">
      <x:c r="A2119" s="8" t="n"/>
      <x:c r="B2119" s="8" t="n"/>
      <x:c r="C2119" s="8" t="n"/>
      <x:c r="D2119" s="8" t="n"/>
    </x:row>
    <x:row r="2120">
      <x:c r="A2120" s="8" t="n"/>
      <x:c r="B2120" s="8" t="n"/>
      <x:c r="C2120" s="8" t="n"/>
      <x:c r="D2120" s="8" t="n"/>
    </x:row>
    <x:row r="2121">
      <x:c r="A2121" s="8" t="n"/>
      <x:c r="B2121" s="8" t="n"/>
      <x:c r="C2121" s="8" t="n"/>
      <x:c r="D2121" s="8" t="n"/>
    </x:row>
    <x:row r="2122">
      <x:c r="A2122" s="8" t="n"/>
      <x:c r="B2122" s="8" t="n"/>
      <x:c r="C2122" s="8" t="n"/>
      <x:c r="D2122" s="8" t="n"/>
    </x:row>
    <x:row r="2123">
      <x:c r="A2123" s="8" t="n"/>
      <x:c r="B2123" s="8" t="n"/>
      <x:c r="C2123" s="8" t="n"/>
      <x:c r="D2123" s="8" t="n"/>
    </x:row>
    <x:row r="2124">
      <x:c r="A2124" s="8" t="n"/>
      <x:c r="B2124" s="8" t="n"/>
      <x:c r="C2124" s="8" t="n"/>
      <x:c r="D2124" s="8" t="n"/>
    </x:row>
    <x:row r="2125">
      <x:c r="A2125" s="8" t="n"/>
      <x:c r="B2125" s="8" t="n"/>
      <x:c r="C2125" s="8" t="n"/>
      <x:c r="D2125" s="8" t="n"/>
    </x:row>
    <x:row r="2126">
      <x:c r="A2126" s="8" t="n"/>
      <x:c r="B2126" s="8" t="n"/>
      <x:c r="C2126" s="8" t="n"/>
      <x:c r="D2126" s="8" t="n"/>
    </x:row>
    <x:row r="2127">
      <x:c r="A2127" s="8" t="n"/>
      <x:c r="B2127" s="8" t="n"/>
      <x:c r="C2127" s="8" t="n"/>
      <x:c r="D2127" s="8" t="n"/>
    </x:row>
    <x:row r="2128">
      <x:c r="A2128" s="8" t="n"/>
      <x:c r="B2128" s="8" t="n"/>
      <x:c r="C2128" s="8" t="n"/>
      <x:c r="D2128" s="8" t="n"/>
    </x:row>
    <x:row r="2129">
      <x:c r="A2129" s="8" t="n"/>
      <x:c r="B2129" s="8" t="n"/>
      <x:c r="C2129" s="8" t="n"/>
      <x:c r="D2129" s="8" t="n"/>
    </x:row>
    <x:row r="2130">
      <x:c r="A2130" s="8" t="n"/>
      <x:c r="B2130" s="8" t="n"/>
      <x:c r="C2130" s="8" t="n"/>
      <x:c r="D2130" s="8" t="n"/>
    </x:row>
    <x:row r="2131">
      <x:c r="A2131" s="8" t="n"/>
      <x:c r="B2131" s="8" t="n"/>
      <x:c r="C2131" s="8" t="n"/>
      <x:c r="D2131" s="8" t="n"/>
    </x:row>
    <x:row r="2132">
      <x:c r="A2132" s="8" t="n"/>
      <x:c r="B2132" s="8" t="n"/>
      <x:c r="C2132" s="8" t="n"/>
      <x:c r="D2132" s="8" t="n"/>
    </x:row>
    <x:row r="2133">
      <x:c r="A2133" s="8" t="n"/>
      <x:c r="B2133" s="8" t="n"/>
      <x:c r="C2133" s="8" t="n"/>
      <x:c r="D2133" s="8" t="n"/>
    </x:row>
    <x:row r="2134">
      <x:c r="A2134" s="8" t="n"/>
      <x:c r="B2134" s="8" t="n"/>
      <x:c r="C2134" s="8" t="n"/>
      <x:c r="D2134" s="8" t="n"/>
    </x:row>
    <x:row r="2135">
      <x:c r="A2135" s="8" t="n"/>
      <x:c r="B2135" s="8" t="n"/>
      <x:c r="C2135" s="8" t="n"/>
      <x:c r="D2135" s="8" t="n"/>
    </x:row>
    <x:row r="2136">
      <x:c r="A2136" s="8" t="n"/>
      <x:c r="B2136" s="8" t="n"/>
      <x:c r="C2136" s="8" t="n"/>
      <x:c r="D2136" s="8" t="n"/>
    </x:row>
    <x:row r="2137">
      <x:c r="A2137" s="8" t="n"/>
      <x:c r="B2137" s="8" t="n"/>
      <x:c r="C2137" s="8" t="n"/>
      <x:c r="D2137" s="8" t="n"/>
    </x:row>
    <x:row r="2138">
      <x:c r="A2138" s="8" t="n"/>
      <x:c r="B2138" s="8" t="n"/>
      <x:c r="C2138" s="8" t="n"/>
      <x:c r="D2138" s="8" t="n"/>
    </x:row>
    <x:row r="2139">
      <x:c r="A2139" s="8" t="n"/>
      <x:c r="B2139" s="8" t="n"/>
      <x:c r="C2139" s="8" t="n"/>
      <x:c r="D2139" s="8" t="n"/>
    </x:row>
    <x:row r="2140">
      <x:c r="A2140" s="8" t="n"/>
      <x:c r="B2140" s="8" t="n"/>
      <x:c r="C2140" s="8" t="n"/>
      <x:c r="D2140" s="8" t="n"/>
    </x:row>
    <x:row r="2141">
      <x:c r="A2141" s="8" t="n"/>
      <x:c r="B2141" s="8" t="n"/>
      <x:c r="C2141" s="8" t="n"/>
      <x:c r="D2141" s="8" t="n"/>
    </x:row>
    <x:row r="2142">
      <x:c r="A2142" s="8" t="n"/>
      <x:c r="B2142" s="8" t="n"/>
      <x:c r="C2142" s="8" t="n"/>
      <x:c r="D2142" s="8" t="n"/>
    </x:row>
    <x:row r="2143">
      <x:c r="A2143" s="8" t="n"/>
      <x:c r="B2143" s="8" t="n"/>
      <x:c r="C2143" s="8" t="n"/>
      <x:c r="D2143" s="8" t="n"/>
    </x:row>
    <x:row r="2144">
      <x:c r="A2144" s="8" t="n"/>
      <x:c r="B2144" s="8" t="n"/>
      <x:c r="C2144" s="8" t="n"/>
      <x:c r="D2144" s="8" t="n"/>
    </x:row>
    <x:row r="2145">
      <x:c r="A2145" s="8" t="n"/>
      <x:c r="B2145" s="8" t="n"/>
      <x:c r="C2145" s="8" t="n"/>
      <x:c r="D2145" s="8" t="n"/>
    </x:row>
    <x:row r="2146">
      <x:c r="A2146" s="8" t="n"/>
      <x:c r="B2146" s="8" t="n"/>
      <x:c r="C2146" s="8" t="n"/>
      <x:c r="D2146" s="8" t="n"/>
    </x:row>
    <x:row r="2147">
      <x:c r="A2147" s="8" t="n"/>
      <x:c r="B2147" s="8" t="n"/>
      <x:c r="C2147" s="8" t="n"/>
      <x:c r="D2147" s="8" t="n"/>
    </x:row>
    <x:row r="2148">
      <x:c r="A2148" s="8" t="n"/>
      <x:c r="B2148" s="8" t="n"/>
      <x:c r="C2148" s="8" t="n"/>
      <x:c r="D2148" s="8" t="n"/>
    </x:row>
    <x:row r="2149">
      <x:c r="A2149" s="8" t="n"/>
      <x:c r="B2149" s="8" t="n"/>
      <x:c r="C2149" s="8" t="n"/>
      <x:c r="D2149" s="8" t="n"/>
    </x:row>
    <x:row r="2150">
      <x:c r="A2150" s="8" t="n"/>
      <x:c r="B2150" s="8" t="n"/>
      <x:c r="C2150" s="8" t="n"/>
      <x:c r="D2150" s="8" t="n"/>
    </x:row>
    <x:row r="2151">
      <x:c r="A2151" s="8" t="n"/>
      <x:c r="B2151" s="8" t="n"/>
      <x:c r="C2151" s="8" t="n"/>
      <x:c r="D2151" s="8" t="n"/>
    </x:row>
    <x:row r="2152">
      <x:c r="A2152" s="8" t="n"/>
      <x:c r="B2152" s="8" t="n"/>
      <x:c r="C2152" s="8" t="n"/>
      <x:c r="D2152" s="8" t="n"/>
    </x:row>
    <x:row r="2153">
      <x:c r="A2153" s="8" t="n"/>
      <x:c r="B2153" s="8" t="n"/>
      <x:c r="C2153" s="8" t="n"/>
      <x:c r="D2153" s="8" t="n"/>
    </x:row>
    <x:row r="2154">
      <x:c r="A2154" s="8" t="n"/>
      <x:c r="B2154" s="8" t="n"/>
      <x:c r="C2154" s="8" t="n"/>
      <x:c r="D2154" s="8" t="n"/>
    </x:row>
    <x:row r="2155">
      <x:c r="A2155" s="8" t="n"/>
      <x:c r="B2155" s="8" t="n"/>
      <x:c r="C2155" s="8" t="n"/>
      <x:c r="D2155" s="8" t="n"/>
    </x:row>
    <x:row r="2156">
      <x:c r="A2156" s="8" t="n"/>
      <x:c r="B2156" s="8" t="n"/>
      <x:c r="C2156" s="8" t="n"/>
      <x:c r="D2156" s="8" t="n"/>
    </x:row>
    <x:row r="2157">
      <x:c r="A2157" s="8" t="n"/>
      <x:c r="B2157" s="8" t="n"/>
      <x:c r="C2157" s="8" t="n"/>
      <x:c r="D2157" s="8" t="n"/>
    </x:row>
    <x:row r="2158">
      <x:c r="A2158" s="8" t="n"/>
      <x:c r="B2158" s="8" t="n"/>
      <x:c r="C2158" s="8" t="n"/>
      <x:c r="D2158" s="8" t="n"/>
    </x:row>
    <x:row r="2159">
      <x:c r="A2159" s="8" t="n"/>
      <x:c r="B2159" s="8" t="n"/>
      <x:c r="C2159" s="8" t="n"/>
      <x:c r="D2159" s="8" t="n"/>
    </x:row>
    <x:row r="2160">
      <x:c r="A2160" s="8" t="n"/>
      <x:c r="B2160" s="8" t="n"/>
      <x:c r="C2160" s="8" t="n"/>
      <x:c r="D2160" s="8" t="n"/>
    </x:row>
    <x:row r="2161">
      <x:c r="A2161" s="8" t="n"/>
      <x:c r="B2161" s="8" t="n"/>
      <x:c r="C2161" s="8" t="n"/>
      <x:c r="D2161" s="8" t="n"/>
    </x:row>
    <x:row r="2162">
      <x:c r="A2162" s="8" t="n"/>
      <x:c r="B2162" s="8" t="n"/>
      <x:c r="C2162" s="8" t="n"/>
      <x:c r="D2162" s="8" t="n"/>
    </x:row>
    <x:row r="2163">
      <x:c r="A2163" s="8" t="n"/>
      <x:c r="B2163" s="8" t="n"/>
      <x:c r="C2163" s="8" t="n"/>
      <x:c r="D2163" s="8" t="n"/>
    </x:row>
    <x:row r="2164">
      <x:c r="A2164" s="8" t="n"/>
      <x:c r="B2164" s="8" t="n"/>
      <x:c r="C2164" s="8" t="n"/>
      <x:c r="D2164" s="8" t="n"/>
    </x:row>
    <x:row r="2165">
      <x:c r="A2165" s="8" t="n"/>
      <x:c r="B2165" s="8" t="n"/>
      <x:c r="C2165" s="8" t="n"/>
      <x:c r="D2165" s="8" t="n"/>
    </x:row>
    <x:row r="2166">
      <x:c r="A2166" s="8" t="n"/>
      <x:c r="B2166" s="8" t="n"/>
      <x:c r="C2166" s="8" t="n"/>
      <x:c r="D2166" s="8" t="n"/>
    </x:row>
    <x:row r="2167">
      <x:c r="A2167" s="8" t="n"/>
      <x:c r="B2167" s="8" t="n"/>
      <x:c r="C2167" s="8" t="n"/>
      <x:c r="D2167" s="8" t="n"/>
    </x:row>
    <x:row r="2168">
      <x:c r="A2168" s="8" t="n"/>
      <x:c r="B2168" s="8" t="n"/>
      <x:c r="C2168" s="8" t="n"/>
      <x:c r="D2168" s="8" t="n"/>
    </x:row>
    <x:row r="2169">
      <x:c r="A2169" s="8" t="n"/>
      <x:c r="B2169" s="8" t="n"/>
      <x:c r="C2169" s="8" t="n"/>
      <x:c r="D2169" s="8" t="n"/>
    </x:row>
    <x:row r="2170">
      <x:c r="A2170" s="8" t="n"/>
      <x:c r="B2170" s="8" t="n"/>
      <x:c r="C2170" s="8" t="n"/>
      <x:c r="D2170" s="8" t="n"/>
    </x:row>
    <x:row r="2171">
      <x:c r="A2171" s="8" t="n"/>
      <x:c r="B2171" s="8" t="n"/>
      <x:c r="C2171" s="8" t="n"/>
      <x:c r="D2171" s="8" t="n"/>
    </x:row>
    <x:row r="2172">
      <x:c r="A2172" s="8" t="n"/>
      <x:c r="B2172" s="8" t="n"/>
      <x:c r="C2172" s="8" t="n"/>
      <x:c r="D2172" s="8" t="n"/>
    </x:row>
    <x:row r="2173">
      <x:c r="A2173" s="8" t="n"/>
      <x:c r="B2173" s="8" t="n"/>
      <x:c r="C2173" s="8" t="n"/>
      <x:c r="D2173" s="8" t="n"/>
    </x:row>
    <x:row r="2174">
      <x:c r="A2174" s="8" t="n"/>
      <x:c r="B2174" s="8" t="n"/>
      <x:c r="C2174" s="8" t="n"/>
      <x:c r="D2174" s="8" t="n"/>
    </x:row>
    <x:row r="2175">
      <x:c r="A2175" s="8" t="n"/>
      <x:c r="B2175" s="8" t="n"/>
      <x:c r="C2175" s="8" t="n"/>
      <x:c r="D2175" s="8" t="n"/>
    </x:row>
    <x:row r="2176">
      <x:c r="A2176" s="8" t="n"/>
      <x:c r="B2176" s="8" t="n"/>
      <x:c r="C2176" s="8" t="n"/>
      <x:c r="D2176" s="8" t="n"/>
    </x:row>
    <x:row r="2177">
      <x:c r="A2177" s="8" t="n"/>
      <x:c r="B2177" s="8" t="n"/>
      <x:c r="C2177" s="8" t="n"/>
      <x:c r="D2177" s="8" t="n"/>
    </x:row>
    <x:row r="2178">
      <x:c r="A2178" s="8" t="n"/>
      <x:c r="B2178" s="8" t="n"/>
      <x:c r="C2178" s="8" t="n"/>
      <x:c r="D2178" s="8" t="n"/>
    </x:row>
    <x:row r="2179">
      <x:c r="A2179" s="8" t="n"/>
      <x:c r="B2179" s="8" t="n"/>
      <x:c r="C2179" s="8" t="n"/>
      <x:c r="D2179" s="8" t="n"/>
    </x:row>
    <x:row r="2180">
      <x:c r="A2180" s="8" t="n"/>
      <x:c r="B2180" s="8" t="n"/>
      <x:c r="C2180" s="8" t="n"/>
      <x:c r="D2180" s="8" t="n"/>
    </x:row>
    <x:row r="2181">
      <x:c r="A2181" s="8" t="n"/>
      <x:c r="B2181" s="8" t="n"/>
      <x:c r="C2181" s="8" t="n"/>
      <x:c r="D2181" s="8" t="n"/>
    </x:row>
    <x:row r="2182">
      <x:c r="A2182" s="8" t="n"/>
      <x:c r="B2182" s="8" t="n"/>
      <x:c r="C2182" s="8" t="n"/>
      <x:c r="D2182" s="8" t="n"/>
    </x:row>
    <x:row r="2183">
      <x:c r="A2183" s="8" t="n"/>
      <x:c r="B2183" s="8" t="n"/>
      <x:c r="C2183" s="8" t="n"/>
      <x:c r="D2183" s="8" t="n"/>
    </x:row>
    <x:row r="2184">
      <x:c r="A2184" s="8" t="n"/>
      <x:c r="B2184" s="8" t="n"/>
      <x:c r="C2184" s="8" t="n"/>
      <x:c r="D2184" s="8" t="n"/>
    </x:row>
    <x:row r="2185">
      <x:c r="A2185" s="8" t="n"/>
      <x:c r="B2185" s="8" t="n"/>
      <x:c r="C2185" s="8" t="n"/>
      <x:c r="D2185" s="8" t="n"/>
    </x:row>
    <x:row r="2186">
      <x:c r="A2186" s="8" t="n"/>
      <x:c r="B2186" s="8" t="n"/>
      <x:c r="C2186" s="8" t="n"/>
      <x:c r="D2186" s="8" t="n"/>
    </x:row>
    <x:row r="2187">
      <x:c r="A2187" s="8" t="n"/>
      <x:c r="B2187" s="8" t="n"/>
      <x:c r="C2187" s="8" t="n"/>
      <x:c r="D2187" s="8" t="n"/>
    </x:row>
    <x:row r="2188">
      <x:c r="A2188" s="8" t="n"/>
      <x:c r="B2188" s="8" t="n"/>
      <x:c r="C2188" s="8" t="n"/>
      <x:c r="D2188" s="8" t="n"/>
    </x:row>
    <x:row r="2189">
      <x:c r="A2189" s="8" t="n"/>
      <x:c r="B2189" s="8" t="n"/>
      <x:c r="C2189" s="8" t="n"/>
      <x:c r="D2189" s="8" t="n"/>
    </x:row>
    <x:row r="2190">
      <x:c r="A2190" s="8" t="n"/>
      <x:c r="B2190" s="8" t="n"/>
      <x:c r="C2190" s="8" t="n"/>
      <x:c r="D2190" s="8" t="n"/>
    </x:row>
    <x:row r="2191">
      <x:c r="A2191" s="8" t="n"/>
      <x:c r="B2191" s="8" t="n"/>
      <x:c r="C2191" s="8" t="n"/>
      <x:c r="D2191" s="8" t="n"/>
    </x:row>
    <x:row r="2192">
      <x:c r="A2192" s="8" t="n"/>
      <x:c r="B2192" s="8" t="n"/>
      <x:c r="C2192" s="8" t="n"/>
      <x:c r="D2192" s="8" t="n"/>
    </x:row>
    <x:row r="2193">
      <x:c r="A2193" s="8" t="n"/>
      <x:c r="B2193" s="8" t="n"/>
      <x:c r="C2193" s="8" t="n"/>
      <x:c r="D2193" s="8" t="n"/>
    </x:row>
    <x:row r="2194">
      <x:c r="A2194" s="8" t="n"/>
      <x:c r="B2194" s="8" t="n"/>
      <x:c r="C2194" s="8" t="n"/>
      <x:c r="D2194" s="8" t="n"/>
    </x:row>
    <x:row r="2195">
      <x:c r="A2195" s="8" t="n"/>
      <x:c r="B2195" s="8" t="n"/>
      <x:c r="C2195" s="8" t="n"/>
      <x:c r="D2195" s="8" t="n"/>
    </x:row>
    <x:row r="2196">
      <x:c r="A2196" s="8" t="n"/>
      <x:c r="B2196" s="8" t="n"/>
      <x:c r="C2196" s="8" t="n"/>
      <x:c r="D2196" s="8" t="n"/>
    </x:row>
    <x:row r="2197">
      <x:c r="A2197" s="8" t="n"/>
      <x:c r="B2197" s="8" t="n"/>
      <x:c r="C2197" s="8" t="n"/>
      <x:c r="D2197" s="8" t="n"/>
    </x:row>
    <x:row r="2198">
      <x:c r="A2198" s="8" t="n"/>
      <x:c r="B2198" s="8" t="n"/>
      <x:c r="C2198" s="8" t="n"/>
      <x:c r="D2198" s="8" t="n"/>
    </x:row>
    <x:row r="2199">
      <x:c r="A2199" s="8" t="n"/>
      <x:c r="B2199" s="8" t="n"/>
      <x:c r="C2199" s="8" t="n"/>
      <x:c r="D2199" s="8" t="n"/>
    </x:row>
    <x:row r="2200">
      <x:c r="A2200" s="8" t="n"/>
      <x:c r="B2200" s="8" t="n"/>
      <x:c r="C2200" s="8" t="n"/>
      <x:c r="D2200" s="8" t="n"/>
    </x:row>
    <x:row r="2201">
      <x:c r="A2201" s="8" t="n"/>
      <x:c r="B2201" s="8" t="n"/>
      <x:c r="C2201" s="8" t="n"/>
      <x:c r="D2201" s="8" t="n"/>
    </x:row>
    <x:row r="2202">
      <x:c r="A2202" s="8" t="n"/>
      <x:c r="B2202" s="8" t="n"/>
      <x:c r="C2202" s="8" t="n"/>
      <x:c r="D2202" s="8" t="n"/>
    </x:row>
    <x:row r="2203">
      <x:c r="A2203" s="8" t="n"/>
      <x:c r="B2203" s="8" t="n"/>
      <x:c r="C2203" s="8" t="n"/>
      <x:c r="D2203" s="8" t="n"/>
    </x:row>
    <x:row r="2204">
      <x:c r="A2204" s="8" t="n"/>
      <x:c r="B2204" s="8" t="n"/>
      <x:c r="C2204" s="8" t="n"/>
      <x:c r="D2204" s="8" t="n"/>
    </x:row>
    <x:row r="2205">
      <x:c r="A2205" s="8" t="n"/>
      <x:c r="B2205" s="8" t="n"/>
      <x:c r="C2205" s="8" t="n"/>
      <x:c r="D2205" s="8" t="n"/>
    </x:row>
    <x:row r="2206">
      <x:c r="A2206" s="8" t="n"/>
      <x:c r="B2206" s="8" t="n"/>
      <x:c r="C2206" s="8" t="n"/>
      <x:c r="D2206" s="8" t="n"/>
    </x:row>
    <x:row r="2207">
      <x:c r="A2207" s="8" t="n"/>
      <x:c r="B2207" s="8" t="n"/>
      <x:c r="C2207" s="8" t="n"/>
      <x:c r="D2207" s="8" t="n"/>
    </x:row>
    <x:row r="2208">
      <x:c r="A2208" s="8" t="n"/>
      <x:c r="B2208" s="8" t="n"/>
      <x:c r="C2208" s="8" t="n"/>
      <x:c r="D2208" s="8" t="n"/>
    </x:row>
    <x:row r="2209">
      <x:c r="A2209" s="8" t="n"/>
      <x:c r="B2209" s="8" t="n"/>
      <x:c r="C2209" s="8" t="n"/>
      <x:c r="D2209" s="8" t="n"/>
    </x:row>
    <x:row r="2210">
      <x:c r="A2210" s="8" t="n"/>
      <x:c r="B2210" s="8" t="n"/>
      <x:c r="C2210" s="8" t="n"/>
      <x:c r="D2210" s="8" t="n"/>
    </x:row>
    <x:row r="2211">
      <x:c r="A2211" s="8" t="n"/>
      <x:c r="B2211" s="8" t="n"/>
      <x:c r="C2211" s="8" t="n"/>
      <x:c r="D2211" s="8" t="n"/>
    </x:row>
    <x:row r="2212">
      <x:c r="A2212" s="8" t="n"/>
      <x:c r="B2212" s="8" t="n"/>
      <x:c r="C2212" s="8" t="n"/>
      <x:c r="D2212" s="8" t="n"/>
    </x:row>
    <x:row r="2213">
      <x:c r="A2213" s="8" t="n"/>
      <x:c r="B2213" s="8" t="n"/>
      <x:c r="C2213" s="8" t="n"/>
      <x:c r="D2213" s="8" t="n"/>
    </x:row>
    <x:row r="2214">
      <x:c r="A2214" s="8" t="n"/>
      <x:c r="B2214" s="8" t="n"/>
      <x:c r="C2214" s="8" t="n"/>
      <x:c r="D2214" s="8" t="n"/>
    </x:row>
    <x:row r="2215">
      <x:c r="A2215" s="8" t="n"/>
      <x:c r="B2215" s="8" t="n"/>
      <x:c r="C2215" s="8" t="n"/>
      <x:c r="D2215" s="8" t="n"/>
    </x:row>
    <x:row r="2216">
      <x:c r="A2216" s="8" t="n"/>
      <x:c r="B2216" s="8" t="n"/>
      <x:c r="C2216" s="8" t="n"/>
      <x:c r="D2216" s="8" t="n"/>
    </x:row>
    <x:row r="2217">
      <x:c r="A2217" s="8" t="n"/>
      <x:c r="B2217" s="8" t="n"/>
      <x:c r="C2217" s="8" t="n"/>
      <x:c r="D2217" s="8" t="n"/>
    </x:row>
    <x:row r="2218">
      <x:c r="A2218" s="8" t="n"/>
      <x:c r="B2218" s="8" t="n"/>
      <x:c r="C2218" s="8" t="n"/>
      <x:c r="D2218" s="8" t="n"/>
    </x:row>
    <x:row r="2219">
      <x:c r="A2219" s="8" t="n"/>
      <x:c r="B2219" s="8" t="n"/>
      <x:c r="C2219" s="8" t="n"/>
      <x:c r="D2219" s="8" t="n"/>
    </x:row>
    <x:row r="2220">
      <x:c r="A2220" s="8" t="n"/>
      <x:c r="B2220" s="8" t="n"/>
      <x:c r="C2220" s="8" t="n"/>
      <x:c r="D2220" s="8" t="n"/>
    </x:row>
    <x:row r="2221">
      <x:c r="A2221" s="8" t="n"/>
      <x:c r="B2221" s="8" t="n"/>
      <x:c r="C2221" s="8" t="n"/>
      <x:c r="D2221" s="8" t="n"/>
    </x:row>
    <x:row r="2222">
      <x:c r="A2222" s="8" t="n"/>
      <x:c r="B2222" s="8" t="n"/>
      <x:c r="C2222" s="8" t="n"/>
      <x:c r="D2222" s="8" t="n"/>
    </x:row>
    <x:row r="2223">
      <x:c r="A2223" s="8" t="n"/>
      <x:c r="B2223" s="8" t="n"/>
      <x:c r="C2223" s="8" t="n"/>
      <x:c r="D2223" s="8" t="n"/>
    </x:row>
    <x:row r="2224">
      <x:c r="A2224" s="8" t="n"/>
      <x:c r="B2224" s="8" t="n"/>
      <x:c r="C2224" s="8" t="n"/>
      <x:c r="D2224" s="8" t="n"/>
    </x:row>
    <x:row r="2225">
      <x:c r="A2225" s="8" t="n"/>
      <x:c r="B2225" s="8" t="n"/>
      <x:c r="C2225" s="8" t="n"/>
      <x:c r="D2225" s="8" t="n"/>
    </x:row>
    <x:row r="2226">
      <x:c r="A2226" s="8" t="n"/>
      <x:c r="B2226" s="8" t="n"/>
      <x:c r="C2226" s="8" t="n"/>
      <x:c r="D2226" s="8" t="n"/>
    </x:row>
    <x:row r="2227">
      <x:c r="A2227" s="8" t="n"/>
      <x:c r="B2227" s="8" t="n"/>
      <x:c r="C2227" s="8" t="n"/>
      <x:c r="D2227" s="8" t="n"/>
    </x:row>
    <x:row r="2228">
      <x:c r="A2228" s="8" t="n"/>
      <x:c r="B2228" s="8" t="n"/>
      <x:c r="C2228" s="8" t="n"/>
      <x:c r="D2228" s="8" t="n"/>
    </x:row>
    <x:row r="2229">
      <x:c r="A2229" s="8" t="n"/>
      <x:c r="B2229" s="8" t="n"/>
      <x:c r="C2229" s="8" t="n"/>
      <x:c r="D2229" s="8" t="n"/>
    </x:row>
    <x:row r="2230">
      <x:c r="A2230" s="8" t="n"/>
      <x:c r="B2230" s="8" t="n"/>
      <x:c r="C2230" s="8" t="n"/>
      <x:c r="D2230" s="8" t="n"/>
    </x:row>
    <x:row r="2231">
      <x:c r="A2231" s="8" t="n"/>
      <x:c r="B2231" s="8" t="n"/>
      <x:c r="C2231" s="8" t="n"/>
      <x:c r="D2231" s="8" t="n"/>
    </x:row>
    <x:row r="2232">
      <x:c r="A2232" s="8" t="n"/>
      <x:c r="B2232" s="8" t="n"/>
      <x:c r="C2232" s="8" t="n"/>
      <x:c r="D2232" s="8" t="n"/>
    </x:row>
    <x:row r="2233">
      <x:c r="A2233" s="8" t="n"/>
      <x:c r="B2233" s="8" t="n"/>
      <x:c r="C2233" s="8" t="n"/>
      <x:c r="D2233" s="8" t="n"/>
    </x:row>
    <x:row r="2234">
      <x:c r="A2234" s="8" t="n"/>
      <x:c r="B2234" s="8" t="n"/>
      <x:c r="C2234" s="8" t="n"/>
      <x:c r="D2234" s="8" t="n"/>
    </x:row>
    <x:row r="2235">
      <x:c r="A2235" s="8" t="n"/>
      <x:c r="B2235" s="8" t="n"/>
      <x:c r="C2235" s="8" t="n"/>
      <x:c r="D2235" s="8" t="n"/>
    </x:row>
    <x:row r="2236">
      <x:c r="A2236" s="8" t="n"/>
      <x:c r="B2236" s="8" t="n"/>
      <x:c r="C2236" s="8" t="n"/>
      <x:c r="D2236" s="8" t="n"/>
    </x:row>
    <x:row r="2237">
      <x:c r="A2237" s="8" t="n"/>
      <x:c r="B2237" s="8" t="n"/>
      <x:c r="C2237" s="8" t="n"/>
      <x:c r="D2237" s="8" t="n"/>
    </x:row>
    <x:row r="2238">
      <x:c r="A2238" s="8" t="n"/>
      <x:c r="B2238" s="8" t="n"/>
      <x:c r="C2238" s="8" t="n"/>
      <x:c r="D2238" s="8" t="n"/>
    </x:row>
    <x:row r="2239">
      <x:c r="A2239" s="8" t="n"/>
      <x:c r="B2239" s="8" t="n"/>
      <x:c r="C2239" s="8" t="n"/>
      <x:c r="D2239" s="8" t="n"/>
    </x:row>
    <x:row r="2240">
      <x:c r="A2240" s="8" t="n"/>
      <x:c r="B2240" s="8" t="n"/>
      <x:c r="C2240" s="8" t="n"/>
      <x:c r="D2240" s="8" t="n"/>
    </x:row>
    <x:row r="2241">
      <x:c r="A2241" s="8" t="n"/>
      <x:c r="B2241" s="8" t="n"/>
      <x:c r="C2241" s="8" t="n"/>
      <x:c r="D2241" s="8" t="n"/>
    </x:row>
    <x:row r="2242">
      <x:c r="A2242" s="8" t="n"/>
      <x:c r="B2242" s="8" t="n"/>
      <x:c r="C2242" s="8" t="n"/>
      <x:c r="D2242" s="8" t="n"/>
    </x:row>
    <x:row r="2243">
      <x:c r="A2243" s="8" t="n"/>
      <x:c r="B2243" s="8" t="n"/>
      <x:c r="C2243" s="8" t="n"/>
      <x:c r="D2243" s="8" t="n"/>
    </x:row>
    <x:row r="2244">
      <x:c r="A2244" s="8" t="n"/>
      <x:c r="B2244" s="8" t="n"/>
      <x:c r="C2244" s="8" t="n"/>
      <x:c r="D2244" s="8" t="n"/>
    </x:row>
    <x:row r="2245">
      <x:c r="A2245" s="8" t="n"/>
      <x:c r="B2245" s="8" t="n"/>
      <x:c r="C2245" s="8" t="n"/>
      <x:c r="D2245" s="8" t="n"/>
    </x:row>
    <x:row r="2246">
      <x:c r="A2246" s="8" t="n"/>
      <x:c r="B2246" s="8" t="n"/>
      <x:c r="C2246" s="8" t="n"/>
      <x:c r="D2246" s="8" t="n"/>
    </x:row>
    <x:row r="2247">
      <x:c r="A2247" s="8" t="n"/>
      <x:c r="B2247" s="8" t="n"/>
      <x:c r="C2247" s="8" t="n"/>
      <x:c r="D2247" s="8" t="n"/>
    </x:row>
    <x:row r="2248">
      <x:c r="A2248" s="8" t="n"/>
      <x:c r="B2248" s="8" t="n"/>
      <x:c r="C2248" s="8" t="n"/>
      <x:c r="D2248" s="8" t="n"/>
    </x:row>
    <x:row r="2249">
      <x:c r="A2249" s="8" t="n"/>
      <x:c r="B2249" s="8" t="n"/>
      <x:c r="C2249" s="8" t="n"/>
      <x:c r="D2249" s="8" t="n"/>
    </x:row>
    <x:row r="2250">
      <x:c r="A2250" s="8" t="n"/>
      <x:c r="B2250" s="8" t="n"/>
      <x:c r="C2250" s="8" t="n"/>
      <x:c r="D2250" s="8" t="n"/>
    </x:row>
    <x:row r="2251">
      <x:c r="A2251" s="8" t="n"/>
      <x:c r="B2251" s="8" t="n"/>
      <x:c r="C2251" s="8" t="n"/>
      <x:c r="D2251" s="8" t="n"/>
    </x:row>
    <x:row r="2252">
      <x:c r="A2252" s="8" t="n"/>
      <x:c r="B2252" s="8" t="n"/>
      <x:c r="C2252" s="8" t="n"/>
      <x:c r="D2252" s="8" t="n"/>
    </x:row>
    <x:row r="2253">
      <x:c r="A2253" s="8" t="n"/>
      <x:c r="B2253" s="8" t="n"/>
      <x:c r="C2253" s="8" t="n"/>
      <x:c r="D2253" s="8" t="n"/>
    </x:row>
    <x:row r="2254">
      <x:c r="A2254" s="8" t="n"/>
      <x:c r="B2254" s="8" t="n"/>
      <x:c r="C2254" s="8" t="n"/>
      <x:c r="D2254" s="8" t="n"/>
    </x:row>
    <x:row r="2255">
      <x:c r="A2255" s="8" t="n"/>
      <x:c r="B2255" s="8" t="n"/>
      <x:c r="C2255" s="8" t="n"/>
      <x:c r="D2255" s="8" t="n"/>
    </x:row>
    <x:row r="2256">
      <x:c r="A2256" s="8" t="n"/>
      <x:c r="B2256" s="8" t="n"/>
      <x:c r="C2256" s="8" t="n"/>
      <x:c r="D2256" s="8" t="n"/>
    </x:row>
    <x:row r="2257">
      <x:c r="A2257" s="8" t="n"/>
      <x:c r="B2257" s="8" t="n"/>
      <x:c r="C2257" s="8" t="n"/>
      <x:c r="D2257" s="8" t="n"/>
    </x:row>
    <x:row r="2258">
      <x:c r="A2258" s="8" t="n"/>
      <x:c r="B2258" s="8" t="n"/>
      <x:c r="C2258" s="8" t="n"/>
      <x:c r="D2258" s="8" t="n"/>
    </x:row>
    <x:row r="2259">
      <x:c r="A2259" s="8" t="n"/>
      <x:c r="B2259" s="8" t="n"/>
      <x:c r="C2259" s="8" t="n"/>
      <x:c r="D2259" s="8" t="n"/>
    </x:row>
    <x:row r="2260">
      <x:c r="A2260" s="8" t="n"/>
      <x:c r="B2260" s="8" t="n"/>
      <x:c r="C2260" s="8" t="n"/>
      <x:c r="D2260" s="8" t="n"/>
    </x:row>
    <x:row r="2261">
      <x:c r="A2261" s="8" t="n"/>
      <x:c r="B2261" s="8" t="n"/>
      <x:c r="C2261" s="8" t="n"/>
      <x:c r="D2261" s="8" t="n"/>
    </x:row>
    <x:row r="2262">
      <x:c r="A2262" s="8" t="n"/>
      <x:c r="B2262" s="8" t="n"/>
      <x:c r="C2262" s="8" t="n"/>
      <x:c r="D2262" s="8" t="n"/>
    </x:row>
    <x:row r="2263">
      <x:c r="A2263" s="8" t="n"/>
      <x:c r="B2263" s="8" t="n"/>
      <x:c r="C2263" s="8" t="n"/>
      <x:c r="D2263" s="8" t="n"/>
    </x:row>
    <x:row r="2264">
      <x:c r="A2264" s="8" t="n"/>
      <x:c r="B2264" s="8" t="n"/>
      <x:c r="C2264" s="8" t="n"/>
      <x:c r="D2264" s="8" t="n"/>
    </x:row>
    <x:row r="2265">
      <x:c r="A2265" s="8" t="n"/>
      <x:c r="B2265" s="8" t="n"/>
      <x:c r="C2265" s="8" t="n"/>
      <x:c r="D2265" s="8" t="n"/>
    </x:row>
    <x:row r="2266">
      <x:c r="A2266" s="8" t="n"/>
      <x:c r="B2266" s="8" t="n"/>
      <x:c r="C2266" s="8" t="n"/>
      <x:c r="D2266" s="8" t="n"/>
    </x:row>
    <x:row r="2267">
      <x:c r="A2267" s="8" t="n"/>
      <x:c r="B2267" s="8" t="n"/>
      <x:c r="C2267" s="8" t="n"/>
      <x:c r="D2267" s="8" t="n"/>
    </x:row>
    <x:row r="2268">
      <x:c r="A2268" s="8" t="n"/>
      <x:c r="B2268" s="8" t="n"/>
      <x:c r="C2268" s="8" t="n"/>
      <x:c r="D2268" s="8" t="n"/>
    </x:row>
    <x:row r="2269">
      <x:c r="A2269" s="8" t="n"/>
      <x:c r="B2269" s="8" t="n"/>
      <x:c r="C2269" s="8" t="n"/>
      <x:c r="D2269" s="8" t="n"/>
    </x:row>
    <x:row r="2270">
      <x:c r="A2270" s="8" t="n"/>
      <x:c r="B2270" s="8" t="n"/>
      <x:c r="C2270" s="8" t="n"/>
      <x:c r="D2270" s="8" t="n"/>
    </x:row>
    <x:row r="2271">
      <x:c r="A2271" s="8" t="n"/>
      <x:c r="B2271" s="8" t="n"/>
      <x:c r="C2271" s="8" t="n"/>
      <x:c r="D2271" s="8" t="n"/>
    </x:row>
    <x:row r="2272">
      <x:c r="A2272" s="8" t="n"/>
      <x:c r="B2272" s="8" t="n"/>
      <x:c r="C2272" s="8" t="n"/>
      <x:c r="D2272" s="8" t="n"/>
    </x:row>
    <x:row r="2273">
      <x:c r="A2273" s="8" t="n"/>
      <x:c r="B2273" s="8" t="n"/>
      <x:c r="C2273" s="8" t="n"/>
      <x:c r="D2273" s="8" t="n"/>
    </x:row>
    <x:row r="2274">
      <x:c r="A2274" s="8" t="n"/>
      <x:c r="B2274" s="8" t="n"/>
      <x:c r="C2274" s="8" t="n"/>
      <x:c r="D2274" s="8" t="n"/>
    </x:row>
    <x:row r="2275">
      <x:c r="A2275" s="8" t="n"/>
      <x:c r="B2275" s="8" t="n"/>
      <x:c r="C2275" s="8" t="n"/>
      <x:c r="D2275" s="8" t="n"/>
    </x:row>
    <x:row r="2276">
      <x:c r="A2276" s="8" t="n"/>
      <x:c r="B2276" s="8" t="n"/>
      <x:c r="C2276" s="8" t="n"/>
      <x:c r="D2276" s="8" t="n"/>
    </x:row>
    <x:row r="2277">
      <x:c r="A2277" s="8" t="n"/>
      <x:c r="B2277" s="8" t="n"/>
      <x:c r="C2277" s="8" t="n"/>
      <x:c r="D2277" s="8" t="n"/>
    </x:row>
    <x:row r="2278">
      <x:c r="A2278" s="8" t="n"/>
      <x:c r="B2278" s="8" t="n"/>
      <x:c r="C2278" s="8" t="n"/>
      <x:c r="D2278" s="8" t="n"/>
    </x:row>
    <x:row r="2279">
      <x:c r="A2279" s="8" t="n"/>
      <x:c r="B2279" s="8" t="n"/>
      <x:c r="C2279" s="8" t="n"/>
      <x:c r="D2279" s="8" t="n"/>
    </x:row>
    <x:row r="2280">
      <x:c r="A2280" s="8" t="n"/>
      <x:c r="B2280" s="8" t="n"/>
      <x:c r="C2280" s="8" t="n"/>
      <x:c r="D2280" s="8" t="n"/>
    </x:row>
    <x:row r="2281">
      <x:c r="A2281" s="8" t="n"/>
      <x:c r="B2281" s="8" t="n"/>
      <x:c r="C2281" s="8" t="n"/>
      <x:c r="D2281" s="8" t="n"/>
    </x:row>
    <x:row r="2282">
      <x:c r="A2282" s="8" t="n"/>
      <x:c r="B2282" s="8" t="n"/>
      <x:c r="C2282" s="8" t="n"/>
      <x:c r="D2282" s="8" t="n"/>
    </x:row>
    <x:row r="2283">
      <x:c r="A2283" s="8" t="n"/>
      <x:c r="B2283" s="8" t="n"/>
      <x:c r="C2283" s="8" t="n"/>
      <x:c r="D2283" s="8" t="n"/>
    </x:row>
    <x:row r="2284">
      <x:c r="A2284" s="8" t="n"/>
      <x:c r="B2284" s="8" t="n"/>
      <x:c r="C2284" s="8" t="n"/>
      <x:c r="D2284" s="8" t="n"/>
    </x:row>
    <x:row r="2285">
      <x:c r="A2285" s="8" t="n"/>
      <x:c r="B2285" s="8" t="n"/>
      <x:c r="C2285" s="8" t="n"/>
      <x:c r="D2285" s="8" t="n"/>
    </x:row>
    <x:row r="2286">
      <x:c r="A2286" s="8" t="n"/>
      <x:c r="B2286" s="8" t="n"/>
      <x:c r="C2286" s="8" t="n"/>
      <x:c r="D2286" s="8" t="n"/>
    </x:row>
    <x:row r="2287">
      <x:c r="A2287" s="8" t="n"/>
      <x:c r="B2287" s="8" t="n"/>
      <x:c r="C2287" s="8" t="n"/>
      <x:c r="D2287" s="8" t="n"/>
    </x:row>
    <x:row r="2288">
      <x:c r="A2288" s="8" t="n"/>
      <x:c r="B2288" s="8" t="n"/>
      <x:c r="C2288" s="8" t="n"/>
      <x:c r="D2288" s="8" t="n"/>
    </x:row>
    <x:row r="2289">
      <x:c r="A2289" s="8" t="n"/>
      <x:c r="B2289" s="8" t="n"/>
      <x:c r="C2289" s="8" t="n"/>
      <x:c r="D2289" s="8" t="n"/>
    </x:row>
    <x:row r="2290">
      <x:c r="A2290" s="8" t="n"/>
      <x:c r="B2290" s="8" t="n"/>
      <x:c r="C2290" s="8" t="n"/>
      <x:c r="D2290" s="8" t="n"/>
    </x:row>
    <x:row r="2291">
      <x:c r="A2291" s="8" t="n"/>
      <x:c r="B2291" s="8" t="n"/>
      <x:c r="C2291" s="8" t="n"/>
      <x:c r="D2291" s="8" t="n"/>
    </x:row>
    <x:row r="2292">
      <x:c r="A2292" s="8" t="n"/>
      <x:c r="B2292" s="8" t="n"/>
      <x:c r="C2292" s="8" t="n"/>
      <x:c r="D2292" s="8" t="n"/>
    </x:row>
    <x:row r="2293">
      <x:c r="A2293" s="8" t="n"/>
      <x:c r="B2293" s="8" t="n"/>
      <x:c r="C2293" s="8" t="n"/>
      <x:c r="D2293" s="8" t="n"/>
    </x:row>
    <x:row r="2294">
      <x:c r="A2294" s="8" t="n"/>
      <x:c r="B2294" s="8" t="n"/>
      <x:c r="C2294" s="8" t="n"/>
      <x:c r="D2294" s="8" t="n"/>
    </x:row>
    <x:row r="2295">
      <x:c r="A2295" s="8" t="n"/>
      <x:c r="B2295" s="8" t="n"/>
      <x:c r="C2295" s="8" t="n"/>
      <x:c r="D2295" s="8" t="n"/>
    </x:row>
    <x:row r="2296">
      <x:c r="A2296" s="8" t="n"/>
      <x:c r="B2296" s="8" t="n"/>
      <x:c r="C2296" s="8" t="n"/>
      <x:c r="D2296" s="8" t="n"/>
    </x:row>
    <x:row r="2297">
      <x:c r="A2297" s="8" t="n"/>
      <x:c r="B2297" s="8" t="n"/>
      <x:c r="C2297" s="8" t="n"/>
      <x:c r="D2297" s="8" t="n"/>
    </x:row>
    <x:row r="2298">
      <x:c r="A2298" s="8" t="n"/>
      <x:c r="B2298" s="8" t="n"/>
      <x:c r="C2298" s="8" t="n"/>
      <x:c r="D2298" s="8" t="n"/>
    </x:row>
    <x:row r="2299">
      <x:c r="A2299" s="8" t="n"/>
      <x:c r="B2299" s="8" t="n"/>
      <x:c r="C2299" s="8" t="n"/>
      <x:c r="D2299" s="8" t="n"/>
    </x:row>
    <x:row r="2300">
      <x:c r="A2300" s="8" t="n"/>
      <x:c r="B2300" s="8" t="n"/>
      <x:c r="C2300" s="8" t="n"/>
      <x:c r="D2300" s="8" t="n"/>
    </x:row>
    <x:row r="2301">
      <x:c r="A2301" s="8" t="n"/>
      <x:c r="B2301" s="8" t="n"/>
      <x:c r="C2301" s="8" t="n"/>
      <x:c r="D2301" s="8" t="n"/>
    </x:row>
    <x:row r="2302">
      <x:c r="A2302" s="8" t="n"/>
      <x:c r="B2302" s="8" t="n"/>
      <x:c r="C2302" s="8" t="n"/>
      <x:c r="D2302" s="8" t="n"/>
    </x:row>
    <x:row r="2303">
      <x:c r="A2303" s="8" t="n"/>
      <x:c r="B2303" s="8" t="n"/>
      <x:c r="C2303" s="8" t="n"/>
      <x:c r="D2303" s="8" t="n"/>
    </x:row>
    <x:row r="2304">
      <x:c r="A2304" s="8" t="n"/>
      <x:c r="B2304" s="8" t="n"/>
      <x:c r="C2304" s="8" t="n"/>
      <x:c r="D2304" s="8" t="n"/>
    </x:row>
    <x:row r="2305">
      <x:c r="A2305" s="8" t="n"/>
      <x:c r="B2305" s="8" t="n"/>
      <x:c r="C2305" s="8" t="n"/>
      <x:c r="D2305" s="8" t="n"/>
    </x:row>
    <x:row r="2306">
      <x:c r="A2306" s="8" t="n"/>
      <x:c r="B2306" s="8" t="n"/>
      <x:c r="C2306" s="8" t="n"/>
      <x:c r="D2306" s="8" t="n"/>
    </x:row>
    <x:row r="2307">
      <x:c r="A2307" s="8" t="n"/>
      <x:c r="B2307" s="8" t="n"/>
      <x:c r="C2307" s="8" t="n"/>
      <x:c r="D2307" s="8" t="n"/>
    </x:row>
    <x:row r="2308">
      <x:c r="A2308" s="8" t="n"/>
      <x:c r="B2308" s="8" t="n"/>
      <x:c r="C2308" s="8" t="n"/>
      <x:c r="D2308" s="8" t="n"/>
    </x:row>
    <x:row r="2309">
      <x:c r="A2309" s="8" t="n"/>
      <x:c r="B2309" s="8" t="n"/>
      <x:c r="C2309" s="8" t="n"/>
      <x:c r="D2309" s="8" t="n"/>
    </x:row>
    <x:row r="2310">
      <x:c r="A2310" s="8" t="n"/>
      <x:c r="B2310" s="8" t="n"/>
      <x:c r="C2310" s="8" t="n"/>
      <x:c r="D2310" s="8" t="n"/>
    </x:row>
    <x:row r="2311">
      <x:c r="A2311" s="8" t="n"/>
      <x:c r="B2311" s="8" t="n"/>
      <x:c r="C2311" s="8" t="n"/>
      <x:c r="D2311" s="8" t="n"/>
    </x:row>
    <x:row r="2312">
      <x:c r="A2312" s="8" t="n"/>
      <x:c r="B2312" s="8" t="n"/>
      <x:c r="C2312" s="8" t="n"/>
      <x:c r="D2312" s="8" t="n"/>
    </x:row>
    <x:row r="2313">
      <x:c r="A2313" s="8" t="n"/>
      <x:c r="B2313" s="8" t="n"/>
      <x:c r="C2313" s="8" t="n"/>
      <x:c r="D2313" s="8" t="n"/>
    </x:row>
    <x:row r="2314">
      <x:c r="A2314" s="8" t="n"/>
      <x:c r="B2314" s="8" t="n"/>
      <x:c r="C2314" s="8" t="n"/>
      <x:c r="D2314" s="8" t="n"/>
    </x:row>
    <x:row r="2315">
      <x:c r="A2315" s="8" t="n"/>
      <x:c r="B2315" s="8" t="n"/>
      <x:c r="C2315" s="8" t="n"/>
      <x:c r="D2315" s="8" t="n"/>
    </x:row>
    <x:row r="2316">
      <x:c r="A2316" s="8" t="n"/>
      <x:c r="B2316" s="8" t="n"/>
      <x:c r="C2316" s="8" t="n"/>
      <x:c r="D2316" s="8" t="n"/>
    </x:row>
    <x:row r="2317">
      <x:c r="A2317" s="8" t="n"/>
      <x:c r="B2317" s="8" t="n"/>
      <x:c r="C2317" s="8" t="n"/>
      <x:c r="D2317" s="8" t="n"/>
    </x:row>
    <x:row r="2318">
      <x:c r="A2318" s="8" t="n"/>
      <x:c r="B2318" s="8" t="n"/>
      <x:c r="C2318" s="8" t="n"/>
      <x:c r="D2318" s="8" t="n"/>
    </x:row>
    <x:row r="2319">
      <x:c r="A2319" s="8" t="n"/>
      <x:c r="B2319" s="8" t="n"/>
      <x:c r="C2319" s="8" t="n"/>
      <x:c r="D2319" s="8" t="n"/>
    </x:row>
    <x:row r="2320">
      <x:c r="A2320" s="8" t="n"/>
      <x:c r="B2320" s="8" t="n"/>
      <x:c r="C2320" s="8" t="n"/>
      <x:c r="D2320" s="8" t="n"/>
    </x:row>
    <x:row r="2321">
      <x:c r="A2321" s="8" t="n"/>
      <x:c r="B2321" s="8" t="n"/>
      <x:c r="C2321" s="8" t="n"/>
      <x:c r="D2321" s="8" t="n"/>
    </x:row>
    <x:row r="2322">
      <x:c r="A2322" s="8" t="n"/>
      <x:c r="B2322" s="8" t="n"/>
      <x:c r="C2322" s="8" t="n"/>
      <x:c r="D2322" s="8" t="n"/>
    </x:row>
    <x:row r="2323">
      <x:c r="A2323" s="8" t="n"/>
      <x:c r="B2323" s="8" t="n"/>
      <x:c r="C2323" s="8" t="n"/>
      <x:c r="D2323" s="8" t="n"/>
    </x:row>
    <x:row r="2324">
      <x:c r="A2324" s="8" t="n"/>
      <x:c r="B2324" s="8" t="n"/>
      <x:c r="C2324" s="8" t="n"/>
      <x:c r="D2324" s="8" t="n"/>
    </x:row>
    <x:row r="2325">
      <x:c r="A2325" s="8" t="n"/>
      <x:c r="B2325" s="8" t="n"/>
      <x:c r="C2325" s="8" t="n"/>
      <x:c r="D2325" s="8" t="n"/>
    </x:row>
    <x:row r="2326">
      <x:c r="A2326" s="8" t="n"/>
      <x:c r="B2326" s="8" t="n"/>
      <x:c r="C2326" s="8" t="n"/>
      <x:c r="D2326" s="8" t="n"/>
    </x:row>
    <x:row r="2327">
      <x:c r="A2327" s="8" t="n"/>
      <x:c r="B2327" s="8" t="n"/>
      <x:c r="C2327" s="8" t="n"/>
      <x:c r="D2327" s="8" t="n"/>
    </x:row>
    <x:row r="2328">
      <x:c r="A2328" s="8" t="n"/>
      <x:c r="B2328" s="8" t="n"/>
      <x:c r="C2328" s="8" t="n"/>
      <x:c r="D2328" s="8" t="n"/>
    </x:row>
    <x:row r="2329">
      <x:c r="A2329" s="8" t="n"/>
      <x:c r="B2329" s="8" t="n"/>
      <x:c r="C2329" s="8" t="n"/>
      <x:c r="D2329" s="8" t="n"/>
    </x:row>
    <x:row r="2330">
      <x:c r="A2330" s="8" t="n"/>
      <x:c r="B2330" s="8" t="n"/>
      <x:c r="C2330" s="8" t="n"/>
      <x:c r="D2330" s="8" t="n"/>
    </x:row>
    <x:row r="2331">
      <x:c r="A2331" s="8" t="n"/>
      <x:c r="B2331" s="8" t="n"/>
      <x:c r="C2331" s="8" t="n"/>
      <x:c r="D2331" s="8" t="n"/>
    </x:row>
    <x:row r="2332">
      <x:c r="A2332" s="8" t="n"/>
      <x:c r="B2332" s="8" t="n"/>
      <x:c r="C2332" s="8" t="n"/>
      <x:c r="D2332" s="8" t="n"/>
    </x:row>
    <x:row r="2333">
      <x:c r="A2333" s="8" t="n"/>
      <x:c r="B2333" s="8" t="n"/>
      <x:c r="C2333" s="8" t="n"/>
      <x:c r="D2333" s="8" t="n"/>
    </x:row>
    <x:row r="2334">
      <x:c r="A2334" s="8" t="n"/>
      <x:c r="B2334" s="8" t="n"/>
      <x:c r="C2334" s="8" t="n"/>
      <x:c r="D2334" s="8" t="n"/>
    </x:row>
    <x:row r="2335">
      <x:c r="A2335" s="8" t="n"/>
      <x:c r="B2335" s="8" t="n"/>
      <x:c r="C2335" s="8" t="n"/>
      <x:c r="D2335" s="8" t="n"/>
    </x:row>
    <x:row r="2336">
      <x:c r="A2336" s="8" t="n"/>
      <x:c r="B2336" s="8" t="n"/>
      <x:c r="C2336" s="8" t="n"/>
      <x:c r="D2336" s="8" t="n"/>
    </x:row>
    <x:row r="2337">
      <x:c r="A2337" s="8" t="n"/>
      <x:c r="B2337" s="8" t="n"/>
      <x:c r="C2337" s="8" t="n"/>
      <x:c r="D2337" s="8" t="n"/>
    </x:row>
    <x:row r="2338">
      <x:c r="A2338" s="8" t="n"/>
      <x:c r="B2338" s="8" t="n"/>
      <x:c r="C2338" s="8" t="n"/>
      <x:c r="D2338" s="8" t="n"/>
    </x:row>
    <x:row r="2339">
      <x:c r="A2339" s="8" t="n"/>
      <x:c r="B2339" s="8" t="n"/>
      <x:c r="C2339" s="8" t="n"/>
      <x:c r="D2339" s="8" t="n"/>
    </x:row>
    <x:row r="2340">
      <x:c r="A2340" s="8" t="n"/>
      <x:c r="B2340" s="8" t="n"/>
      <x:c r="C2340" s="8" t="n"/>
      <x:c r="D2340" s="8" t="n"/>
    </x:row>
    <x:row r="2341">
      <x:c r="A2341" s="8" t="n"/>
      <x:c r="B2341" s="8" t="n"/>
      <x:c r="C2341" s="8" t="n"/>
      <x:c r="D2341" s="8" t="n"/>
    </x:row>
    <x:row r="2342">
      <x:c r="A2342" s="8" t="n"/>
      <x:c r="B2342" s="8" t="n"/>
      <x:c r="C2342" s="8" t="n"/>
      <x:c r="D2342" s="8" t="n"/>
    </x:row>
    <x:row r="2343">
      <x:c r="A2343" s="8" t="n"/>
      <x:c r="B2343" s="8" t="n"/>
      <x:c r="C2343" s="8" t="n"/>
      <x:c r="D2343" s="8" t="n"/>
    </x:row>
    <x:row r="2344">
      <x:c r="A2344" s="8" t="n"/>
      <x:c r="B2344" s="8" t="n"/>
      <x:c r="C2344" s="8" t="n"/>
      <x:c r="D2344" s="8" t="n"/>
    </x:row>
    <x:row r="2345">
      <x:c r="A2345" s="8" t="n"/>
      <x:c r="B2345" s="8" t="n"/>
      <x:c r="C2345" s="8" t="n"/>
      <x:c r="D2345" s="8" t="n"/>
    </x:row>
    <x:row r="2346">
      <x:c r="A2346" s="8" t="n"/>
      <x:c r="B2346" s="8" t="n"/>
      <x:c r="C2346" s="8" t="n"/>
      <x:c r="D2346" s="8" t="n"/>
    </x:row>
    <x:row r="2347">
      <x:c r="A2347" s="8" t="n"/>
      <x:c r="B2347" s="8" t="n"/>
      <x:c r="C2347" s="8" t="n"/>
      <x:c r="D2347" s="8" t="n"/>
    </x:row>
    <x:row r="2348">
      <x:c r="A2348" s="8" t="n"/>
      <x:c r="B2348" s="8" t="n"/>
      <x:c r="C2348" s="8" t="n"/>
      <x:c r="D2348" s="8" t="n"/>
    </x:row>
    <x:row r="2349">
      <x:c r="A2349" s="8" t="n"/>
      <x:c r="B2349" s="8" t="n"/>
      <x:c r="C2349" s="8" t="n"/>
      <x:c r="D2349" s="8" t="n"/>
    </x:row>
    <x:row r="2350">
      <x:c r="A2350" s="8" t="n"/>
      <x:c r="B2350" s="8" t="n"/>
      <x:c r="C2350" s="8" t="n"/>
      <x:c r="D2350" s="8" t="n"/>
    </x:row>
    <x:row r="2351">
      <x:c r="A2351" s="8" t="n"/>
      <x:c r="B2351" s="8" t="n"/>
      <x:c r="C2351" s="8" t="n"/>
      <x:c r="D2351" s="8" t="n"/>
    </x:row>
    <x:row r="2352">
      <x:c r="A2352" s="8" t="n"/>
      <x:c r="B2352" s="8" t="n"/>
      <x:c r="C2352" s="8" t="n"/>
      <x:c r="D2352" s="8" t="n"/>
    </x:row>
    <x:row r="2353">
      <x:c r="A2353" s="8" t="n"/>
      <x:c r="B2353" s="8" t="n"/>
      <x:c r="C2353" s="8" t="n"/>
      <x:c r="D2353" s="8" t="n"/>
    </x:row>
    <x:row r="2354">
      <x:c r="A2354" s="8" t="n"/>
      <x:c r="B2354" s="8" t="n"/>
      <x:c r="C2354" s="8" t="n"/>
      <x:c r="D2354" s="8" t="n"/>
    </x:row>
    <x:row r="2355">
      <x:c r="A2355" s="8" t="n"/>
      <x:c r="B2355" s="8" t="n"/>
      <x:c r="C2355" s="8" t="n"/>
      <x:c r="D2355" s="8" t="n"/>
    </x:row>
    <x:row r="2356">
      <x:c r="A2356" s="8" t="n"/>
      <x:c r="B2356" s="8" t="n"/>
      <x:c r="C2356" s="8" t="n"/>
      <x:c r="D2356" s="8" t="n"/>
    </x:row>
    <x:row r="2357">
      <x:c r="A2357" s="8" t="n"/>
      <x:c r="B2357" s="8" t="n"/>
      <x:c r="C2357" s="8" t="n"/>
      <x:c r="D2357" s="8" t="n"/>
    </x:row>
    <x:row r="2358">
      <x:c r="A2358" s="8" t="n"/>
      <x:c r="B2358" s="8" t="n"/>
      <x:c r="C2358" s="8" t="n"/>
      <x:c r="D2358" s="8" t="n"/>
    </x:row>
    <x:row r="2359">
      <x:c r="A2359" s="8" t="n"/>
      <x:c r="B2359" s="8" t="n"/>
      <x:c r="C2359" s="8" t="n"/>
      <x:c r="D2359" s="8" t="n"/>
    </x:row>
    <x:row r="2360">
      <x:c r="A2360" s="8" t="n"/>
      <x:c r="B2360" s="8" t="n"/>
      <x:c r="C2360" s="8" t="n"/>
      <x:c r="D2360" s="8" t="n"/>
    </x:row>
    <x:row r="2361">
      <x:c r="A2361" s="8" t="n"/>
      <x:c r="B2361" s="8" t="n"/>
      <x:c r="C2361" s="8" t="n"/>
      <x:c r="D2361" s="8" t="n"/>
    </x:row>
    <x:row r="2362">
      <x:c r="A2362" s="8" t="n"/>
      <x:c r="B2362" s="8" t="n"/>
      <x:c r="C2362" s="8" t="n"/>
      <x:c r="D2362" s="8" t="n"/>
    </x:row>
    <x:row r="2363">
      <x:c r="A2363" s="8" t="n"/>
      <x:c r="B2363" s="8" t="n"/>
      <x:c r="C2363" s="8" t="n"/>
      <x:c r="D2363" s="8" t="n"/>
    </x:row>
    <x:row r="2364">
      <x:c r="A2364" s="8" t="n"/>
      <x:c r="B2364" s="8" t="n"/>
      <x:c r="C2364" s="8" t="n"/>
      <x:c r="D2364" s="8" t="n"/>
    </x:row>
    <x:row r="2365">
      <x:c r="A2365" s="8" t="n"/>
      <x:c r="B2365" s="8" t="n"/>
      <x:c r="C2365" s="8" t="n"/>
      <x:c r="D2365" s="8" t="n"/>
    </x:row>
    <x:row r="2366">
      <x:c r="A2366" s="8" t="n"/>
      <x:c r="B2366" s="8" t="n"/>
      <x:c r="C2366" s="8" t="n"/>
      <x:c r="D2366" s="8" t="n"/>
    </x:row>
    <x:row r="2367">
      <x:c r="A2367" s="8" t="n"/>
      <x:c r="B2367" s="8" t="n"/>
      <x:c r="C2367" s="8" t="n"/>
      <x:c r="D2367" s="8" t="n"/>
    </x:row>
    <x:row r="2368">
      <x:c r="A2368" s="8" t="n"/>
      <x:c r="B2368" s="8" t="n"/>
      <x:c r="C2368" s="8" t="n"/>
      <x:c r="D2368" s="8" t="n"/>
    </x:row>
    <x:row r="2369">
      <x:c r="A2369" s="8" t="n"/>
      <x:c r="B2369" s="8" t="n"/>
      <x:c r="C2369" s="8" t="n"/>
      <x:c r="D2369" s="8" t="n"/>
    </x:row>
    <x:row r="2370">
      <x:c r="A2370" s="8" t="n"/>
      <x:c r="B2370" s="8" t="n"/>
      <x:c r="C2370" s="8" t="n"/>
      <x:c r="D2370" s="8" t="n"/>
    </x:row>
    <x:row r="2371">
      <x:c r="A2371" s="8" t="n"/>
      <x:c r="B2371" s="8" t="n"/>
      <x:c r="C2371" s="8" t="n"/>
      <x:c r="D2371" s="8" t="n"/>
    </x:row>
    <x:row r="2372">
      <x:c r="A2372" s="8" t="n"/>
      <x:c r="B2372" s="8" t="n"/>
      <x:c r="C2372" s="8" t="n"/>
      <x:c r="D2372" s="8" t="n"/>
    </x:row>
    <x:row r="2373">
      <x:c r="A2373" s="8" t="n"/>
      <x:c r="B2373" s="8" t="n"/>
      <x:c r="C2373" s="8" t="n"/>
      <x:c r="D2373" s="8" t="n"/>
    </x:row>
    <x:row r="2374">
      <x:c r="A2374" s="8" t="n"/>
      <x:c r="B2374" s="8" t="n"/>
      <x:c r="C2374" s="8" t="n"/>
      <x:c r="D2374" s="8" t="n"/>
    </x:row>
    <x:row r="2375">
      <x:c r="A2375" s="8" t="n"/>
      <x:c r="B2375" s="8" t="n"/>
      <x:c r="C2375" s="8" t="n"/>
      <x:c r="D2375" s="8" t="n"/>
    </x:row>
    <x:row r="2376">
      <x:c r="A2376" s="8" t="n"/>
      <x:c r="B2376" s="8" t="n"/>
      <x:c r="C2376" s="8" t="n"/>
      <x:c r="D2376" s="8" t="n"/>
    </x:row>
    <x:row r="2377">
      <x:c r="A2377" s="8" t="n"/>
      <x:c r="B2377" s="8" t="n"/>
      <x:c r="C2377" s="8" t="n"/>
      <x:c r="D2377" s="8" t="n"/>
    </x:row>
    <x:row r="2378">
      <x:c r="A2378" s="8" t="n"/>
      <x:c r="B2378" s="8" t="n"/>
      <x:c r="C2378" s="8" t="n"/>
      <x:c r="D2378" s="8" t="n"/>
    </x:row>
    <x:row r="2379">
      <x:c r="A2379" s="8" t="n"/>
      <x:c r="B2379" s="8" t="n"/>
      <x:c r="C2379" s="8" t="n"/>
      <x:c r="D2379" s="8" t="n"/>
    </x:row>
    <x:row r="2380">
      <x:c r="A2380" s="8" t="n"/>
      <x:c r="B2380" s="8" t="n"/>
      <x:c r="C2380" s="8" t="n"/>
      <x:c r="D2380" s="8" t="n"/>
    </x:row>
    <x:row r="2381">
      <x:c r="A2381" s="8" t="n"/>
      <x:c r="B2381" s="8" t="n"/>
      <x:c r="C2381" s="8" t="n"/>
      <x:c r="D2381" s="8" t="n"/>
    </x:row>
    <x:row r="2382">
      <x:c r="A2382" s="8" t="n"/>
      <x:c r="B2382" s="8" t="n"/>
      <x:c r="C2382" s="8" t="n"/>
      <x:c r="D2382" s="8" t="n"/>
    </x:row>
    <x:row r="2383">
      <x:c r="A2383" s="8" t="n"/>
      <x:c r="B2383" s="8" t="n"/>
      <x:c r="C2383" s="8" t="n"/>
      <x:c r="D2383" s="8" t="n"/>
    </x:row>
    <x:row r="2384">
      <x:c r="A2384" s="8" t="n"/>
      <x:c r="B2384" s="8" t="n"/>
      <x:c r="C2384" s="8" t="n"/>
      <x:c r="D2384" s="8" t="n"/>
    </x:row>
    <x:row r="2385">
      <x:c r="A2385" s="8" t="n"/>
      <x:c r="B2385" s="8" t="n"/>
      <x:c r="C2385" s="8" t="n"/>
      <x:c r="D2385" s="8" t="n"/>
    </x:row>
    <x:row r="2386">
      <x:c r="A2386" s="8" t="n"/>
      <x:c r="B2386" s="8" t="n"/>
      <x:c r="C2386" s="8" t="n"/>
      <x:c r="D2386" s="8" t="n"/>
    </x:row>
    <x:row r="2387">
      <x:c r="A2387" s="8" t="n"/>
      <x:c r="B2387" s="8" t="n"/>
      <x:c r="C2387" s="8" t="n"/>
      <x:c r="D2387" s="8" t="n"/>
    </x:row>
    <x:row r="2388">
      <x:c r="A2388" s="8" t="n"/>
      <x:c r="B2388" s="8" t="n"/>
      <x:c r="C2388" s="8" t="n"/>
      <x:c r="D2388" s="8" t="n"/>
    </x:row>
    <x:row r="2389">
      <x:c r="A2389" s="8" t="n"/>
      <x:c r="B2389" s="8" t="n"/>
      <x:c r="C2389" s="8" t="n"/>
      <x:c r="D2389" s="8" t="n"/>
    </x:row>
    <x:row r="2390">
      <x:c r="A2390" s="8" t="n"/>
      <x:c r="B2390" s="8" t="n"/>
      <x:c r="C2390" s="8" t="n"/>
      <x:c r="D2390" s="8" t="n"/>
    </x:row>
    <x:row r="2391">
      <x:c r="A2391" s="8" t="n"/>
      <x:c r="B2391" s="8" t="n"/>
      <x:c r="C2391" s="8" t="n"/>
      <x:c r="D2391" s="8" t="n"/>
    </x:row>
    <x:row r="2392">
      <x:c r="A2392" s="8" t="n"/>
      <x:c r="B2392" s="8" t="n"/>
      <x:c r="C2392" s="8" t="n"/>
      <x:c r="D2392" s="8" t="n"/>
    </x:row>
    <x:row r="2393">
      <x:c r="A2393" s="8" t="n"/>
      <x:c r="B2393" s="8" t="n"/>
      <x:c r="C2393" s="8" t="n"/>
      <x:c r="D2393" s="8" t="n"/>
    </x:row>
    <x:row r="2394">
      <x:c r="A2394" s="8" t="n"/>
      <x:c r="B2394" s="8" t="n"/>
      <x:c r="C2394" s="8" t="n"/>
      <x:c r="D2394" s="8" t="n"/>
    </x:row>
    <x:row r="2395">
      <x:c r="A2395" s="8" t="n"/>
      <x:c r="B2395" s="8" t="n"/>
      <x:c r="C2395" s="8" t="n"/>
      <x:c r="D2395" s="8" t="n"/>
    </x:row>
    <x:row r="2396">
      <x:c r="A2396" s="8" t="n"/>
      <x:c r="B2396" s="8" t="n"/>
      <x:c r="C2396" s="8" t="n"/>
      <x:c r="D2396" s="8" t="n"/>
    </x:row>
    <x:row r="2397">
      <x:c r="A2397" s="8" t="n"/>
      <x:c r="B2397" s="8" t="n"/>
      <x:c r="C2397" s="8" t="n"/>
      <x:c r="D2397" s="8" t="n"/>
    </x:row>
    <x:row r="2398">
      <x:c r="A2398" s="8" t="n"/>
      <x:c r="B2398" s="8" t="n"/>
      <x:c r="C2398" s="8" t="n"/>
      <x:c r="D2398" s="8" t="n"/>
    </x:row>
    <x:row r="2399">
      <x:c r="A2399" s="8" t="n"/>
      <x:c r="B2399" s="8" t="n"/>
      <x:c r="C2399" s="8" t="n"/>
      <x:c r="D2399" s="8" t="n"/>
    </x:row>
    <x:row r="2400">
      <x:c r="A2400" s="8" t="n"/>
      <x:c r="B2400" s="8" t="n"/>
      <x:c r="C2400" s="8" t="n"/>
      <x:c r="D2400" s="8" t="n"/>
    </x:row>
    <x:row r="2401">
      <x:c r="A2401" s="8" t="n"/>
      <x:c r="B2401" s="8" t="n"/>
      <x:c r="C2401" s="8" t="n"/>
      <x:c r="D2401" s="8" t="n"/>
    </x:row>
    <x:row r="2402">
      <x:c r="A2402" s="8" t="n"/>
      <x:c r="B2402" s="8" t="n"/>
      <x:c r="C2402" s="8" t="n"/>
      <x:c r="D2402" s="8" t="n"/>
    </x:row>
    <x:row r="2403">
      <x:c r="A2403" s="8" t="n"/>
      <x:c r="B2403" s="8" t="n"/>
      <x:c r="C2403" s="8" t="n"/>
      <x:c r="D2403" s="8" t="n"/>
    </x:row>
    <x:row r="2404">
      <x:c r="A2404" s="8" t="n"/>
      <x:c r="B2404" s="8" t="n"/>
      <x:c r="C2404" s="8" t="n"/>
      <x:c r="D2404" s="8" t="n"/>
    </x:row>
    <x:row r="2405">
      <x:c r="A2405" s="8" t="n"/>
      <x:c r="B2405" s="8" t="n"/>
      <x:c r="C2405" s="8" t="n"/>
      <x:c r="D2405" s="8" t="n"/>
    </x:row>
    <x:row r="2406">
      <x:c r="A2406" s="8" t="n"/>
      <x:c r="B2406" s="8" t="n"/>
      <x:c r="C2406" s="8" t="n"/>
      <x:c r="D2406" s="8" t="n"/>
    </x:row>
    <x:row r="2407">
      <x:c r="A2407" s="8" t="n"/>
      <x:c r="B2407" s="8" t="n"/>
      <x:c r="C2407" s="8" t="n"/>
      <x:c r="D2407" s="8" t="n"/>
    </x:row>
    <x:row r="2408">
      <x:c r="A2408" s="8" t="n"/>
      <x:c r="B2408" s="8" t="n"/>
      <x:c r="C2408" s="8" t="n"/>
      <x:c r="D2408" s="8" t="n"/>
    </x:row>
    <x:row r="2409">
      <x:c r="A2409" s="8" t="n"/>
      <x:c r="B2409" s="8" t="n"/>
      <x:c r="C2409" s="8" t="n"/>
      <x:c r="D2409" s="8" t="n"/>
    </x:row>
    <x:row r="2410">
      <x:c r="A2410" s="8" t="n"/>
      <x:c r="B2410" s="8" t="n"/>
      <x:c r="C2410" s="8" t="n"/>
      <x:c r="D2410" s="8" t="n"/>
    </x:row>
    <x:row r="2411">
      <x:c r="A2411" s="8" t="n"/>
      <x:c r="B2411" s="8" t="n"/>
      <x:c r="C2411" s="8" t="n"/>
      <x:c r="D2411" s="8" t="n"/>
    </x:row>
    <x:row r="2412">
      <x:c r="A2412" s="8" t="n"/>
      <x:c r="B2412" s="8" t="n"/>
      <x:c r="C2412" s="8" t="n"/>
      <x:c r="D2412" s="8" t="n"/>
    </x:row>
    <x:row r="2413">
      <x:c r="A2413" s="8" t="n"/>
      <x:c r="B2413" s="8" t="n"/>
      <x:c r="C2413" s="8" t="n"/>
      <x:c r="D2413" s="8" t="n"/>
    </x:row>
    <x:row r="2414">
      <x:c r="A2414" s="8" t="n"/>
      <x:c r="B2414" s="8" t="n"/>
      <x:c r="C2414" s="8" t="n"/>
      <x:c r="D2414" s="8" t="n"/>
    </x:row>
    <x:row r="2415">
      <x:c r="A2415" s="8" t="n"/>
      <x:c r="B2415" s="8" t="n"/>
      <x:c r="C2415" s="8" t="n"/>
      <x:c r="D2415" s="8" t="n"/>
    </x:row>
    <x:row r="2416">
      <x:c r="A2416" s="8" t="n"/>
      <x:c r="B2416" s="8" t="n"/>
      <x:c r="C2416" s="8" t="n"/>
      <x:c r="D2416" s="8" t="n"/>
    </x:row>
    <x:row r="2417">
      <x:c r="A2417" s="8" t="n"/>
      <x:c r="B2417" s="8" t="n"/>
      <x:c r="C2417" s="8" t="n"/>
      <x:c r="D2417" s="8" t="n"/>
    </x:row>
    <x:row r="2418">
      <x:c r="A2418" s="8" t="n"/>
      <x:c r="B2418" s="8" t="n"/>
      <x:c r="C2418" s="8" t="n"/>
      <x:c r="D2418" s="8" t="n"/>
    </x:row>
    <x:row r="2419">
      <x:c r="A2419" s="8" t="n"/>
      <x:c r="B2419" s="8" t="n"/>
      <x:c r="C2419" s="8" t="n"/>
      <x:c r="D2419" s="8" t="n"/>
    </x:row>
    <x:row r="2420">
      <x:c r="A2420" s="8" t="n"/>
      <x:c r="B2420" s="8" t="n"/>
      <x:c r="C2420" s="8" t="n"/>
      <x:c r="D2420" s="8" t="n"/>
    </x:row>
    <x:row r="2421">
      <x:c r="A2421" s="8" t="n"/>
      <x:c r="B2421" s="8" t="n"/>
      <x:c r="C2421" s="8" t="n"/>
      <x:c r="D2421" s="8" t="n"/>
    </x:row>
    <x:row r="2422">
      <x:c r="A2422" s="8" t="n"/>
      <x:c r="B2422" s="8" t="n"/>
      <x:c r="C2422" s="8" t="n"/>
      <x:c r="D2422" s="8" t="n"/>
    </x:row>
    <x:row r="2423">
      <x:c r="A2423" s="8" t="n"/>
      <x:c r="B2423" s="8" t="n"/>
      <x:c r="C2423" s="8" t="n"/>
      <x:c r="D2423" s="8" t="n"/>
    </x:row>
    <x:row r="2424">
      <x:c r="A2424" s="8" t="n"/>
      <x:c r="B2424" s="8" t="n"/>
      <x:c r="C2424" s="8" t="n"/>
      <x:c r="D2424" s="8" t="n"/>
    </x:row>
    <x:row r="2425">
      <x:c r="A2425" s="8" t="n"/>
      <x:c r="B2425" s="8" t="n"/>
      <x:c r="C2425" s="8" t="n"/>
      <x:c r="D2425" s="8" t="n"/>
    </x:row>
    <x:row r="2426">
      <x:c r="A2426" s="8" t="n"/>
      <x:c r="B2426" s="8" t="n"/>
      <x:c r="C2426" s="8" t="n"/>
      <x:c r="D2426" s="8" t="n"/>
    </x:row>
    <x:row r="2427">
      <x:c r="A2427" s="8" t="n"/>
      <x:c r="B2427" s="8" t="n"/>
      <x:c r="C2427" s="8" t="n"/>
      <x:c r="D2427" s="8" t="n"/>
    </x:row>
    <x:row r="2428">
      <x:c r="A2428" s="8" t="n"/>
      <x:c r="B2428" s="8" t="n"/>
      <x:c r="C2428" s="8" t="n"/>
      <x:c r="D2428" s="8" t="n"/>
    </x:row>
    <x:row r="2429">
      <x:c r="A2429" s="8" t="n"/>
      <x:c r="B2429" s="8" t="n"/>
      <x:c r="C2429" s="8" t="n"/>
      <x:c r="D2429" s="8" t="n"/>
    </x:row>
    <x:row r="2430">
      <x:c r="A2430" s="8" t="n"/>
      <x:c r="B2430" s="8" t="n"/>
      <x:c r="C2430" s="8" t="n"/>
      <x:c r="D2430" s="8" t="n"/>
    </x:row>
    <x:row r="2431">
      <x:c r="A2431" s="8" t="n"/>
      <x:c r="B2431" s="8" t="n"/>
      <x:c r="C2431" s="8" t="n"/>
      <x:c r="D2431" s="8" t="n"/>
    </x:row>
    <x:row r="2432">
      <x:c r="A2432" s="8" t="n"/>
      <x:c r="B2432" s="8" t="n"/>
      <x:c r="C2432" s="8" t="n"/>
      <x:c r="D2432" s="8" t="n"/>
    </x:row>
    <x:row r="2433">
      <x:c r="A2433" s="8" t="n"/>
      <x:c r="B2433" s="8" t="n"/>
      <x:c r="C2433" s="8" t="n"/>
      <x:c r="D2433" s="8" t="n"/>
    </x:row>
    <x:row r="2434">
      <x:c r="A2434" s="8" t="n"/>
      <x:c r="B2434" s="8" t="n"/>
      <x:c r="C2434" s="8" t="n"/>
      <x:c r="D2434" s="8" t="n"/>
    </x:row>
    <x:row r="2435">
      <x:c r="A2435" s="8" t="n"/>
      <x:c r="B2435" s="8" t="n"/>
      <x:c r="C2435" s="8" t="n"/>
      <x:c r="D2435" s="8" t="n"/>
    </x:row>
    <x:row r="2436">
      <x:c r="A2436" s="8" t="n"/>
      <x:c r="B2436" s="8" t="n"/>
      <x:c r="C2436" s="8" t="n"/>
      <x:c r="D2436" s="8" t="n"/>
    </x:row>
    <x:row r="2437">
      <x:c r="A2437" s="8" t="n"/>
      <x:c r="B2437" s="8" t="n"/>
      <x:c r="C2437" s="8" t="n"/>
      <x:c r="D2437" s="8" t="n"/>
    </x:row>
    <x:row r="2438">
      <x:c r="A2438" s="8" t="n"/>
      <x:c r="B2438" s="8" t="n"/>
      <x:c r="C2438" s="8" t="n"/>
      <x:c r="D2438" s="8" t="n"/>
    </x:row>
    <x:row r="2439">
      <x:c r="A2439" s="8" t="n"/>
      <x:c r="B2439" s="8" t="n"/>
      <x:c r="C2439" s="8" t="n"/>
      <x:c r="D2439" s="8" t="n"/>
    </x:row>
    <x:row r="2440">
      <x:c r="A2440" s="8" t="n"/>
      <x:c r="B2440" s="8" t="n"/>
      <x:c r="C2440" s="8" t="n"/>
      <x:c r="D2440" s="8" t="n"/>
    </x:row>
    <x:row r="2441">
      <x:c r="A2441" s="8" t="n"/>
      <x:c r="B2441" s="8" t="n"/>
      <x:c r="C2441" s="8" t="n"/>
      <x:c r="D2441" s="8" t="n"/>
    </x:row>
    <x:row r="2442">
      <x:c r="A2442" s="8" t="n"/>
      <x:c r="B2442" s="8" t="n"/>
      <x:c r="C2442" s="8" t="n"/>
      <x:c r="D2442" s="8" t="n"/>
    </x:row>
    <x:row r="2443">
      <x:c r="A2443" s="8" t="n"/>
      <x:c r="B2443" s="8" t="n"/>
      <x:c r="C2443" s="8" t="n"/>
      <x:c r="D2443" s="8" t="n"/>
    </x:row>
    <x:row r="2444">
      <x:c r="A2444" s="8" t="n"/>
      <x:c r="B2444" s="8" t="n"/>
      <x:c r="C2444" s="8" t="n"/>
      <x:c r="D2444" s="8" t="n"/>
    </x:row>
    <x:row r="2445">
      <x:c r="A2445" s="8" t="n"/>
      <x:c r="B2445" s="8" t="n"/>
      <x:c r="C2445" s="8" t="n"/>
      <x:c r="D2445" s="8" t="n"/>
    </x:row>
    <x:row r="2446">
      <x:c r="A2446" s="8" t="n"/>
      <x:c r="B2446" s="8" t="n"/>
      <x:c r="C2446" s="8" t="n"/>
      <x:c r="D2446" s="8" t="n"/>
    </x:row>
    <x:row r="2447">
      <x:c r="A2447" s="8" t="n"/>
      <x:c r="B2447" s="8" t="n"/>
      <x:c r="C2447" s="8" t="n"/>
      <x:c r="D2447" s="8" t="n"/>
    </x:row>
    <x:row r="2448">
      <x:c r="A2448" s="8" t="n"/>
      <x:c r="B2448" s="8" t="n"/>
      <x:c r="C2448" s="8" t="n"/>
      <x:c r="D2448" s="8" t="n"/>
    </x:row>
    <x:row r="2449">
      <x:c r="A2449" s="8" t="n"/>
      <x:c r="B2449" s="8" t="n"/>
      <x:c r="C2449" s="8" t="n"/>
      <x:c r="D2449" s="8" t="n"/>
    </x:row>
    <x:row r="2450">
      <x:c r="A2450" s="8" t="n"/>
      <x:c r="B2450" s="8" t="n"/>
      <x:c r="C2450" s="8" t="n"/>
      <x:c r="D2450" s="8" t="n"/>
    </x:row>
    <x:row r="2451">
      <x:c r="A2451" s="8" t="n"/>
      <x:c r="B2451" s="8" t="n"/>
      <x:c r="C2451" s="8" t="n"/>
      <x:c r="D2451" s="8" t="n"/>
    </x:row>
    <x:row r="2452">
      <x:c r="A2452" s="8" t="n"/>
      <x:c r="B2452" s="8" t="n"/>
      <x:c r="C2452" s="8" t="n"/>
      <x:c r="D2452" s="8" t="n"/>
    </x:row>
    <x:row r="2453">
      <x:c r="A2453" s="8" t="n"/>
      <x:c r="B2453" s="8" t="n"/>
      <x:c r="C2453" s="8" t="n"/>
      <x:c r="D2453" s="8" t="n"/>
    </x:row>
    <x:row r="2454">
      <x:c r="A2454" s="8" t="n"/>
      <x:c r="B2454" s="8" t="n"/>
      <x:c r="C2454" s="8" t="n"/>
      <x:c r="D2454" s="8" t="n"/>
    </x:row>
    <x:row r="2455">
      <x:c r="A2455" s="8" t="n"/>
      <x:c r="B2455" s="8" t="n"/>
      <x:c r="C2455" s="8" t="n"/>
      <x:c r="D2455" s="8" t="n"/>
    </x:row>
    <x:row r="2456">
      <x:c r="A2456" s="8" t="n"/>
      <x:c r="B2456" s="8" t="n"/>
      <x:c r="C2456" s="8" t="n"/>
      <x:c r="D2456" s="8" t="n"/>
    </x:row>
    <x:row r="2457">
      <x:c r="A2457" s="8" t="n"/>
      <x:c r="B2457" s="8" t="n"/>
      <x:c r="C2457" s="8" t="n"/>
      <x:c r="D2457" s="8" t="n"/>
    </x:row>
    <x:row r="2458">
      <x:c r="A2458" s="8" t="n"/>
      <x:c r="B2458" s="8" t="n"/>
      <x:c r="C2458" s="8" t="n"/>
      <x:c r="D2458" s="8" t="n"/>
    </x:row>
    <x:row r="2459">
      <x:c r="A2459" s="8" t="n"/>
      <x:c r="B2459" s="8" t="n"/>
      <x:c r="C2459" s="8" t="n"/>
      <x:c r="D2459" s="8" t="n"/>
    </x:row>
    <x:row r="2460">
      <x:c r="A2460" s="8" t="n"/>
      <x:c r="B2460" s="8" t="n"/>
      <x:c r="C2460" s="8" t="n"/>
      <x:c r="D2460" s="8" t="n"/>
    </x:row>
    <x:row r="2461">
      <x:c r="A2461" s="8" t="n"/>
      <x:c r="B2461" s="8" t="n"/>
      <x:c r="C2461" s="8" t="n"/>
      <x:c r="D2461" s="8" t="n"/>
    </x:row>
    <x:row r="2462">
      <x:c r="A2462" s="8" t="n"/>
      <x:c r="B2462" s="8" t="n"/>
      <x:c r="C2462" s="8" t="n"/>
      <x:c r="D2462" s="8" t="n"/>
    </x:row>
    <x:row r="2463">
      <x:c r="A2463" s="8" t="n"/>
      <x:c r="B2463" s="8" t="n"/>
      <x:c r="C2463" s="8" t="n"/>
      <x:c r="D2463" s="8" t="n"/>
    </x:row>
    <x:row r="2464">
      <x:c r="A2464" s="8" t="n"/>
      <x:c r="B2464" s="8" t="n"/>
      <x:c r="C2464" s="8" t="n"/>
      <x:c r="D2464" s="8" t="n"/>
    </x:row>
    <x:row r="2465">
      <x:c r="A2465" s="8" t="n"/>
      <x:c r="B2465" s="8" t="n"/>
      <x:c r="C2465" s="8" t="n"/>
      <x:c r="D2465" s="8" t="n"/>
    </x:row>
    <x:row r="2466">
      <x:c r="A2466" s="8" t="n"/>
      <x:c r="B2466" s="8" t="n"/>
      <x:c r="C2466" s="8" t="n"/>
      <x:c r="D2466" s="8" t="n"/>
    </x:row>
    <x:row r="2467">
      <x:c r="A2467" s="8" t="n"/>
      <x:c r="B2467" s="8" t="n"/>
      <x:c r="C2467" s="8" t="n"/>
      <x:c r="D2467" s="8" t="n"/>
    </x:row>
    <x:row r="2468">
      <x:c r="A2468" s="8" t="n"/>
      <x:c r="B2468" s="8" t="n"/>
      <x:c r="C2468" s="8" t="n"/>
      <x:c r="D2468" s="8" t="n"/>
    </x:row>
    <x:row r="2469">
      <x:c r="A2469" s="8" t="n"/>
      <x:c r="B2469" s="8" t="n"/>
      <x:c r="C2469" s="8" t="n"/>
      <x:c r="D2469" s="8" t="n"/>
    </x:row>
    <x:row r="2470">
      <x:c r="A2470" s="8" t="n"/>
      <x:c r="B2470" s="8" t="n"/>
      <x:c r="C2470" s="8" t="n"/>
      <x:c r="D2470" s="8" t="n"/>
    </x:row>
    <x:row r="2471">
      <x:c r="A2471" s="8" t="n"/>
      <x:c r="B2471" s="8" t="n"/>
      <x:c r="C2471" s="8" t="n"/>
      <x:c r="D2471" s="8" t="n"/>
    </x:row>
    <x:row r="2472">
      <x:c r="A2472" s="8" t="n"/>
      <x:c r="B2472" s="8" t="n"/>
      <x:c r="C2472" s="8" t="n"/>
      <x:c r="D2472" s="8" t="n"/>
    </x:row>
    <x:row r="2473">
      <x:c r="A2473" s="8" t="n"/>
      <x:c r="B2473" s="8" t="n"/>
      <x:c r="C2473" s="8" t="n"/>
      <x:c r="D2473" s="8" t="n"/>
    </x:row>
    <x:row r="2474">
      <x:c r="A2474" s="8" t="n"/>
      <x:c r="B2474" s="8" t="n"/>
      <x:c r="C2474" s="8" t="n"/>
      <x:c r="D2474" s="8" t="n"/>
    </x:row>
    <x:row r="2475">
      <x:c r="A2475" s="8" t="n"/>
      <x:c r="B2475" s="8" t="n"/>
      <x:c r="C2475" s="8" t="n"/>
      <x:c r="D2475" s="8" t="n"/>
    </x:row>
    <x:row r="2476">
      <x:c r="A2476" s="8" t="n"/>
      <x:c r="B2476" s="8" t="n"/>
      <x:c r="C2476" s="8" t="n"/>
      <x:c r="D2476" s="8" t="n"/>
    </x:row>
    <x:row r="2477">
      <x:c r="A2477" s="8" t="n"/>
      <x:c r="B2477" s="8" t="n"/>
      <x:c r="C2477" s="8" t="n"/>
      <x:c r="D2477" s="8" t="n"/>
    </x:row>
    <x:row r="2478">
      <x:c r="A2478" s="8" t="n"/>
      <x:c r="B2478" s="8" t="n"/>
      <x:c r="C2478" s="8" t="n"/>
      <x:c r="D2478" s="8" t="n"/>
    </x:row>
    <x:row r="2479">
      <x:c r="A2479" s="8" t="n"/>
      <x:c r="B2479" s="8" t="n"/>
      <x:c r="C2479" s="8" t="n"/>
      <x:c r="D2479" s="8" t="n"/>
    </x:row>
    <x:row r="2480">
      <x:c r="A2480" s="8" t="n"/>
      <x:c r="B2480" s="8" t="n"/>
      <x:c r="C2480" s="8" t="n"/>
      <x:c r="D2480" s="8" t="n"/>
    </x:row>
    <x:row r="2481">
      <x:c r="A2481" s="8" t="n"/>
      <x:c r="B2481" s="8" t="n"/>
      <x:c r="C2481" s="8" t="n"/>
      <x:c r="D2481" s="8" t="n"/>
    </x:row>
    <x:row r="2482">
      <x:c r="A2482" s="8" t="n"/>
      <x:c r="B2482" s="8" t="n"/>
      <x:c r="C2482" s="8" t="n"/>
      <x:c r="D2482" s="8" t="n"/>
    </x:row>
    <x:row r="2483">
      <x:c r="A2483" s="8" t="n"/>
      <x:c r="B2483" s="8" t="n"/>
      <x:c r="C2483" s="8" t="n"/>
      <x:c r="D2483" s="8" t="n"/>
    </x:row>
    <x:row r="2484">
      <x:c r="A2484" s="8" t="n"/>
      <x:c r="B2484" s="8" t="n"/>
      <x:c r="C2484" s="8" t="n"/>
      <x:c r="D2484" s="8" t="n"/>
    </x:row>
    <x:row r="2485">
      <x:c r="A2485" s="8" t="n"/>
      <x:c r="B2485" s="8" t="n"/>
      <x:c r="C2485" s="8" t="n"/>
      <x:c r="D2485" s="8" t="n"/>
    </x:row>
    <x:row r="2486">
      <x:c r="A2486" s="8" t="n"/>
      <x:c r="B2486" s="8" t="n"/>
      <x:c r="C2486" s="8" t="n"/>
      <x:c r="D2486" s="8" t="n"/>
    </x:row>
    <x:row r="2487">
      <x:c r="A2487" s="8" t="n"/>
      <x:c r="B2487" s="8" t="n"/>
      <x:c r="C2487" s="8" t="n"/>
      <x:c r="D2487" s="8" t="n"/>
    </x:row>
    <x:row r="2488">
      <x:c r="A2488" s="8" t="n"/>
      <x:c r="B2488" s="8" t="n"/>
      <x:c r="C2488" s="8" t="n"/>
      <x:c r="D2488" s="8" t="n"/>
    </x:row>
    <x:row r="2489">
      <x:c r="A2489" s="8" t="n"/>
      <x:c r="B2489" s="8" t="n"/>
      <x:c r="C2489" s="8" t="n"/>
      <x:c r="D2489" s="8" t="n"/>
    </x:row>
    <x:row r="2490">
      <x:c r="A2490" s="8" t="n"/>
      <x:c r="B2490" s="8" t="n"/>
      <x:c r="C2490" s="8" t="n"/>
      <x:c r="D2490" s="8" t="n"/>
    </x:row>
    <x:row r="2491">
      <x:c r="A2491" s="8" t="n"/>
      <x:c r="B2491" s="8" t="n"/>
      <x:c r="C2491" s="8" t="n"/>
      <x:c r="D2491" s="8" t="n"/>
    </x:row>
    <x:row r="2492">
      <x:c r="A2492" s="8" t="n"/>
      <x:c r="B2492" s="8" t="n"/>
      <x:c r="C2492" s="8" t="n"/>
      <x:c r="D2492" s="8" t="n"/>
    </x:row>
    <x:row r="2493">
      <x:c r="A2493" s="8" t="n"/>
      <x:c r="B2493" s="8" t="n"/>
      <x:c r="C2493" s="8" t="n"/>
      <x:c r="D2493" s="8" t="n"/>
    </x:row>
    <x:row r="2494">
      <x:c r="A2494" s="8" t="n"/>
      <x:c r="B2494" s="8" t="n"/>
      <x:c r="C2494" s="8" t="n"/>
      <x:c r="D2494" s="8" t="n"/>
    </x:row>
    <x:row r="2495">
      <x:c r="A2495" s="8" t="n"/>
      <x:c r="B2495" s="8" t="n"/>
      <x:c r="C2495" s="8" t="n"/>
      <x:c r="D2495" s="8" t="n"/>
    </x:row>
    <x:row r="2496">
      <x:c r="A2496" s="8" t="n"/>
      <x:c r="B2496" s="8" t="n"/>
      <x:c r="C2496" s="8" t="n"/>
      <x:c r="D2496" s="8" t="n"/>
    </x:row>
    <x:row r="2497">
      <x:c r="A2497" s="8" t="n"/>
      <x:c r="B2497" s="8" t="n"/>
      <x:c r="C2497" s="8" t="n"/>
      <x:c r="D2497" s="8" t="n"/>
    </x:row>
    <x:row r="2498">
      <x:c r="A2498" s="8" t="n"/>
      <x:c r="B2498" s="8" t="n"/>
      <x:c r="C2498" s="8" t="n"/>
      <x:c r="D2498" s="8" t="n"/>
    </x:row>
    <x:row r="2499">
      <x:c r="A2499" s="8" t="n"/>
      <x:c r="B2499" s="8" t="n"/>
      <x:c r="C2499" s="8" t="n"/>
      <x:c r="D2499" s="8" t="n"/>
    </x:row>
    <x:row r="2500">
      <x:c r="A2500" s="8" t="n"/>
      <x:c r="B2500" s="8" t="n"/>
      <x:c r="C2500" s="8" t="n"/>
      <x:c r="D2500" s="8" t="n"/>
    </x:row>
    <x:row r="2501">
      <x:c r="A2501" s="8" t="n"/>
      <x:c r="B2501" s="8" t="n"/>
      <x:c r="C2501" s="8" t="n"/>
      <x:c r="D2501" s="8" t="n"/>
    </x:row>
    <x:row r="2502">
      <x:c r="A2502" s="8" t="n"/>
      <x:c r="B2502" s="8" t="n"/>
      <x:c r="C2502" s="8" t="n"/>
      <x:c r="D2502" s="8" t="n"/>
    </x:row>
    <x:row r="2503">
      <x:c r="A2503" s="8" t="n"/>
      <x:c r="B2503" s="8" t="n"/>
      <x:c r="C2503" s="8" t="n"/>
      <x:c r="D2503" s="8" t="n"/>
    </x:row>
    <x:row r="2504">
      <x:c r="A2504" s="8" t="n"/>
      <x:c r="B2504" s="8" t="n"/>
      <x:c r="C2504" s="8" t="n"/>
      <x:c r="D2504" s="8" t="n"/>
    </x:row>
    <x:row r="2505">
      <x:c r="A2505" s="8" t="n"/>
      <x:c r="B2505" s="8" t="n"/>
      <x:c r="C2505" s="8" t="n"/>
      <x:c r="D2505" s="8" t="n"/>
    </x:row>
    <x:row r="2506">
      <x:c r="A2506" s="8" t="n"/>
      <x:c r="B2506" s="8" t="n"/>
      <x:c r="C2506" s="8" t="n"/>
      <x:c r="D2506" s="8" t="n"/>
    </x:row>
    <x:row r="2507">
      <x:c r="A2507" s="8" t="n"/>
      <x:c r="B2507" s="8" t="n"/>
      <x:c r="C2507" s="8" t="n"/>
      <x:c r="D2507" s="8" t="n"/>
    </x:row>
    <x:row r="2508">
      <x:c r="A2508" s="8" t="n"/>
      <x:c r="B2508" s="8" t="n"/>
      <x:c r="C2508" s="8" t="n"/>
      <x:c r="D2508" s="8" t="n"/>
    </x:row>
    <x:row r="2509">
      <x:c r="A2509" s="8" t="n"/>
      <x:c r="B2509" s="8" t="n"/>
      <x:c r="C2509" s="8" t="n"/>
      <x:c r="D2509" s="8" t="n"/>
    </x:row>
    <x:row r="2510">
      <x:c r="A2510" s="8" t="n"/>
      <x:c r="B2510" s="8" t="n"/>
      <x:c r="C2510" s="8" t="n"/>
      <x:c r="D2510" s="8" t="n"/>
    </x:row>
    <x:row r="2511">
      <x:c r="A2511" s="8" t="n"/>
      <x:c r="B2511" s="8" t="n"/>
      <x:c r="C2511" s="8" t="n"/>
      <x:c r="D2511" s="8" t="n"/>
    </x:row>
    <x:row r="2512">
      <x:c r="A2512" s="8" t="n"/>
      <x:c r="B2512" s="8" t="n"/>
      <x:c r="C2512" s="8" t="n"/>
      <x:c r="D2512" s="8" t="n"/>
    </x:row>
    <x:row r="2513">
      <x:c r="A2513" s="8" t="n"/>
      <x:c r="B2513" s="8" t="n"/>
      <x:c r="C2513" s="8" t="n"/>
      <x:c r="D2513" s="8" t="n"/>
    </x:row>
    <x:row r="2514">
      <x:c r="A2514" s="8" t="n"/>
      <x:c r="B2514" s="8" t="n"/>
      <x:c r="C2514" s="8" t="n"/>
      <x:c r="D2514" s="8" t="n"/>
    </x:row>
    <x:row r="2515">
      <x:c r="A2515" s="8" t="n"/>
      <x:c r="B2515" s="8" t="n"/>
      <x:c r="C2515" s="8" t="n"/>
      <x:c r="D2515" s="8" t="n"/>
    </x:row>
    <x:row r="2516">
      <x:c r="A2516" s="8" t="n"/>
      <x:c r="B2516" s="8" t="n"/>
      <x:c r="C2516" s="8" t="n"/>
      <x:c r="D2516" s="8" t="n"/>
    </x:row>
    <x:row r="2517">
      <x:c r="A2517" s="8" t="n"/>
      <x:c r="B2517" s="8" t="n"/>
      <x:c r="C2517" s="8" t="n"/>
      <x:c r="D2517" s="8" t="n"/>
    </x:row>
    <x:row r="2518">
      <x:c r="A2518" s="8" t="n"/>
      <x:c r="B2518" s="8" t="n"/>
      <x:c r="C2518" s="8" t="n"/>
      <x:c r="D2518" s="8" t="n"/>
    </x:row>
    <x:row r="2519">
      <x:c r="A2519" s="8" t="n"/>
      <x:c r="B2519" s="8" t="n"/>
      <x:c r="C2519" s="8" t="n"/>
      <x:c r="D2519" s="8" t="n"/>
    </x:row>
    <x:row r="2520">
      <x:c r="A2520" s="8" t="n"/>
      <x:c r="B2520" s="8" t="n"/>
      <x:c r="C2520" s="8" t="n"/>
      <x:c r="D2520" s="8" t="n"/>
    </x:row>
    <x:row r="2521">
      <x:c r="A2521" s="8" t="n"/>
      <x:c r="B2521" s="8" t="n"/>
      <x:c r="C2521" s="8" t="n"/>
      <x:c r="D2521" s="8" t="n"/>
    </x:row>
    <x:row r="2522">
      <x:c r="A2522" s="8" t="n"/>
      <x:c r="B2522" s="8" t="n"/>
      <x:c r="C2522" s="8" t="n"/>
      <x:c r="D2522" s="8" t="n"/>
    </x:row>
    <x:row r="2523">
      <x:c r="A2523" s="8" t="n"/>
      <x:c r="B2523" s="8" t="n"/>
      <x:c r="C2523" s="8" t="n"/>
      <x:c r="D2523" s="8" t="n"/>
    </x:row>
    <x:row r="2524">
      <x:c r="A2524" s="8" t="n"/>
      <x:c r="B2524" s="8" t="n"/>
      <x:c r="C2524" s="8" t="n"/>
      <x:c r="D2524" s="8" t="n"/>
    </x:row>
    <x:row r="2525">
      <x:c r="A2525" s="8" t="n"/>
      <x:c r="B2525" s="8" t="n"/>
      <x:c r="C2525" s="8" t="n"/>
      <x:c r="D2525" s="8" t="n"/>
    </x:row>
    <x:row r="2526">
      <x:c r="A2526" s="8" t="n"/>
      <x:c r="B2526" s="8" t="n"/>
      <x:c r="C2526" s="8" t="n"/>
      <x:c r="D2526" s="8" t="n"/>
    </x:row>
    <x:row r="2527">
      <x:c r="A2527" s="8" t="n"/>
      <x:c r="B2527" s="8" t="n"/>
      <x:c r="C2527" s="8" t="n"/>
      <x:c r="D2527" s="8" t="n"/>
    </x:row>
    <x:row r="2528">
      <x:c r="A2528" s="8" t="n"/>
      <x:c r="B2528" s="8" t="n"/>
      <x:c r="C2528" s="8" t="n"/>
      <x:c r="D2528" s="8" t="n"/>
    </x:row>
    <x:row r="2529">
      <x:c r="A2529" s="8" t="n"/>
      <x:c r="B2529" s="8" t="n"/>
      <x:c r="C2529" s="8" t="n"/>
      <x:c r="D2529" s="8" t="n"/>
    </x:row>
    <x:row r="2530">
      <x:c r="A2530" s="8" t="n"/>
      <x:c r="B2530" s="8" t="n"/>
      <x:c r="C2530" s="8" t="n"/>
      <x:c r="D2530" s="8" t="n"/>
    </x:row>
    <x:row r="2531">
      <x:c r="A2531" s="8" t="n"/>
      <x:c r="B2531" s="8" t="n"/>
      <x:c r="C2531" s="8" t="n"/>
      <x:c r="D2531" s="8" t="n"/>
    </x:row>
    <x:row r="2532">
      <x:c r="A2532" s="8" t="n"/>
      <x:c r="B2532" s="8" t="n"/>
      <x:c r="C2532" s="8" t="n"/>
      <x:c r="D2532" s="8" t="n"/>
    </x:row>
    <x:row r="2533">
      <x:c r="A2533" s="8" t="n"/>
      <x:c r="B2533" s="8" t="n"/>
      <x:c r="C2533" s="8" t="n"/>
      <x:c r="D2533" s="8" t="n"/>
    </x:row>
    <x:row r="2534">
      <x:c r="A2534" s="8" t="n"/>
      <x:c r="B2534" s="8" t="n"/>
      <x:c r="C2534" s="8" t="n"/>
      <x:c r="D2534" s="8" t="n"/>
    </x:row>
    <x:row r="2535">
      <x:c r="A2535" s="8" t="n"/>
      <x:c r="B2535" s="8" t="n"/>
      <x:c r="C2535" s="8" t="n"/>
      <x:c r="D2535" s="8" t="n"/>
    </x:row>
    <x:row r="2536">
      <x:c r="A2536" s="8" t="n"/>
      <x:c r="B2536" s="8" t="n"/>
      <x:c r="C2536" s="8" t="n"/>
      <x:c r="D2536" s="8" t="n"/>
    </x:row>
    <x:row r="2537">
      <x:c r="A2537" s="8" t="n"/>
      <x:c r="B2537" s="8" t="n"/>
      <x:c r="C2537" s="8" t="n"/>
      <x:c r="D2537" s="8" t="n"/>
    </x:row>
    <x:row r="2538">
      <x:c r="A2538" s="8" t="n"/>
      <x:c r="B2538" s="8" t="n"/>
      <x:c r="C2538" s="8" t="n"/>
      <x:c r="D2538" s="8" t="n"/>
    </x:row>
    <x:row r="2539">
      <x:c r="A2539" s="8" t="n"/>
      <x:c r="B2539" s="8" t="n"/>
      <x:c r="C2539" s="8" t="n"/>
      <x:c r="D2539" s="8" t="n"/>
    </x:row>
    <x:row r="2540">
      <x:c r="A2540" s="8" t="n"/>
      <x:c r="B2540" s="8" t="n"/>
      <x:c r="C2540" s="8" t="n"/>
      <x:c r="D2540" s="8" t="n"/>
    </x:row>
    <x:row r="2541">
      <x:c r="A2541" s="8" t="n"/>
      <x:c r="B2541" s="8" t="n"/>
      <x:c r="C2541" s="8" t="n"/>
      <x:c r="D2541" s="8" t="n"/>
    </x:row>
    <x:row r="2542">
      <x:c r="A2542" s="8" t="n"/>
      <x:c r="B2542" s="8" t="n"/>
      <x:c r="C2542" s="8" t="n"/>
      <x:c r="D2542" s="8" t="n"/>
    </x:row>
    <x:row r="2543">
      <x:c r="A2543" s="8" t="n"/>
      <x:c r="B2543" s="8" t="n"/>
      <x:c r="C2543" s="8" t="n"/>
      <x:c r="D2543" s="8" t="n"/>
    </x:row>
    <x:row r="2544">
      <x:c r="A2544" s="8" t="n"/>
      <x:c r="B2544" s="8" t="n"/>
      <x:c r="C2544" s="8" t="n"/>
      <x:c r="D2544" s="8" t="n"/>
    </x:row>
    <x:row r="2545">
      <x:c r="A2545" s="8" t="n"/>
      <x:c r="B2545" s="8" t="n"/>
      <x:c r="C2545" s="8" t="n"/>
      <x:c r="D2545" s="8" t="n"/>
    </x:row>
    <x:row r="2546">
      <x:c r="A2546" s="8" t="n"/>
      <x:c r="B2546" s="8" t="n"/>
      <x:c r="C2546" s="8" t="n"/>
      <x:c r="D2546" s="8" t="n"/>
    </x:row>
    <x:row r="2547">
      <x:c r="A2547" s="8" t="n"/>
      <x:c r="B2547" s="8" t="n"/>
      <x:c r="C2547" s="8" t="n"/>
      <x:c r="D2547" s="8" t="n"/>
    </x:row>
    <x:row r="2548">
      <x:c r="A2548" s="8" t="n"/>
      <x:c r="B2548" s="8" t="n"/>
      <x:c r="C2548" s="8" t="n"/>
      <x:c r="D2548" s="8" t="n"/>
    </x:row>
    <x:row r="2549">
      <x:c r="A2549" s="8" t="n"/>
      <x:c r="B2549" s="8" t="n"/>
      <x:c r="C2549" s="8" t="n"/>
      <x:c r="D2549" s="8" t="n"/>
    </x:row>
    <x:row r="2550">
      <x:c r="A2550" s="8" t="n"/>
      <x:c r="B2550" s="8" t="n"/>
      <x:c r="C2550" s="8" t="n"/>
      <x:c r="D2550" s="8" t="n"/>
    </x:row>
    <x:row r="2551">
      <x:c r="A2551" s="8" t="n"/>
      <x:c r="B2551" s="8" t="n"/>
      <x:c r="C2551" s="8" t="n"/>
      <x:c r="D2551" s="8" t="n"/>
    </x:row>
    <x:row r="2552">
      <x:c r="A2552" s="8" t="n"/>
      <x:c r="B2552" s="8" t="n"/>
      <x:c r="C2552" s="8" t="n"/>
      <x:c r="D2552" s="8" t="n"/>
    </x:row>
    <x:row r="2553">
      <x:c r="A2553" s="8" t="n"/>
      <x:c r="B2553" s="8" t="n"/>
      <x:c r="C2553" s="8" t="n"/>
      <x:c r="D2553" s="8" t="n"/>
    </x:row>
    <x:row r="2554">
      <x:c r="A2554" s="8" t="n"/>
      <x:c r="B2554" s="8" t="n"/>
      <x:c r="C2554" s="8" t="n"/>
      <x:c r="D2554" s="8" t="n"/>
    </x:row>
    <x:row r="2555">
      <x:c r="A2555" s="8" t="n"/>
      <x:c r="B2555" s="8" t="n"/>
      <x:c r="C2555" s="8" t="n"/>
      <x:c r="D2555" s="8" t="n"/>
    </x:row>
    <x:row r="2556">
      <x:c r="A2556" s="8" t="n"/>
      <x:c r="B2556" s="8" t="n"/>
      <x:c r="C2556" s="8" t="n"/>
      <x:c r="D2556" s="8" t="n"/>
    </x:row>
    <x:row r="2557">
      <x:c r="A2557" s="8" t="n"/>
      <x:c r="B2557" s="8" t="n"/>
      <x:c r="C2557" s="8" t="n"/>
      <x:c r="D2557" s="8" t="n"/>
    </x:row>
    <x:row r="2558">
      <x:c r="A2558" s="8" t="n"/>
      <x:c r="B2558" s="8" t="n"/>
      <x:c r="C2558" s="8" t="n"/>
      <x:c r="D2558" s="8" t="n"/>
    </x:row>
    <x:row r="2559">
      <x:c r="A2559" s="8" t="n"/>
      <x:c r="B2559" s="8" t="n"/>
      <x:c r="C2559" s="8" t="n"/>
      <x:c r="D2559" s="8" t="n"/>
    </x:row>
    <x:row r="2560">
      <x:c r="A2560" s="8" t="n"/>
      <x:c r="B2560" s="8" t="n"/>
      <x:c r="C2560" s="8" t="n"/>
      <x:c r="D2560" s="8" t="n"/>
    </x:row>
    <x:row r="2561">
      <x:c r="A2561" s="8" t="n"/>
      <x:c r="B2561" s="8" t="n"/>
      <x:c r="C2561" s="8" t="n"/>
      <x:c r="D2561" s="8" t="n"/>
    </x:row>
    <x:row r="2562">
      <x:c r="A2562" s="8" t="n"/>
      <x:c r="B2562" s="8" t="n"/>
      <x:c r="C2562" s="8" t="n"/>
      <x:c r="D2562" s="8" t="n"/>
    </x:row>
    <x:row r="2563">
      <x:c r="A2563" s="8" t="n"/>
      <x:c r="B2563" s="8" t="n"/>
      <x:c r="C2563" s="8" t="n"/>
      <x:c r="D2563" s="8" t="n"/>
    </x:row>
    <x:row r="2564">
      <x:c r="A2564" s="8" t="n"/>
      <x:c r="B2564" s="8" t="n"/>
      <x:c r="C2564" s="8" t="n"/>
      <x:c r="D2564" s="8" t="n"/>
    </x:row>
    <x:row r="2565">
      <x:c r="A2565" s="8" t="n"/>
      <x:c r="B2565" s="8" t="n"/>
      <x:c r="C2565" s="8" t="n"/>
      <x:c r="D2565" s="8" t="n"/>
    </x:row>
    <x:row r="2566">
      <x:c r="A2566" s="8" t="n"/>
      <x:c r="B2566" s="8" t="n"/>
      <x:c r="C2566" s="8" t="n"/>
      <x:c r="D2566" s="8" t="n"/>
    </x:row>
    <x:row r="2567">
      <x:c r="A2567" s="8" t="n"/>
      <x:c r="B2567" s="8" t="n"/>
      <x:c r="C2567" s="8" t="n"/>
      <x:c r="D2567" s="8" t="n"/>
    </x:row>
    <x:row r="2568">
      <x:c r="A2568" s="8" t="n"/>
      <x:c r="B2568" s="8" t="n"/>
      <x:c r="C2568" s="8" t="n"/>
      <x:c r="D2568" s="8" t="n"/>
    </x:row>
    <x:row r="2569">
      <x:c r="A2569" s="8" t="n"/>
      <x:c r="B2569" s="8" t="n"/>
      <x:c r="C2569" s="8" t="n"/>
      <x:c r="D2569" s="8" t="n"/>
    </x:row>
    <x:row r="2570">
      <x:c r="A2570" s="8" t="n"/>
      <x:c r="B2570" s="8" t="n"/>
      <x:c r="C2570" s="8" t="n"/>
      <x:c r="D2570" s="8" t="n"/>
    </x:row>
    <x:row r="2571">
      <x:c r="A2571" s="8" t="n"/>
      <x:c r="B2571" s="8" t="n"/>
      <x:c r="C2571" s="8" t="n"/>
      <x:c r="D2571" s="8" t="n"/>
    </x:row>
    <x:row r="2572">
      <x:c r="A2572" s="8" t="n"/>
      <x:c r="B2572" s="8" t="n"/>
      <x:c r="C2572" s="8" t="n"/>
      <x:c r="D2572" s="8" t="n"/>
    </x:row>
    <x:row r="2573">
      <x:c r="A2573" s="8" t="n"/>
      <x:c r="B2573" s="8" t="n"/>
      <x:c r="C2573" s="8" t="n"/>
      <x:c r="D2573" s="8" t="n"/>
    </x:row>
    <x:row r="2574">
      <x:c r="A2574" s="8" t="n"/>
      <x:c r="B2574" s="8" t="n"/>
      <x:c r="C2574" s="8" t="n"/>
      <x:c r="D2574" s="8" t="n"/>
    </x:row>
    <x:row r="2575">
      <x:c r="A2575" s="8" t="n"/>
      <x:c r="B2575" s="8" t="n"/>
      <x:c r="C2575" s="8" t="n"/>
      <x:c r="D2575" s="8" t="n"/>
    </x:row>
    <x:row r="2576">
      <x:c r="A2576" s="8" t="n"/>
      <x:c r="B2576" s="8" t="n"/>
      <x:c r="C2576" s="8" t="n"/>
      <x:c r="D2576" s="8" t="n"/>
    </x:row>
    <x:row r="2577">
      <x:c r="A2577" s="8" t="n"/>
      <x:c r="B2577" s="8" t="n"/>
      <x:c r="C2577" s="8" t="n"/>
      <x:c r="D2577" s="8" t="n"/>
    </x:row>
    <x:row r="2578">
      <x:c r="A2578" s="8" t="n"/>
      <x:c r="B2578" s="8" t="n"/>
      <x:c r="C2578" s="8" t="n"/>
      <x:c r="D2578" s="8" t="n"/>
    </x:row>
    <x:row r="2579">
      <x:c r="A2579" s="8" t="n"/>
      <x:c r="B2579" s="8" t="n"/>
      <x:c r="C2579" s="8" t="n"/>
      <x:c r="D2579" s="8" t="n"/>
    </x:row>
    <x:row r="2580">
      <x:c r="A2580" s="8" t="n"/>
      <x:c r="B2580" s="8" t="n"/>
      <x:c r="C2580" s="8" t="n"/>
      <x:c r="D2580" s="8" t="n"/>
    </x:row>
    <x:row r="2581">
      <x:c r="A2581" s="8" t="n"/>
      <x:c r="B2581" s="8" t="n"/>
      <x:c r="C2581" s="8" t="n"/>
      <x:c r="D2581" s="8" t="n"/>
    </x:row>
    <x:row r="2582">
      <x:c r="A2582" s="8" t="n"/>
      <x:c r="B2582" s="8" t="n"/>
      <x:c r="C2582" s="8" t="n"/>
      <x:c r="D2582" s="8" t="n"/>
    </x:row>
    <x:row r="2583">
      <x:c r="A2583" s="8" t="n"/>
      <x:c r="B2583" s="8" t="n"/>
      <x:c r="C2583" s="8" t="n"/>
      <x:c r="D2583" s="8" t="n"/>
    </x:row>
    <x:row r="2584">
      <x:c r="A2584" s="8" t="n"/>
      <x:c r="B2584" s="8" t="n"/>
      <x:c r="C2584" s="8" t="n"/>
      <x:c r="D2584" s="8" t="n"/>
    </x:row>
    <x:row r="2585">
      <x:c r="A2585" s="8" t="n"/>
      <x:c r="B2585" s="8" t="n"/>
      <x:c r="C2585" s="8" t="n"/>
      <x:c r="D2585" s="8" t="n"/>
    </x:row>
    <x:row r="2586">
      <x:c r="A2586" s="8" t="n"/>
      <x:c r="B2586" s="8" t="n"/>
      <x:c r="C2586" s="8" t="n"/>
      <x:c r="D2586" s="8" t="n"/>
    </x:row>
    <x:row r="2587">
      <x:c r="A2587" s="8" t="n"/>
      <x:c r="B2587" s="8" t="n"/>
      <x:c r="C2587" s="8" t="n"/>
      <x:c r="D2587" s="8" t="n"/>
    </x:row>
    <x:row r="2588">
      <x:c r="A2588" s="8" t="n"/>
      <x:c r="B2588" s="8" t="n"/>
      <x:c r="C2588" s="8" t="n"/>
      <x:c r="D2588" s="8" t="n"/>
    </x:row>
    <x:row r="2589">
      <x:c r="A2589" s="8" t="n"/>
      <x:c r="B2589" s="8" t="n"/>
      <x:c r="C2589" s="8" t="n"/>
      <x:c r="D2589" s="8" t="n"/>
    </x:row>
    <x:row r="2590">
      <x:c r="A2590" s="8" t="n"/>
      <x:c r="B2590" s="8" t="n"/>
      <x:c r="C2590" s="8" t="n"/>
      <x:c r="D2590" s="8" t="n"/>
    </x:row>
    <x:row r="2591">
      <x:c r="A2591" s="8" t="n"/>
      <x:c r="B2591" s="8" t="n"/>
      <x:c r="C2591" s="8" t="n"/>
      <x:c r="D2591" s="8" t="n"/>
    </x:row>
    <x:row r="2592">
      <x:c r="A2592" s="8" t="n"/>
      <x:c r="B2592" s="8" t="n"/>
      <x:c r="C2592" s="8" t="n"/>
      <x:c r="D2592" s="8" t="n"/>
    </x:row>
    <x:row r="2593">
      <x:c r="A2593" s="8" t="n"/>
      <x:c r="B2593" s="8" t="n"/>
      <x:c r="C2593" s="8" t="n"/>
      <x:c r="D2593" s="8" t="n"/>
    </x:row>
    <x:row r="2594">
      <x:c r="A2594" s="8" t="n"/>
      <x:c r="B2594" s="8" t="n"/>
      <x:c r="C2594" s="8" t="n"/>
      <x:c r="D2594" s="8" t="n"/>
    </x:row>
    <x:row r="2595">
      <x:c r="A2595" s="8" t="n"/>
      <x:c r="B2595" s="8" t="n"/>
      <x:c r="C2595" s="8" t="n"/>
      <x:c r="D2595" s="8" t="n"/>
    </x:row>
    <x:row r="2596">
      <x:c r="A2596" s="8" t="n"/>
      <x:c r="B2596" s="8" t="n"/>
      <x:c r="C2596" s="8" t="n"/>
      <x:c r="D2596" s="8" t="n"/>
    </x:row>
    <x:row r="2597">
      <x:c r="A2597" s="8" t="n"/>
      <x:c r="B2597" s="8" t="n"/>
      <x:c r="C2597" s="8" t="n"/>
      <x:c r="D2597" s="8" t="n"/>
    </x:row>
    <x:row r="2598">
      <x:c r="A2598" s="8" t="n"/>
      <x:c r="B2598" s="8" t="n"/>
      <x:c r="C2598" s="8" t="n"/>
      <x:c r="D2598" s="8" t="n"/>
    </x:row>
    <x:row r="2599">
      <x:c r="A2599" s="8" t="n"/>
      <x:c r="B2599" s="8" t="n"/>
      <x:c r="C2599" s="8" t="n"/>
      <x:c r="D2599" s="8" t="n"/>
    </x:row>
    <x:row r="2600">
      <x:c r="A2600" s="8" t="n"/>
      <x:c r="B2600" s="8" t="n"/>
      <x:c r="C2600" s="8" t="n"/>
      <x:c r="D2600" s="8" t="n"/>
    </x:row>
    <x:row r="2601">
      <x:c r="A2601" s="8" t="n"/>
      <x:c r="B2601" s="8" t="n"/>
      <x:c r="C2601" s="8" t="n"/>
      <x:c r="D2601" s="8" t="n"/>
    </x:row>
    <x:row r="2602">
      <x:c r="A2602" s="8" t="n"/>
      <x:c r="B2602" s="8" t="n"/>
      <x:c r="C2602" s="8" t="n"/>
      <x:c r="D2602" s="8" t="n"/>
    </x:row>
    <x:row r="2603">
      <x:c r="A2603" s="8" t="n"/>
      <x:c r="B2603" s="8" t="n"/>
      <x:c r="C2603" s="8" t="n"/>
      <x:c r="D2603" s="8" t="n"/>
    </x:row>
    <x:row r="2604">
      <x:c r="A2604" s="8" t="n"/>
      <x:c r="B2604" s="8" t="n"/>
      <x:c r="C2604" s="8" t="n"/>
      <x:c r="D2604" s="8" t="n"/>
    </x:row>
    <x:row r="2605">
      <x:c r="A2605" s="8" t="n"/>
      <x:c r="B2605" s="8" t="n"/>
      <x:c r="C2605" s="8" t="n"/>
      <x:c r="D2605" s="8" t="n"/>
    </x:row>
    <x:row r="2606">
      <x:c r="A2606" s="8" t="n"/>
      <x:c r="B2606" s="8" t="n"/>
      <x:c r="C2606" s="8" t="n"/>
      <x:c r="D2606" s="8" t="n"/>
    </x:row>
    <x:row r="2607">
      <x:c r="A2607" s="8" t="n"/>
      <x:c r="B2607" s="8" t="n"/>
      <x:c r="C2607" s="8" t="n"/>
      <x:c r="D2607" s="8" t="n"/>
    </x:row>
    <x:row r="2608">
      <x:c r="A2608" s="8" t="n"/>
      <x:c r="B2608" s="8" t="n"/>
      <x:c r="C2608" s="8" t="n"/>
      <x:c r="D2608" s="8" t="n"/>
    </x:row>
    <x:row r="2609">
      <x:c r="A2609" s="8" t="n"/>
      <x:c r="B2609" s="8" t="n"/>
      <x:c r="C2609" s="8" t="n"/>
      <x:c r="D2609" s="8" t="n"/>
    </x:row>
    <x:row r="2610">
      <x:c r="A2610" s="8" t="n"/>
      <x:c r="B2610" s="8" t="n"/>
      <x:c r="C2610" s="8" t="n"/>
      <x:c r="D2610" s="8" t="n"/>
    </x:row>
    <x:row r="2611">
      <x:c r="A2611" s="8" t="n"/>
      <x:c r="B2611" s="8" t="n"/>
      <x:c r="C2611" s="8" t="n"/>
      <x:c r="D2611" s="8" t="n"/>
    </x:row>
    <x:row r="2612">
      <x:c r="A2612" s="8" t="n"/>
      <x:c r="B2612" s="8" t="n"/>
      <x:c r="C2612" s="8" t="n"/>
      <x:c r="D2612" s="8" t="n"/>
    </x:row>
    <x:row r="2613">
      <x:c r="A2613" s="8" t="n"/>
      <x:c r="B2613" s="8" t="n"/>
      <x:c r="C2613" s="8" t="n"/>
      <x:c r="D2613" s="8" t="n"/>
    </x:row>
    <x:row r="2614">
      <x:c r="A2614" s="8" t="n"/>
      <x:c r="B2614" s="8" t="n"/>
      <x:c r="C2614" s="8" t="n"/>
      <x:c r="D2614" s="8" t="n"/>
    </x:row>
    <x:row r="2615">
      <x:c r="A2615" s="8" t="n"/>
      <x:c r="B2615" s="8" t="n"/>
      <x:c r="C2615" s="8" t="n"/>
      <x:c r="D2615" s="8" t="n"/>
    </x:row>
    <x:row r="2616">
      <x:c r="A2616" s="8" t="n"/>
      <x:c r="B2616" s="8" t="n"/>
      <x:c r="C2616" s="8" t="n"/>
      <x:c r="D2616" s="8" t="n"/>
    </x:row>
    <x:row r="2617">
      <x:c r="A2617" s="8" t="n"/>
      <x:c r="B2617" s="8" t="n"/>
      <x:c r="C2617" s="8" t="n"/>
      <x:c r="D2617" s="8" t="n"/>
    </x:row>
    <x:row r="2618">
      <x:c r="A2618" s="8" t="n"/>
      <x:c r="B2618" s="8" t="n"/>
      <x:c r="C2618" s="8" t="n"/>
      <x:c r="D2618" s="8" t="n"/>
    </x:row>
    <x:row r="2619">
      <x:c r="A2619" s="8" t="n"/>
      <x:c r="B2619" s="8" t="n"/>
      <x:c r="C2619" s="8" t="n"/>
      <x:c r="D2619" s="8" t="n"/>
    </x:row>
    <x:row r="2620">
      <x:c r="A2620" s="8" t="n"/>
      <x:c r="B2620" s="8" t="n"/>
      <x:c r="C2620" s="8" t="n"/>
      <x:c r="D2620" s="8" t="n"/>
    </x:row>
    <x:row r="2621">
      <x:c r="A2621" s="8" t="n"/>
      <x:c r="B2621" s="8" t="n"/>
      <x:c r="C2621" s="8" t="n"/>
      <x:c r="D2621" s="8" t="n"/>
    </x:row>
    <x:row r="2622">
      <x:c r="A2622" s="8" t="n"/>
      <x:c r="B2622" s="8" t="n"/>
      <x:c r="C2622" s="8" t="n"/>
      <x:c r="D2622" s="8" t="n"/>
    </x:row>
    <x:row r="2623">
      <x:c r="A2623" s="8" t="n"/>
      <x:c r="B2623" s="8" t="n"/>
      <x:c r="C2623" s="8" t="n"/>
      <x:c r="D2623" s="8" t="n"/>
    </x:row>
    <x:row r="2624">
      <x:c r="A2624" s="8" t="n"/>
      <x:c r="B2624" s="8" t="n"/>
      <x:c r="C2624" s="8" t="n"/>
      <x:c r="D2624" s="8" t="n"/>
    </x:row>
    <x:row r="2625">
      <x:c r="A2625" s="8" t="n"/>
      <x:c r="B2625" s="8" t="n"/>
      <x:c r="C2625" s="8" t="n"/>
      <x:c r="D2625" s="8" t="n"/>
    </x:row>
    <x:row r="2626">
      <x:c r="A2626" s="8" t="n"/>
      <x:c r="B2626" s="8" t="n"/>
      <x:c r="C2626" s="8" t="n"/>
      <x:c r="D2626" s="8" t="n"/>
    </x:row>
    <x:row r="2627">
      <x:c r="A2627" s="8" t="n"/>
      <x:c r="B2627" s="8" t="n"/>
      <x:c r="C2627" s="8" t="n"/>
      <x:c r="D2627" s="8" t="n"/>
    </x:row>
    <x:row r="2628">
      <x:c r="A2628" s="8" t="n"/>
      <x:c r="B2628" s="8" t="n"/>
      <x:c r="C2628" s="8" t="n"/>
      <x:c r="D2628" s="8" t="n"/>
    </x:row>
    <x:row r="2629">
      <x:c r="A2629" s="8" t="n"/>
      <x:c r="B2629" s="8" t="n"/>
      <x:c r="C2629" s="8" t="n"/>
      <x:c r="D2629" s="8" t="n"/>
    </x:row>
    <x:row r="2630">
      <x:c r="A2630" s="8" t="n"/>
      <x:c r="B2630" s="8" t="n"/>
      <x:c r="C2630" s="8" t="n"/>
      <x:c r="D2630" s="8" t="n"/>
    </x:row>
    <x:row r="2631">
      <x:c r="A2631" s="8" t="n"/>
      <x:c r="B2631" s="8" t="n"/>
      <x:c r="C2631" s="8" t="n"/>
      <x:c r="D2631" s="8" t="n"/>
    </x:row>
    <x:row r="2632">
      <x:c r="A2632" s="8" t="n"/>
      <x:c r="B2632" s="8" t="n"/>
      <x:c r="C2632" s="8" t="n"/>
      <x:c r="D2632" s="8" t="n"/>
    </x:row>
    <x:row r="2633">
      <x:c r="A2633" s="8" t="n"/>
      <x:c r="B2633" s="8" t="n"/>
      <x:c r="C2633" s="8" t="n"/>
      <x:c r="D2633" s="8" t="n"/>
    </x:row>
    <x:row r="2634">
      <x:c r="A2634" s="8" t="n"/>
      <x:c r="B2634" s="8" t="n"/>
      <x:c r="C2634" s="8" t="n"/>
      <x:c r="D2634" s="8" t="n"/>
    </x:row>
    <x:row r="2635">
      <x:c r="A2635" s="8" t="n"/>
      <x:c r="B2635" s="8" t="n"/>
      <x:c r="C2635" s="8" t="n"/>
      <x:c r="D2635" s="8" t="n"/>
    </x:row>
    <x:row r="2636">
      <x:c r="A2636" s="8" t="n"/>
      <x:c r="B2636" s="8" t="n"/>
      <x:c r="C2636" s="8" t="n"/>
      <x:c r="D2636" s="8" t="n"/>
    </x:row>
    <x:row r="2637">
      <x:c r="A2637" s="8" t="n"/>
      <x:c r="B2637" s="8" t="n"/>
      <x:c r="C2637" s="8" t="n"/>
      <x:c r="D2637" s="8" t="n"/>
    </x:row>
    <x:row r="2638">
      <x:c r="A2638" s="8" t="n"/>
      <x:c r="B2638" s="8" t="n"/>
      <x:c r="C2638" s="8" t="n"/>
      <x:c r="D2638" s="8" t="n"/>
    </x:row>
    <x:row r="2639">
      <x:c r="A2639" s="8" t="n"/>
      <x:c r="B2639" s="8" t="n"/>
      <x:c r="C2639" s="8" t="n"/>
      <x:c r="D2639" s="8" t="n"/>
    </x:row>
    <x:row r="2640">
      <x:c r="A2640" s="8" t="n"/>
      <x:c r="B2640" s="8" t="n"/>
      <x:c r="C2640" s="8" t="n"/>
      <x:c r="D2640" s="8" t="n"/>
    </x:row>
    <x:row r="2641">
      <x:c r="A2641" s="8" t="n"/>
      <x:c r="B2641" s="8" t="n"/>
      <x:c r="C2641" s="8" t="n"/>
      <x:c r="D2641" s="8" t="n"/>
    </x:row>
    <x:row r="2642">
      <x:c r="A2642" s="8" t="n"/>
      <x:c r="B2642" s="8" t="n"/>
      <x:c r="C2642" s="8" t="n"/>
      <x:c r="D2642" s="8" t="n"/>
    </x:row>
    <x:row r="2643">
      <x:c r="A2643" s="8" t="n"/>
      <x:c r="B2643" s="8" t="n"/>
      <x:c r="C2643" s="8" t="n"/>
      <x:c r="D2643" s="8" t="n"/>
    </x:row>
    <x:row r="2644">
      <x:c r="A2644" s="8" t="n"/>
      <x:c r="B2644" s="8" t="n"/>
      <x:c r="C2644" s="8" t="n"/>
      <x:c r="D2644" s="8" t="n"/>
    </x:row>
    <x:row r="2645">
      <x:c r="A2645" s="8" t="n"/>
      <x:c r="B2645" s="8" t="n"/>
      <x:c r="C2645" s="8" t="n"/>
      <x:c r="D2645" s="8" t="n"/>
    </x:row>
    <x:row r="2646">
      <x:c r="A2646" s="8" t="n"/>
      <x:c r="B2646" s="8" t="n"/>
      <x:c r="C2646" s="8" t="n"/>
      <x:c r="D2646" s="8" t="n"/>
    </x:row>
    <x:row r="2647">
      <x:c r="A2647" s="8" t="n"/>
      <x:c r="B2647" s="8" t="n"/>
      <x:c r="C2647" s="8" t="n"/>
      <x:c r="D2647" s="8" t="n"/>
    </x:row>
    <x:row r="2648">
      <x:c r="A2648" s="8" t="n"/>
      <x:c r="B2648" s="8" t="n"/>
      <x:c r="C2648" s="8" t="n"/>
      <x:c r="D2648" s="8" t="n"/>
    </x:row>
    <x:row r="2649">
      <x:c r="A2649" s="8" t="n"/>
      <x:c r="B2649" s="8" t="n"/>
      <x:c r="C2649" s="8" t="n"/>
      <x:c r="D2649" s="8" t="n"/>
    </x:row>
    <x:row r="2650">
      <x:c r="A2650" s="8" t="n"/>
      <x:c r="B2650" s="8" t="n"/>
      <x:c r="C2650" s="8" t="n"/>
      <x:c r="D2650" s="8" t="n"/>
    </x:row>
    <x:row r="2651">
      <x:c r="A2651" s="8" t="n"/>
      <x:c r="B2651" s="8" t="n"/>
      <x:c r="C2651" s="8" t="n"/>
      <x:c r="D2651" s="8" t="n"/>
    </x:row>
    <x:row r="2652">
      <x:c r="A2652" s="8" t="n"/>
      <x:c r="B2652" s="8" t="n"/>
      <x:c r="C2652" s="8" t="n"/>
      <x:c r="D2652" s="8" t="n"/>
    </x:row>
    <x:row r="2653">
      <x:c r="A2653" s="8" t="n"/>
      <x:c r="B2653" s="8" t="n"/>
      <x:c r="C2653" s="8" t="n"/>
      <x:c r="D2653" s="8" t="n"/>
    </x:row>
    <x:row r="2654">
      <x:c r="A2654" s="8" t="n"/>
      <x:c r="B2654" s="8" t="n"/>
      <x:c r="C2654" s="8" t="n"/>
      <x:c r="D2654" s="8" t="n"/>
    </x:row>
    <x:row r="2655">
      <x:c r="A2655" s="8" t="n"/>
      <x:c r="B2655" s="8" t="n"/>
      <x:c r="C2655" s="8" t="n"/>
      <x:c r="D2655" s="8" t="n"/>
    </x:row>
    <x:row r="2656">
      <x:c r="A2656" s="8" t="n"/>
      <x:c r="B2656" s="8" t="n"/>
      <x:c r="C2656" s="8" t="n"/>
      <x:c r="D2656" s="8" t="n"/>
    </x:row>
    <x:row r="2657">
      <x:c r="A2657" s="8" t="n"/>
      <x:c r="B2657" s="8" t="n"/>
      <x:c r="C2657" s="8" t="n"/>
      <x:c r="D2657" s="8" t="n"/>
    </x:row>
    <x:row r="2658">
      <x:c r="A2658" s="8" t="n"/>
      <x:c r="B2658" s="8" t="n"/>
      <x:c r="C2658" s="8" t="n"/>
      <x:c r="D2658" s="8" t="n"/>
    </x:row>
    <x:row r="2659">
      <x:c r="A2659" s="8" t="n"/>
      <x:c r="B2659" s="8" t="n"/>
      <x:c r="C2659" s="8" t="n"/>
      <x:c r="D2659" s="8" t="n"/>
    </x:row>
    <x:row r="2660">
      <x:c r="A2660" s="8" t="n"/>
      <x:c r="B2660" s="8" t="n"/>
      <x:c r="C2660" s="8" t="n"/>
      <x:c r="D2660" s="8" t="n"/>
    </x:row>
    <x:row r="2661">
      <x:c r="A2661" s="8" t="n"/>
      <x:c r="B2661" s="8" t="n"/>
      <x:c r="C2661" s="8" t="n"/>
      <x:c r="D2661" s="8" t="n"/>
    </x:row>
    <x:row r="2662">
      <x:c r="A2662" s="8" t="n"/>
      <x:c r="B2662" s="8" t="n"/>
      <x:c r="C2662" s="8" t="n"/>
      <x:c r="D2662" s="8" t="n"/>
    </x:row>
    <x:row r="2663">
      <x:c r="A2663" s="8" t="n"/>
      <x:c r="B2663" s="8" t="n"/>
      <x:c r="C2663" s="8" t="n"/>
      <x:c r="D2663" s="8" t="n"/>
    </x:row>
    <x:row r="2664">
      <x:c r="A2664" s="8" t="n"/>
      <x:c r="B2664" s="8" t="n"/>
      <x:c r="C2664" s="8" t="n"/>
      <x:c r="D2664" s="8" t="n"/>
    </x:row>
    <x:row r="2665">
      <x:c r="A2665" s="8" t="n"/>
      <x:c r="B2665" s="8" t="n"/>
      <x:c r="C2665" s="8" t="n"/>
      <x:c r="D2665" s="8" t="n"/>
    </x:row>
    <x:row r="2666">
      <x:c r="A2666" s="8" t="n"/>
      <x:c r="B2666" s="8" t="n"/>
      <x:c r="C2666" s="8" t="n"/>
      <x:c r="D2666" s="8" t="n"/>
    </x:row>
    <x:row r="2667">
      <x:c r="A2667" s="8" t="n"/>
      <x:c r="B2667" s="8" t="n"/>
      <x:c r="C2667" s="8" t="n"/>
      <x:c r="D2667" s="8" t="n"/>
    </x:row>
    <x:row r="2668">
      <x:c r="A2668" s="8" t="n"/>
      <x:c r="B2668" s="8" t="n"/>
      <x:c r="C2668" s="8" t="n"/>
      <x:c r="D2668" s="8" t="n"/>
    </x:row>
    <x:row r="2669">
      <x:c r="A2669" s="8" t="n"/>
      <x:c r="B2669" s="8" t="n"/>
      <x:c r="C2669" s="8" t="n"/>
      <x:c r="D2669" s="8" t="n"/>
    </x:row>
    <x:row r="2670">
      <x:c r="A2670" s="8" t="n"/>
      <x:c r="B2670" s="8" t="n"/>
      <x:c r="C2670" s="8" t="n"/>
      <x:c r="D2670" s="8" t="n"/>
    </x:row>
    <x:row r="2671">
      <x:c r="A2671" s="8" t="n"/>
      <x:c r="B2671" s="8" t="n"/>
      <x:c r="C2671" s="8" t="n"/>
      <x:c r="D2671" s="8" t="n"/>
    </x:row>
    <x:row r="2672">
      <x:c r="A2672" s="8" t="n"/>
      <x:c r="B2672" s="8" t="n"/>
      <x:c r="C2672" s="8" t="n"/>
      <x:c r="D2672" s="8" t="n"/>
    </x:row>
    <x:row r="2673">
      <x:c r="A2673" s="8" t="n"/>
      <x:c r="B2673" s="8" t="n"/>
      <x:c r="C2673" s="8" t="n"/>
      <x:c r="D2673" s="8" t="n"/>
    </x:row>
    <x:row r="2674">
      <x:c r="A2674" s="8" t="n"/>
      <x:c r="B2674" s="8" t="n"/>
      <x:c r="C2674" s="8" t="n"/>
      <x:c r="D2674" s="8" t="n"/>
    </x:row>
    <x:row r="2675">
      <x:c r="A2675" s="8" t="n"/>
      <x:c r="B2675" s="8" t="n"/>
      <x:c r="C2675" s="8" t="n"/>
      <x:c r="D2675" s="8" t="n"/>
    </x:row>
    <x:row r="2676">
      <x:c r="A2676" s="8" t="n"/>
      <x:c r="B2676" s="8" t="n"/>
      <x:c r="C2676" s="8" t="n"/>
      <x:c r="D2676" s="8" t="n"/>
    </x:row>
    <x:row r="2677">
      <x:c r="A2677" s="8" t="n"/>
      <x:c r="B2677" s="8" t="n"/>
      <x:c r="C2677" s="8" t="n"/>
      <x:c r="D2677" s="8" t="n"/>
    </x:row>
    <x:row r="2678">
      <x:c r="A2678" s="8" t="n"/>
      <x:c r="B2678" s="8" t="n"/>
      <x:c r="C2678" s="8" t="n"/>
      <x:c r="D2678" s="8" t="n"/>
    </x:row>
    <x:row r="2679">
      <x:c r="A2679" s="8" t="n"/>
      <x:c r="B2679" s="8" t="n"/>
      <x:c r="C2679" s="8" t="n"/>
      <x:c r="D2679" s="8" t="n"/>
    </x:row>
    <x:row r="2680">
      <x:c r="A2680" s="8" t="n"/>
      <x:c r="B2680" s="8" t="n"/>
      <x:c r="C2680" s="8" t="n"/>
      <x:c r="D2680" s="8" t="n"/>
    </x:row>
    <x:row r="2681">
      <x:c r="A2681" s="8" t="n"/>
      <x:c r="B2681" s="8" t="n"/>
      <x:c r="C2681" s="8" t="n"/>
      <x:c r="D2681" s="8" t="n"/>
    </x:row>
    <x:row r="2682">
      <x:c r="A2682" s="8" t="n"/>
      <x:c r="B2682" s="8" t="n"/>
      <x:c r="C2682" s="8" t="n"/>
      <x:c r="D2682" s="8" t="n"/>
    </x:row>
    <x:row r="2683">
      <x:c r="A2683" s="8" t="n"/>
      <x:c r="B2683" s="8" t="n"/>
      <x:c r="C2683" s="8" t="n"/>
      <x:c r="D2683" s="8" t="n"/>
    </x:row>
    <x:row r="2684">
      <x:c r="A2684" s="8" t="n"/>
      <x:c r="B2684" s="8" t="n"/>
      <x:c r="C2684" s="8" t="n"/>
      <x:c r="D2684" s="8" t="n"/>
    </x:row>
    <x:row r="2685">
      <x:c r="A2685" s="8" t="n"/>
      <x:c r="B2685" s="8" t="n"/>
      <x:c r="C2685" s="8" t="n"/>
      <x:c r="D2685" s="8" t="n"/>
    </x:row>
    <x:row r="2686">
      <x:c r="A2686" s="8" t="n"/>
      <x:c r="B2686" s="8" t="n"/>
      <x:c r="C2686" s="8" t="n"/>
      <x:c r="D2686" s="8" t="n"/>
    </x:row>
    <x:row r="2687">
      <x:c r="A2687" s="8" t="n"/>
      <x:c r="B2687" s="8" t="n"/>
      <x:c r="C2687" s="8" t="n"/>
      <x:c r="D2687" s="8" t="n"/>
    </x:row>
    <x:row r="2688">
      <x:c r="A2688" s="8" t="n"/>
      <x:c r="B2688" s="8" t="n"/>
      <x:c r="C2688" s="8" t="n"/>
      <x:c r="D2688" s="8" t="n"/>
    </x:row>
    <x:row r="2689">
      <x:c r="A2689" s="8" t="n"/>
      <x:c r="B2689" s="8" t="n"/>
      <x:c r="C2689" s="8" t="n"/>
      <x:c r="D2689" s="8" t="n"/>
    </x:row>
    <x:row r="2690">
      <x:c r="A2690" s="8" t="n"/>
      <x:c r="B2690" s="8" t="n"/>
      <x:c r="C2690" s="8" t="n"/>
      <x:c r="D2690" s="8" t="n"/>
    </x:row>
    <x:row r="2691">
      <x:c r="A2691" s="8" t="n"/>
      <x:c r="B2691" s="8" t="n"/>
      <x:c r="C2691" s="8" t="n"/>
      <x:c r="D2691" s="8" t="n"/>
    </x:row>
    <x:row r="2692">
      <x:c r="A2692" s="8" t="n"/>
      <x:c r="B2692" s="8" t="n"/>
      <x:c r="C2692" s="8" t="n"/>
      <x:c r="D2692" s="8" t="n"/>
    </x:row>
    <x:row r="2693">
      <x:c r="A2693" s="8" t="n"/>
      <x:c r="B2693" s="8" t="n"/>
      <x:c r="C2693" s="8" t="n"/>
      <x:c r="D2693" s="8" t="n"/>
    </x:row>
    <x:row r="2694">
      <x:c r="A2694" s="8" t="n"/>
      <x:c r="B2694" s="8" t="n"/>
      <x:c r="C2694" s="8" t="n"/>
      <x:c r="D2694" s="8" t="n"/>
    </x:row>
    <x:row r="2695">
      <x:c r="A2695" s="8" t="n"/>
      <x:c r="B2695" s="8" t="n"/>
      <x:c r="C2695" s="8" t="n"/>
      <x:c r="D2695" s="8" t="n"/>
    </x:row>
    <x:row r="2696">
      <x:c r="A2696" s="8" t="n"/>
      <x:c r="B2696" s="8" t="n"/>
      <x:c r="C2696" s="8" t="n"/>
      <x:c r="D2696" s="8" t="n"/>
    </x:row>
    <x:row r="2697">
      <x:c r="A2697" s="8" t="n"/>
      <x:c r="B2697" s="8" t="n"/>
      <x:c r="C2697" s="8" t="n"/>
      <x:c r="D2697" s="8" t="n"/>
    </x:row>
    <x:row r="2698">
      <x:c r="A2698" s="8" t="n"/>
      <x:c r="B2698" s="8" t="n"/>
      <x:c r="C2698" s="8" t="n"/>
      <x:c r="D2698" s="8" t="n"/>
    </x:row>
    <x:row r="2699">
      <x:c r="A2699" s="8" t="n"/>
      <x:c r="B2699" s="8" t="n"/>
      <x:c r="C2699" s="8" t="n"/>
      <x:c r="D2699" s="8" t="n"/>
    </x:row>
    <x:row r="2700">
      <x:c r="A2700" s="8" t="n"/>
      <x:c r="B2700" s="8" t="n"/>
      <x:c r="C2700" s="8" t="n"/>
      <x:c r="D2700" s="8" t="n"/>
    </x:row>
    <x:row r="2701">
      <x:c r="A2701" s="8" t="n"/>
      <x:c r="B2701" s="8" t="n"/>
      <x:c r="C2701" s="8" t="n"/>
      <x:c r="D2701" s="8" t="n"/>
    </x:row>
    <x:row r="2702">
      <x:c r="A2702" s="8" t="n"/>
      <x:c r="B2702" s="8" t="n"/>
      <x:c r="C2702" s="8" t="n"/>
      <x:c r="D2702" s="8" t="n"/>
    </x:row>
    <x:row r="2703">
      <x:c r="A2703" s="8" t="n"/>
      <x:c r="B2703" s="8" t="n"/>
      <x:c r="C2703" s="8" t="n"/>
      <x:c r="D2703" s="8" t="n"/>
    </x:row>
    <x:row r="2704">
      <x:c r="A2704" s="8" t="n"/>
      <x:c r="B2704" s="8" t="n"/>
      <x:c r="C2704" s="8" t="n"/>
      <x:c r="D2704" s="8" t="n"/>
    </x:row>
    <x:row r="2705">
      <x:c r="A2705" s="8" t="n"/>
      <x:c r="B2705" s="8" t="n"/>
      <x:c r="C2705" s="8" t="n"/>
      <x:c r="D2705" s="8" t="n"/>
    </x:row>
    <x:row r="2706">
      <x:c r="A2706" s="8" t="n"/>
      <x:c r="B2706" s="8" t="n"/>
      <x:c r="C2706" s="8" t="n"/>
      <x:c r="D2706" s="8" t="n"/>
    </x:row>
    <x:row r="2707">
      <x:c r="A2707" s="8" t="n"/>
      <x:c r="B2707" s="8" t="n"/>
      <x:c r="C2707" s="8" t="n"/>
      <x:c r="D2707" s="8" t="n"/>
    </x:row>
    <x:row r="2708">
      <x:c r="A2708" s="8" t="n"/>
      <x:c r="B2708" s="8" t="n"/>
      <x:c r="C2708" s="8" t="n"/>
      <x:c r="D2708" s="8" t="n"/>
    </x:row>
    <x:row r="2709">
      <x:c r="A2709" s="8" t="n"/>
      <x:c r="B2709" s="8" t="n"/>
      <x:c r="C2709" s="8" t="n"/>
      <x:c r="D2709" s="8" t="n"/>
    </x:row>
    <x:row r="2710">
      <x:c r="A2710" s="8" t="n"/>
      <x:c r="B2710" s="8" t="n"/>
      <x:c r="C2710" s="8" t="n"/>
      <x:c r="D2710" s="8" t="n"/>
    </x:row>
    <x:row r="2711">
      <x:c r="A2711" s="8" t="n"/>
      <x:c r="B2711" s="8" t="n"/>
      <x:c r="C2711" s="8" t="n"/>
      <x:c r="D2711" s="8" t="n"/>
    </x:row>
    <x:row r="2712">
      <x:c r="A2712" s="8" t="n"/>
      <x:c r="B2712" s="8" t="n"/>
      <x:c r="C2712" s="8" t="n"/>
      <x:c r="D2712" s="8" t="n"/>
    </x:row>
    <x:row r="2713">
      <x:c r="A2713" s="8" t="n"/>
      <x:c r="B2713" s="8" t="n"/>
      <x:c r="C2713" s="8" t="n"/>
      <x:c r="D2713" s="8" t="n"/>
    </x:row>
    <x:row r="2714">
      <x:c r="A2714" s="8" t="n"/>
      <x:c r="B2714" s="8" t="n"/>
      <x:c r="C2714" s="8" t="n"/>
      <x:c r="D2714" s="8" t="n"/>
    </x:row>
    <x:row r="2715">
      <x:c r="A2715" s="8" t="n"/>
      <x:c r="B2715" s="8" t="n"/>
      <x:c r="C2715" s="8" t="n"/>
      <x:c r="D2715" s="8" t="n"/>
    </x:row>
    <x:row r="2716">
      <x:c r="A2716" s="8" t="n"/>
      <x:c r="B2716" s="8" t="n"/>
      <x:c r="C2716" s="8" t="n"/>
      <x:c r="D2716" s="8" t="n"/>
    </x:row>
    <x:row r="2717">
      <x:c r="A2717" s="8" t="n"/>
      <x:c r="B2717" s="8" t="n"/>
      <x:c r="C2717" s="8" t="n"/>
      <x:c r="D2717" s="8" t="n"/>
    </x:row>
    <x:row r="2718">
      <x:c r="A2718" s="8" t="n"/>
      <x:c r="B2718" s="8" t="n"/>
      <x:c r="C2718" s="8" t="n"/>
      <x:c r="D2718" s="8" t="n"/>
    </x:row>
    <x:row r="2719">
      <x:c r="A2719" s="8" t="n"/>
      <x:c r="B2719" s="8" t="n"/>
      <x:c r="C2719" s="8" t="n"/>
      <x:c r="D2719" s="8" t="n"/>
    </x:row>
    <x:row r="2720">
      <x:c r="A2720" s="8" t="n"/>
      <x:c r="B2720" s="8" t="n"/>
      <x:c r="C2720" s="8" t="n"/>
      <x:c r="D2720" s="8" t="n"/>
    </x:row>
    <x:row r="2721">
      <x:c r="A2721" s="8" t="n"/>
      <x:c r="B2721" s="8" t="n"/>
      <x:c r="C2721" s="8" t="n"/>
      <x:c r="D2721" s="8" t="n"/>
    </x:row>
    <x:row r="2722">
      <x:c r="A2722" s="8" t="n"/>
      <x:c r="B2722" s="8" t="n"/>
      <x:c r="C2722" s="8" t="n"/>
      <x:c r="D2722" s="8" t="n"/>
    </x:row>
    <x:row r="2723">
      <x:c r="A2723" s="8" t="n"/>
      <x:c r="B2723" s="8" t="n"/>
      <x:c r="C2723" s="8" t="n"/>
      <x:c r="D2723" s="8" t="n"/>
    </x:row>
    <x:row r="2724">
      <x:c r="A2724" s="8" t="n"/>
      <x:c r="B2724" s="8" t="n"/>
      <x:c r="C2724" s="8" t="n"/>
      <x:c r="D2724" s="8" t="n"/>
    </x:row>
    <x:row r="2725">
      <x:c r="A2725" s="8" t="n"/>
      <x:c r="B2725" s="8" t="n"/>
      <x:c r="C2725" s="8" t="n"/>
      <x:c r="D2725" s="8" t="n"/>
    </x:row>
    <x:row r="2726">
      <x:c r="A2726" s="8" t="n"/>
      <x:c r="B2726" s="8" t="n"/>
      <x:c r="C2726" s="8" t="n"/>
      <x:c r="D2726" s="8" t="n"/>
    </x:row>
    <x:row r="2727">
      <x:c r="A2727" s="8" t="n"/>
      <x:c r="B2727" s="8" t="n"/>
      <x:c r="C2727" s="8" t="n"/>
      <x:c r="D2727" s="8" t="n"/>
    </x:row>
    <x:row r="2728">
      <x:c r="A2728" s="8" t="n"/>
      <x:c r="B2728" s="8" t="n"/>
      <x:c r="C2728" s="8" t="n"/>
      <x:c r="D2728" s="8" t="n"/>
    </x:row>
    <x:row r="2729">
      <x:c r="A2729" s="8" t="n"/>
      <x:c r="B2729" s="8" t="n"/>
      <x:c r="C2729" s="8" t="n"/>
      <x:c r="D2729" s="8" t="n"/>
    </x:row>
    <x:row r="2730">
      <x:c r="A2730" s="8" t="n"/>
      <x:c r="B2730" s="8" t="n"/>
      <x:c r="C2730" s="8" t="n"/>
      <x:c r="D2730" s="8" t="n"/>
    </x:row>
    <x:row r="2731">
      <x:c r="A2731" s="8" t="n"/>
      <x:c r="B2731" s="8" t="n"/>
      <x:c r="C2731" s="8" t="n"/>
      <x:c r="D2731" s="8" t="n"/>
    </x:row>
    <x:row r="2732">
      <x:c r="A2732" s="8" t="n"/>
      <x:c r="B2732" s="8" t="n"/>
      <x:c r="C2732" s="8" t="n"/>
      <x:c r="D2732" s="8" t="n"/>
    </x:row>
    <x:row r="2733">
      <x:c r="A2733" s="8" t="n"/>
      <x:c r="B2733" s="8" t="n"/>
      <x:c r="C2733" s="8" t="n"/>
      <x:c r="D2733" s="8" t="n"/>
    </x:row>
    <x:row r="2734">
      <x:c r="A2734" s="8" t="n"/>
      <x:c r="B2734" s="8" t="n"/>
      <x:c r="C2734" s="8" t="n"/>
      <x:c r="D2734" s="8" t="n"/>
    </x:row>
    <x:row r="2735">
      <x:c r="A2735" s="8" t="n"/>
      <x:c r="B2735" s="8" t="n"/>
      <x:c r="C2735" s="8" t="n"/>
      <x:c r="D2735" s="8" t="n"/>
    </x:row>
    <x:row r="2736">
      <x:c r="A2736" s="8" t="n"/>
      <x:c r="B2736" s="8" t="n"/>
      <x:c r="C2736" s="8" t="n"/>
      <x:c r="D2736" s="8" t="n"/>
    </x:row>
    <x:row r="2737">
      <x:c r="A2737" s="8" t="n"/>
      <x:c r="B2737" s="8" t="n"/>
      <x:c r="C2737" s="8" t="n"/>
      <x:c r="D2737" s="8" t="n"/>
    </x:row>
    <x:row r="2738">
      <x:c r="A2738" s="8" t="n"/>
      <x:c r="B2738" s="8" t="n"/>
      <x:c r="C2738" s="8" t="n"/>
      <x:c r="D2738" s="8" t="n"/>
    </x:row>
    <x:row r="2739">
      <x:c r="A2739" s="8" t="n"/>
      <x:c r="B2739" s="8" t="n"/>
      <x:c r="C2739" s="8" t="n"/>
      <x:c r="D2739" s="8" t="n"/>
    </x:row>
    <x:row r="2740">
      <x:c r="A2740" s="8" t="n"/>
      <x:c r="B2740" s="8" t="n"/>
      <x:c r="C2740" s="8" t="n"/>
      <x:c r="D2740" s="8" t="n"/>
    </x:row>
    <x:row r="2741">
      <x:c r="A2741" s="8" t="n"/>
      <x:c r="B2741" s="8" t="n"/>
      <x:c r="C2741" s="8" t="n"/>
      <x:c r="D2741" s="8" t="n"/>
    </x:row>
    <x:row r="2742">
      <x:c r="A2742" s="8" t="n"/>
      <x:c r="B2742" s="8" t="n"/>
      <x:c r="C2742" s="8" t="n"/>
      <x:c r="D2742" s="8" t="n"/>
    </x:row>
    <x:row r="2743">
      <x:c r="A2743" s="8" t="n"/>
      <x:c r="B2743" s="8" t="n"/>
      <x:c r="C2743" s="8" t="n"/>
      <x:c r="D2743" s="8" t="n"/>
    </x:row>
    <x:row r="2744">
      <x:c r="A2744" s="8" t="n"/>
      <x:c r="B2744" s="8" t="n"/>
      <x:c r="C2744" s="8" t="n"/>
      <x:c r="D2744" s="8" t="n"/>
    </x:row>
    <x:row r="2745">
      <x:c r="A2745" s="8" t="n"/>
      <x:c r="B2745" s="8" t="n"/>
      <x:c r="C2745" s="8" t="n"/>
      <x:c r="D2745" s="8" t="n"/>
    </x:row>
    <x:row r="2746">
      <x:c r="A2746" s="8" t="n"/>
      <x:c r="B2746" s="8" t="n"/>
      <x:c r="C2746" s="8" t="n"/>
      <x:c r="D2746" s="8" t="n"/>
    </x:row>
    <x:row r="2747">
      <x:c r="A2747" s="8" t="n"/>
      <x:c r="B2747" s="8" t="n"/>
      <x:c r="C2747" s="8" t="n"/>
      <x:c r="D2747" s="8" t="n"/>
    </x:row>
    <x:row r="2748">
      <x:c r="A2748" s="8" t="n"/>
      <x:c r="B2748" s="8" t="n"/>
      <x:c r="C2748" s="8" t="n"/>
      <x:c r="D2748" s="8" t="n"/>
    </x:row>
    <x:row r="2749">
      <x:c r="A2749" s="8" t="n"/>
      <x:c r="B2749" s="8" t="n"/>
      <x:c r="C2749" s="8" t="n"/>
      <x:c r="D2749" s="8" t="n"/>
    </x:row>
    <x:row r="2750">
      <x:c r="A2750" s="8" t="n"/>
      <x:c r="B2750" s="8" t="n"/>
      <x:c r="C2750" s="8" t="n"/>
      <x:c r="D2750" s="8" t="n"/>
    </x:row>
    <x:row r="2751">
      <x:c r="A2751" s="8" t="n"/>
      <x:c r="B2751" s="8" t="n"/>
      <x:c r="C2751" s="8" t="n"/>
      <x:c r="D2751" s="8" t="n"/>
    </x:row>
    <x:row r="2752">
      <x:c r="A2752" s="8" t="n"/>
      <x:c r="B2752" s="8" t="n"/>
      <x:c r="C2752" s="8" t="n"/>
      <x:c r="D2752" s="8" t="n"/>
    </x:row>
    <x:row r="2753">
      <x:c r="A2753" s="8" t="n"/>
      <x:c r="B2753" s="8" t="n"/>
      <x:c r="C2753" s="8" t="n"/>
      <x:c r="D2753" s="8" t="n"/>
    </x:row>
    <x:row r="2754">
      <x:c r="A2754" s="8" t="n"/>
      <x:c r="B2754" s="8" t="n"/>
      <x:c r="C2754" s="8" t="n"/>
      <x:c r="D2754" s="8" t="n"/>
    </x:row>
    <x:row r="2755">
      <x:c r="A2755" s="8" t="n"/>
      <x:c r="B2755" s="8" t="n"/>
      <x:c r="C2755" s="8" t="n"/>
      <x:c r="D2755" s="8" t="n"/>
    </x:row>
    <x:row r="2756">
      <x:c r="A2756" s="8" t="n"/>
      <x:c r="B2756" s="8" t="n"/>
      <x:c r="C2756" s="8" t="n"/>
      <x:c r="D2756" s="8" t="n"/>
    </x:row>
    <x:row r="2757">
      <x:c r="A2757" s="8" t="n"/>
      <x:c r="B2757" s="8" t="n"/>
      <x:c r="C2757" s="8" t="n"/>
      <x:c r="D2757" s="8" t="n"/>
    </x:row>
    <x:row r="2758">
      <x:c r="A2758" s="8" t="n"/>
      <x:c r="B2758" s="8" t="n"/>
      <x:c r="C2758" s="8" t="n"/>
      <x:c r="D2758" s="8" t="n"/>
    </x:row>
    <x:row r="2759">
      <x:c r="A2759" s="8" t="n"/>
      <x:c r="B2759" s="8" t="n"/>
      <x:c r="C2759" s="8" t="n"/>
      <x:c r="D2759" s="8" t="n"/>
    </x:row>
    <x:row r="2760">
      <x:c r="A2760" s="8" t="n"/>
      <x:c r="B2760" s="8" t="n"/>
      <x:c r="C2760" s="8" t="n"/>
      <x:c r="D2760" s="8" t="n"/>
    </x:row>
    <x:row r="2761">
      <x:c r="A2761" s="8" t="n"/>
      <x:c r="B2761" s="8" t="n"/>
      <x:c r="C2761" s="8" t="n"/>
      <x:c r="D2761" s="8" t="n"/>
    </x:row>
    <x:row r="2762">
      <x:c r="A2762" s="8" t="n"/>
      <x:c r="B2762" s="8" t="n"/>
      <x:c r="C2762" s="8" t="n"/>
      <x:c r="D2762" s="8" t="n"/>
    </x:row>
    <x:row r="2763">
      <x:c r="A2763" s="8" t="n"/>
      <x:c r="B2763" s="8" t="n"/>
      <x:c r="C2763" s="8" t="n"/>
      <x:c r="D2763" s="8" t="n"/>
    </x:row>
    <x:row r="2764">
      <x:c r="A2764" s="8" t="n"/>
      <x:c r="B2764" s="8" t="n"/>
      <x:c r="C2764" s="8" t="n"/>
      <x:c r="D2764" s="8" t="n"/>
    </x:row>
    <x:row r="2765">
      <x:c r="A2765" s="8" t="n"/>
      <x:c r="B2765" s="8" t="n"/>
      <x:c r="C2765" s="8" t="n"/>
      <x:c r="D2765" s="8" t="n"/>
    </x:row>
    <x:row r="2766">
      <x:c r="A2766" s="8" t="n"/>
      <x:c r="B2766" s="8" t="n"/>
      <x:c r="C2766" s="8" t="n"/>
      <x:c r="D2766" s="8" t="n"/>
    </x:row>
    <x:row r="2767">
      <x:c r="A2767" s="8" t="n"/>
      <x:c r="B2767" s="8" t="n"/>
      <x:c r="C2767" s="8" t="n"/>
      <x:c r="D2767" s="8" t="n"/>
    </x:row>
    <x:row r="2768">
      <x:c r="A2768" s="8" t="n"/>
      <x:c r="B2768" s="8" t="n"/>
      <x:c r="C2768" s="8" t="n"/>
      <x:c r="D2768" s="8" t="n"/>
    </x:row>
    <x:row r="2769">
      <x:c r="A2769" s="8" t="n"/>
      <x:c r="B2769" s="8" t="n"/>
      <x:c r="C2769" s="8" t="n"/>
      <x:c r="D2769" s="8" t="n"/>
    </x:row>
    <x:row r="2770">
      <x:c r="A2770" s="8" t="n"/>
      <x:c r="B2770" s="8" t="n"/>
      <x:c r="C2770" s="8" t="n"/>
      <x:c r="D2770" s="8" t="n"/>
    </x:row>
    <x:row r="2771">
      <x:c r="A2771" s="8" t="n"/>
      <x:c r="B2771" s="8" t="n"/>
      <x:c r="C2771" s="8" t="n"/>
      <x:c r="D2771" s="8" t="n"/>
    </x:row>
    <x:row r="2772">
      <x:c r="A2772" s="8" t="n"/>
      <x:c r="B2772" s="8" t="n"/>
      <x:c r="C2772" s="8" t="n"/>
      <x:c r="D2772" s="8" t="n"/>
    </x:row>
    <x:row r="2773">
      <x:c r="A2773" s="8" t="n"/>
      <x:c r="B2773" s="8" t="n"/>
      <x:c r="C2773" s="8" t="n"/>
      <x:c r="D2773" s="8" t="n"/>
    </x:row>
    <x:row r="2774">
      <x:c r="A2774" s="8" t="n"/>
      <x:c r="B2774" s="8" t="n"/>
      <x:c r="C2774" s="8" t="n"/>
      <x:c r="D2774" s="8" t="n"/>
    </x:row>
    <x:row r="2775">
      <x:c r="A2775" s="8" t="n"/>
      <x:c r="B2775" s="8" t="n"/>
      <x:c r="C2775" s="8" t="n"/>
      <x:c r="D2775" s="8" t="n"/>
    </x:row>
    <x:row r="2776">
      <x:c r="A2776" s="8" t="n"/>
      <x:c r="B2776" s="8" t="n"/>
      <x:c r="C2776" s="8" t="n"/>
      <x:c r="D2776" s="8" t="n"/>
    </x:row>
    <x:row r="2777">
      <x:c r="A2777" s="8" t="n"/>
      <x:c r="B2777" s="8" t="n"/>
      <x:c r="C2777" s="8" t="n"/>
      <x:c r="D2777" s="8" t="n"/>
    </x:row>
    <x:row r="2778">
      <x:c r="A2778" s="8" t="n"/>
      <x:c r="B2778" s="8" t="n"/>
      <x:c r="C2778" s="8" t="n"/>
      <x:c r="D2778" s="8" t="n"/>
    </x:row>
    <x:row r="2779">
      <x:c r="A2779" s="8" t="n"/>
      <x:c r="B2779" s="8" t="n"/>
      <x:c r="C2779" s="8" t="n"/>
      <x:c r="D2779" s="8" t="n"/>
    </x:row>
    <x:row r="2780">
      <x:c r="A2780" s="8" t="n"/>
      <x:c r="B2780" s="8" t="n"/>
      <x:c r="C2780" s="8" t="n"/>
      <x:c r="D2780" s="8" t="n"/>
    </x:row>
    <x:row r="2781">
      <x:c r="A2781" s="8" t="n"/>
      <x:c r="B2781" s="8" t="n"/>
      <x:c r="C2781" s="8" t="n"/>
      <x:c r="D2781" s="8" t="n"/>
    </x:row>
    <x:row r="2782">
      <x:c r="A2782" s="8" t="n"/>
      <x:c r="B2782" s="8" t="n"/>
      <x:c r="C2782" s="8" t="n"/>
      <x:c r="D2782" s="8" t="n"/>
    </x:row>
    <x:row r="2783">
      <x:c r="A2783" s="8" t="n"/>
      <x:c r="B2783" s="8" t="n"/>
      <x:c r="C2783" s="8" t="n"/>
      <x:c r="D2783" s="8" t="n"/>
    </x:row>
    <x:row r="2784">
      <x:c r="A2784" s="8" t="n"/>
      <x:c r="B2784" s="8" t="n"/>
      <x:c r="C2784" s="8" t="n"/>
      <x:c r="D2784" s="8" t="n"/>
    </x:row>
    <x:row r="2785">
      <x:c r="A2785" s="8" t="n"/>
      <x:c r="B2785" s="8" t="n"/>
      <x:c r="C2785" s="8" t="n"/>
      <x:c r="D2785" s="8" t="n"/>
    </x:row>
    <x:row r="2786">
      <x:c r="A2786" s="8" t="n"/>
      <x:c r="B2786" s="8" t="n"/>
      <x:c r="C2786" s="8" t="n"/>
      <x:c r="D2786" s="8" t="n"/>
    </x:row>
    <x:row r="2787">
      <x:c r="A2787" s="8" t="n"/>
      <x:c r="B2787" s="8" t="n"/>
      <x:c r="C2787" s="8" t="n"/>
      <x:c r="D2787" s="8" t="n"/>
    </x:row>
    <x:row r="2788">
      <x:c r="A2788" s="8" t="n"/>
      <x:c r="B2788" s="8" t="n"/>
      <x:c r="C2788" s="8" t="n"/>
      <x:c r="D2788" s="8" t="n"/>
    </x:row>
    <x:row r="2789">
      <x:c r="A2789" s="8" t="n"/>
      <x:c r="B2789" s="8" t="n"/>
      <x:c r="C2789" s="8" t="n"/>
      <x:c r="D2789" s="8" t="n"/>
    </x:row>
    <x:row r="2790">
      <x:c r="A2790" s="8" t="n"/>
      <x:c r="B2790" s="8" t="n"/>
      <x:c r="C2790" s="8" t="n"/>
      <x:c r="D2790" s="8" t="n"/>
    </x:row>
    <x:row r="2791">
      <x:c r="A2791" s="8" t="n"/>
      <x:c r="B2791" s="8" t="n"/>
      <x:c r="C2791" s="8" t="n"/>
      <x:c r="D2791" s="8" t="n"/>
    </x:row>
    <x:row r="2792">
      <x:c r="A2792" s="8" t="n"/>
      <x:c r="B2792" s="8" t="n"/>
      <x:c r="C2792" s="8" t="n"/>
      <x:c r="D2792" s="8" t="n"/>
    </x:row>
    <x:row r="2793">
      <x:c r="A2793" s="8" t="n"/>
      <x:c r="B2793" s="8" t="n"/>
      <x:c r="C2793" s="8" t="n"/>
      <x:c r="D2793" s="8" t="n"/>
    </x:row>
    <x:row r="2794">
      <x:c r="A2794" s="8" t="n"/>
      <x:c r="B2794" s="8" t="n"/>
      <x:c r="C2794" s="8" t="n"/>
      <x:c r="D2794" s="8" t="n"/>
    </x:row>
    <x:row r="2795">
      <x:c r="A2795" s="8" t="n"/>
      <x:c r="B2795" s="8" t="n"/>
      <x:c r="C2795" s="8" t="n"/>
      <x:c r="D2795" s="8" t="n"/>
    </x:row>
    <x:row r="2796">
      <x:c r="A2796" s="8" t="n"/>
      <x:c r="B2796" s="8" t="n"/>
      <x:c r="C2796" s="8" t="n"/>
      <x:c r="D2796" s="8" t="n"/>
    </x:row>
    <x:row r="2797">
      <x:c r="A2797" s="8" t="n"/>
      <x:c r="B2797" s="8" t="n"/>
      <x:c r="C2797" s="8" t="n"/>
      <x:c r="D2797" s="8" t="n"/>
    </x:row>
    <x:row r="2798">
      <x:c r="A2798" s="8" t="n"/>
      <x:c r="B2798" s="8" t="n"/>
      <x:c r="C2798" s="8" t="n"/>
      <x:c r="D2798" s="8" t="n"/>
    </x:row>
    <x:row r="2799">
      <x:c r="A2799" s="8" t="n"/>
      <x:c r="B2799" s="8" t="n"/>
      <x:c r="C2799" s="8" t="n"/>
      <x:c r="D2799" s="8" t="n"/>
    </x:row>
    <x:row r="2800">
      <x:c r="A2800" s="8" t="n"/>
      <x:c r="B2800" s="8" t="n"/>
      <x:c r="C2800" s="8" t="n"/>
      <x:c r="D2800" s="8" t="n"/>
    </x:row>
    <x:row r="2801">
      <x:c r="A2801" s="8" t="n"/>
      <x:c r="B2801" s="8" t="n"/>
      <x:c r="C2801" s="8" t="n"/>
      <x:c r="D2801" s="8" t="n"/>
    </x:row>
    <x:row r="2802">
      <x:c r="A2802" s="8" t="n"/>
      <x:c r="B2802" s="8" t="n"/>
      <x:c r="C2802" s="8" t="n"/>
      <x:c r="D2802" s="8" t="n"/>
    </x:row>
    <x:row r="2803">
      <x:c r="A2803" s="8" t="n"/>
      <x:c r="B2803" s="8" t="n"/>
      <x:c r="C2803" s="8" t="n"/>
      <x:c r="D2803" s="8" t="n"/>
    </x:row>
    <x:row r="2804">
      <x:c r="A2804" s="8" t="n"/>
      <x:c r="B2804" s="8" t="n"/>
      <x:c r="C2804" s="8" t="n"/>
      <x:c r="D2804" s="8" t="n"/>
    </x:row>
    <x:row r="2805">
      <x:c r="A2805" s="8" t="n"/>
      <x:c r="B2805" s="8" t="n"/>
      <x:c r="C2805" s="8" t="n"/>
      <x:c r="D2805" s="8" t="n"/>
    </x:row>
    <x:row r="2806">
      <x:c r="A2806" s="8" t="n"/>
      <x:c r="B2806" s="8" t="n"/>
      <x:c r="C2806" s="8" t="n"/>
      <x:c r="D2806" s="8" t="n"/>
    </x:row>
    <x:row r="2807">
      <x:c r="A2807" s="8" t="n"/>
      <x:c r="B2807" s="8" t="n"/>
      <x:c r="C2807" s="8" t="n"/>
      <x:c r="D2807" s="8" t="n"/>
    </x:row>
    <x:row r="2808">
      <x:c r="A2808" s="8" t="n"/>
      <x:c r="B2808" s="8" t="n"/>
      <x:c r="C2808" s="8" t="n"/>
      <x:c r="D2808" s="8" t="n"/>
    </x:row>
    <x:row r="2809">
      <x:c r="A2809" s="8" t="n"/>
      <x:c r="B2809" s="8" t="n"/>
      <x:c r="C2809" s="8" t="n"/>
      <x:c r="D2809" s="8" t="n"/>
    </x:row>
    <x:row r="2810">
      <x:c r="A2810" s="8" t="n"/>
      <x:c r="B2810" s="8" t="n"/>
      <x:c r="C2810" s="8" t="n"/>
      <x:c r="D2810" s="8" t="n"/>
    </x:row>
    <x:row r="2811">
      <x:c r="A2811" s="8" t="n"/>
      <x:c r="B2811" s="8" t="n"/>
      <x:c r="C2811" s="8" t="n"/>
      <x:c r="D2811" s="8" t="n"/>
    </x:row>
    <x:row r="2812">
      <x:c r="A2812" s="8" t="n"/>
      <x:c r="B2812" s="8" t="n"/>
      <x:c r="C2812" s="8" t="n"/>
      <x:c r="D2812" s="8" t="n"/>
    </x:row>
    <x:row r="2813">
      <x:c r="A2813" s="8" t="n"/>
      <x:c r="B2813" s="8" t="n"/>
      <x:c r="C2813" s="8" t="n"/>
      <x:c r="D2813" s="8" t="n"/>
    </x:row>
    <x:row r="2814">
      <x:c r="A2814" s="8" t="n"/>
      <x:c r="B2814" s="8" t="n"/>
      <x:c r="C2814" s="8" t="n"/>
      <x:c r="D2814" s="8" t="n"/>
    </x:row>
    <x:row r="2815">
      <x:c r="A2815" s="8" t="n"/>
      <x:c r="B2815" s="8" t="n"/>
      <x:c r="C2815" s="8" t="n"/>
      <x:c r="D2815" s="8" t="n"/>
    </x:row>
    <x:row r="2816">
      <x:c r="A2816" s="8" t="n"/>
      <x:c r="B2816" s="8" t="n"/>
      <x:c r="C2816" s="8" t="n"/>
      <x:c r="D2816" s="8" t="n"/>
    </x:row>
    <x:row r="2817">
      <x:c r="A2817" s="8" t="n"/>
      <x:c r="B2817" s="8" t="n"/>
      <x:c r="C2817" s="8" t="n"/>
      <x:c r="D2817" s="8" t="n"/>
    </x:row>
    <x:row r="2818">
      <x:c r="A2818" s="8" t="n"/>
      <x:c r="B2818" s="8" t="n"/>
      <x:c r="C2818" s="8" t="n"/>
      <x:c r="D2818" s="8" t="n"/>
    </x:row>
    <x:row r="2819">
      <x:c r="A2819" s="8" t="n"/>
      <x:c r="B2819" s="8" t="n"/>
      <x:c r="C2819" s="8" t="n"/>
      <x:c r="D2819" s="8" t="n"/>
    </x:row>
    <x:row r="2820">
      <x:c r="A2820" s="8" t="n"/>
      <x:c r="B2820" s="8" t="n"/>
      <x:c r="C2820" s="8" t="n"/>
      <x:c r="D2820" s="8" t="n"/>
    </x:row>
    <x:row r="2821">
      <x:c r="A2821" s="8" t="n"/>
      <x:c r="B2821" s="8" t="n"/>
      <x:c r="C2821" s="8" t="n"/>
      <x:c r="D2821" s="8" t="n"/>
    </x:row>
    <x:row r="2822">
      <x:c r="A2822" s="8" t="n"/>
      <x:c r="B2822" s="8" t="n"/>
      <x:c r="C2822" s="8" t="n"/>
      <x:c r="D2822" s="8" t="n"/>
    </x:row>
    <x:row r="2823">
      <x:c r="A2823" s="8" t="n"/>
      <x:c r="B2823" s="8" t="n"/>
      <x:c r="C2823" s="8" t="n"/>
      <x:c r="D2823" s="8" t="n"/>
    </x:row>
    <x:row r="2824">
      <x:c r="A2824" s="8" t="n"/>
      <x:c r="B2824" s="8" t="n"/>
      <x:c r="C2824" s="8" t="n"/>
      <x:c r="D2824" s="8" t="n"/>
    </x:row>
    <x:row r="2825">
      <x:c r="A2825" s="8" t="n"/>
      <x:c r="B2825" s="8" t="n"/>
      <x:c r="C2825" s="8" t="n"/>
      <x:c r="D2825" s="8" t="n"/>
    </x:row>
    <x:row r="2826">
      <x:c r="A2826" s="8" t="n"/>
      <x:c r="B2826" s="8" t="n"/>
      <x:c r="C2826" s="8" t="n"/>
      <x:c r="D2826" s="8" t="n"/>
    </x:row>
    <x:row r="2827">
      <x:c r="A2827" s="8" t="n"/>
      <x:c r="B2827" s="8" t="n"/>
      <x:c r="C2827" s="8" t="n"/>
      <x:c r="D2827" s="8" t="n"/>
    </x:row>
    <x:row r="2828">
      <x:c r="A2828" s="8" t="n"/>
      <x:c r="B2828" s="8" t="n"/>
      <x:c r="C2828" s="8" t="n"/>
      <x:c r="D2828" s="8" t="n"/>
    </x:row>
    <x:row r="2829">
      <x:c r="A2829" s="8" t="n"/>
      <x:c r="B2829" s="8" t="n"/>
      <x:c r="C2829" s="8" t="n"/>
      <x:c r="D2829" s="8" t="n"/>
    </x:row>
    <x:row r="2830">
      <x:c r="A2830" s="8" t="n"/>
      <x:c r="B2830" s="8" t="n"/>
      <x:c r="C2830" s="8" t="n"/>
      <x:c r="D2830" s="8" t="n"/>
    </x:row>
    <x:row r="2831">
      <x:c r="A2831" s="8" t="n"/>
      <x:c r="B2831" s="8" t="n"/>
      <x:c r="C2831" s="8" t="n"/>
      <x:c r="D2831" s="8" t="n"/>
    </x:row>
    <x:row r="2832">
      <x:c r="A2832" s="8" t="n"/>
      <x:c r="B2832" s="8" t="n"/>
      <x:c r="C2832" s="8" t="n"/>
      <x:c r="D2832" s="8" t="n"/>
    </x:row>
    <x:row r="2833">
      <x:c r="A2833" s="8" t="n"/>
      <x:c r="B2833" s="8" t="n"/>
      <x:c r="C2833" s="8" t="n"/>
      <x:c r="D2833" s="8" t="n"/>
    </x:row>
    <x:row r="2834">
      <x:c r="A2834" s="8" t="n"/>
      <x:c r="B2834" s="8" t="n"/>
      <x:c r="C2834" s="8" t="n"/>
      <x:c r="D2834" s="8" t="n"/>
    </x:row>
    <x:row r="2835">
      <x:c r="A2835" s="8" t="n"/>
      <x:c r="B2835" s="8" t="n"/>
      <x:c r="C2835" s="8" t="n"/>
      <x:c r="D2835" s="8" t="n"/>
    </x:row>
    <x:row r="2836">
      <x:c r="A2836" s="8" t="n"/>
      <x:c r="B2836" s="8" t="n"/>
      <x:c r="C2836" s="8" t="n"/>
      <x:c r="D2836" s="8" t="n"/>
    </x:row>
    <x:row r="2837">
      <x:c r="A2837" s="8" t="n"/>
      <x:c r="B2837" s="8" t="n"/>
      <x:c r="C2837" s="8" t="n"/>
      <x:c r="D2837" s="8" t="n"/>
    </x:row>
    <x:row r="2838">
      <x:c r="A2838" s="8" t="n"/>
      <x:c r="B2838" s="8" t="n"/>
      <x:c r="C2838" s="8" t="n"/>
      <x:c r="D2838" s="8" t="n"/>
    </x:row>
    <x:row r="2839">
      <x:c r="A2839" s="8" t="n"/>
      <x:c r="B2839" s="8" t="n"/>
      <x:c r="C2839" s="8" t="n"/>
      <x:c r="D2839" s="8" t="n"/>
    </x:row>
    <x:row r="2840">
      <x:c r="A2840" s="8" t="n"/>
      <x:c r="B2840" s="8" t="n"/>
      <x:c r="C2840" s="8" t="n"/>
      <x:c r="D2840" s="8" t="n"/>
    </x:row>
    <x:row r="2841">
      <x:c r="A2841" s="8" t="n"/>
      <x:c r="B2841" s="8" t="n"/>
      <x:c r="C2841" s="8" t="n"/>
      <x:c r="D2841" s="8" t="n"/>
    </x:row>
    <x:row r="2842">
      <x:c r="A2842" s="8" t="n"/>
      <x:c r="B2842" s="8" t="n"/>
      <x:c r="C2842" s="8" t="n"/>
      <x:c r="D2842" s="8" t="n"/>
    </x:row>
    <x:row r="2843">
      <x:c r="A2843" s="8" t="n"/>
      <x:c r="B2843" s="8" t="n"/>
      <x:c r="C2843" s="8" t="n"/>
      <x:c r="D2843" s="8" t="n"/>
    </x:row>
    <x:row r="2844">
      <x:c r="A2844" s="8" t="n"/>
      <x:c r="B2844" s="8" t="n"/>
      <x:c r="C2844" s="8" t="n"/>
      <x:c r="D2844" s="8" t="n"/>
    </x:row>
    <x:row r="2845">
      <x:c r="A2845" s="8" t="n"/>
      <x:c r="B2845" s="8" t="n"/>
      <x:c r="C2845" s="8" t="n"/>
      <x:c r="D2845" s="8" t="n"/>
    </x:row>
    <x:row r="2846">
      <x:c r="A2846" s="8" t="n"/>
      <x:c r="B2846" s="8" t="n"/>
      <x:c r="C2846" s="8" t="n"/>
      <x:c r="D2846" s="8" t="n"/>
    </x:row>
    <x:row r="2847">
      <x:c r="A2847" s="8" t="n"/>
      <x:c r="B2847" s="8" t="n"/>
      <x:c r="C2847" s="8" t="n"/>
      <x:c r="D2847" s="8" t="n"/>
    </x:row>
    <x:row r="2848">
      <x:c r="A2848" s="8" t="n"/>
      <x:c r="B2848" s="8" t="n"/>
      <x:c r="C2848" s="8" t="n"/>
      <x:c r="D2848" s="8" t="n"/>
    </x:row>
    <x:row r="2849">
      <x:c r="A2849" s="8" t="n"/>
      <x:c r="B2849" s="8" t="n"/>
      <x:c r="C2849" s="8" t="n"/>
      <x:c r="D2849" s="8" t="n"/>
    </x:row>
    <x:row r="2850">
      <x:c r="A2850" s="8" t="n"/>
      <x:c r="B2850" s="8" t="n"/>
      <x:c r="C2850" s="8" t="n"/>
      <x:c r="D2850" s="8" t="n"/>
    </x:row>
    <x:row r="2851">
      <x:c r="A2851" s="8" t="n"/>
      <x:c r="B2851" s="8" t="n"/>
      <x:c r="C2851" s="8" t="n"/>
      <x:c r="D2851" s="8" t="n"/>
    </x:row>
    <x:row r="2852">
      <x:c r="A2852" s="8" t="n"/>
      <x:c r="B2852" s="8" t="n"/>
      <x:c r="C2852" s="8" t="n"/>
      <x:c r="D2852" s="8" t="n"/>
    </x:row>
    <x:row r="2853">
      <x:c r="A2853" s="8" t="n"/>
      <x:c r="B2853" s="8" t="n"/>
      <x:c r="C2853" s="8" t="n"/>
      <x:c r="D2853" s="8" t="n"/>
    </x:row>
    <x:row r="2854">
      <x:c r="A2854" s="8" t="n"/>
      <x:c r="B2854" s="8" t="n"/>
      <x:c r="C2854" s="8" t="n"/>
      <x:c r="D2854" s="8" t="n"/>
    </x:row>
    <x:row r="2855">
      <x:c r="A2855" s="8" t="n"/>
      <x:c r="B2855" s="8" t="n"/>
      <x:c r="C2855" s="8" t="n"/>
      <x:c r="D2855" s="8" t="n"/>
    </x:row>
    <x:row r="2856">
      <x:c r="A2856" s="8" t="n"/>
      <x:c r="B2856" s="8" t="n"/>
      <x:c r="C2856" s="8" t="n"/>
      <x:c r="D2856" s="8" t="n"/>
    </x:row>
    <x:row r="2857">
      <x:c r="A2857" s="8" t="n"/>
      <x:c r="B2857" s="8" t="n"/>
      <x:c r="C2857" s="8" t="n"/>
      <x:c r="D2857" s="8" t="n"/>
    </x:row>
    <x:row r="2858">
      <x:c r="A2858" s="8" t="n"/>
      <x:c r="B2858" s="8" t="n"/>
      <x:c r="C2858" s="8" t="n"/>
      <x:c r="D2858" s="8" t="n"/>
    </x:row>
    <x:row r="2859">
      <x:c r="A2859" s="8" t="n"/>
      <x:c r="B2859" s="8" t="n"/>
      <x:c r="C2859" s="8" t="n"/>
      <x:c r="D2859" s="8" t="n"/>
    </x:row>
    <x:row r="2860">
      <x:c r="A2860" s="8" t="n"/>
      <x:c r="B2860" s="8" t="n"/>
      <x:c r="C2860" s="8" t="n"/>
      <x:c r="D2860" s="8" t="n"/>
    </x:row>
    <x:row r="2861">
      <x:c r="A2861" s="8" t="n"/>
      <x:c r="B2861" s="8" t="n"/>
      <x:c r="C2861" s="8" t="n"/>
      <x:c r="D2861" s="8" t="n"/>
    </x:row>
    <x:row r="2862">
      <x:c r="A2862" s="8" t="n"/>
      <x:c r="B2862" s="8" t="n"/>
      <x:c r="C2862" s="8" t="n"/>
      <x:c r="D2862" s="8" t="n"/>
    </x:row>
    <x:row r="2863">
      <x:c r="A2863" s="8" t="n"/>
      <x:c r="B2863" s="8" t="n"/>
      <x:c r="C2863" s="8" t="n"/>
      <x:c r="D2863" s="8" t="n"/>
    </x:row>
    <x:row r="2864">
      <x:c r="A2864" s="8" t="n"/>
      <x:c r="B2864" s="8" t="n"/>
      <x:c r="C2864" s="8" t="n"/>
      <x:c r="D2864" s="8" t="n"/>
    </x:row>
    <x:row r="2865">
      <x:c r="A2865" s="8" t="n"/>
      <x:c r="B2865" s="8" t="n"/>
      <x:c r="C2865" s="8" t="n"/>
      <x:c r="D2865" s="8" t="n"/>
    </x:row>
    <x:row r="2866">
      <x:c r="A2866" s="8" t="n"/>
      <x:c r="B2866" s="8" t="n"/>
      <x:c r="C2866" s="8" t="n"/>
      <x:c r="D2866" s="8" t="n"/>
    </x:row>
    <x:row r="2867">
      <x:c r="A2867" s="8" t="n"/>
      <x:c r="B2867" s="8" t="n"/>
      <x:c r="C2867" s="8" t="n"/>
      <x:c r="D2867" s="8" t="n"/>
    </x:row>
    <x:row r="2868">
      <x:c r="A2868" s="8" t="n"/>
      <x:c r="B2868" s="8" t="n"/>
      <x:c r="C2868" s="8" t="n"/>
      <x:c r="D2868" s="8" t="n"/>
    </x:row>
    <x:row r="2869">
      <x:c r="A2869" s="8" t="n"/>
      <x:c r="B2869" s="8" t="n"/>
      <x:c r="C2869" s="8" t="n"/>
      <x:c r="D2869" s="8" t="n"/>
    </x:row>
    <x:row r="2870">
      <x:c r="A2870" s="8" t="n"/>
      <x:c r="B2870" s="8" t="n"/>
      <x:c r="C2870" s="8" t="n"/>
      <x:c r="D2870" s="8" t="n"/>
    </x:row>
    <x:row r="2871">
      <x:c r="A2871" s="8" t="n"/>
      <x:c r="B2871" s="8" t="n"/>
      <x:c r="C2871" s="8" t="n"/>
      <x:c r="D2871" s="8" t="n"/>
    </x:row>
    <x:row r="2872">
      <x:c r="A2872" s="8" t="n"/>
      <x:c r="B2872" s="8" t="n"/>
      <x:c r="C2872" s="8" t="n"/>
      <x:c r="D2872" s="8" t="n"/>
    </x:row>
    <x:row r="2873">
      <x:c r="A2873" s="8" t="n"/>
      <x:c r="B2873" s="8" t="n"/>
      <x:c r="C2873" s="8" t="n"/>
      <x:c r="D2873" s="8" t="n"/>
    </x:row>
    <x:row r="2874">
      <x:c r="A2874" s="8" t="n"/>
      <x:c r="B2874" s="8" t="n"/>
      <x:c r="C2874" s="8" t="n"/>
      <x:c r="D2874" s="8" t="n"/>
    </x:row>
    <x:row r="2875">
      <x:c r="A2875" s="8" t="n"/>
      <x:c r="B2875" s="8" t="n"/>
      <x:c r="C2875" s="8" t="n"/>
      <x:c r="D2875" s="8" t="n"/>
    </x:row>
    <x:row r="2876">
      <x:c r="A2876" s="8" t="n"/>
      <x:c r="B2876" s="8" t="n"/>
      <x:c r="C2876" s="8" t="n"/>
      <x:c r="D2876" s="8" t="n"/>
    </x:row>
    <x:row r="2877">
      <x:c r="A2877" s="8" t="n"/>
      <x:c r="B2877" s="8" t="n"/>
      <x:c r="C2877" s="8" t="n"/>
      <x:c r="D2877" s="8" t="n"/>
    </x:row>
    <x:row r="2878">
      <x:c r="A2878" s="8" t="n"/>
      <x:c r="B2878" s="8" t="n"/>
      <x:c r="C2878" s="8" t="n"/>
      <x:c r="D2878" s="8" t="n"/>
    </x:row>
    <x:row r="2879">
      <x:c r="A2879" s="8" t="n"/>
      <x:c r="B2879" s="8" t="n"/>
      <x:c r="C2879" s="8" t="n"/>
      <x:c r="D2879" s="8" t="n"/>
    </x:row>
    <x:row r="2880">
      <x:c r="A2880" s="8" t="n"/>
      <x:c r="B2880" s="8" t="n"/>
      <x:c r="C2880" s="8" t="n"/>
      <x:c r="D2880" s="8" t="n"/>
    </x:row>
    <x:row r="2881">
      <x:c r="A2881" s="8" t="n"/>
      <x:c r="B2881" s="8" t="n"/>
      <x:c r="C2881" s="8" t="n"/>
      <x:c r="D2881" s="8" t="n"/>
    </x:row>
    <x:row r="2882">
      <x:c r="A2882" s="8" t="n"/>
      <x:c r="B2882" s="8" t="n"/>
      <x:c r="C2882" s="8" t="n"/>
      <x:c r="D2882" s="8" t="n"/>
    </x:row>
    <x:row r="2883">
      <x:c r="A2883" s="8" t="n"/>
      <x:c r="B2883" s="8" t="n"/>
      <x:c r="C2883" s="8" t="n"/>
      <x:c r="D2883" s="8" t="n"/>
    </x:row>
    <x:row r="2884">
      <x:c r="A2884" s="8" t="n"/>
      <x:c r="B2884" s="8" t="n"/>
      <x:c r="C2884" s="8" t="n"/>
      <x:c r="D2884" s="8" t="n"/>
    </x:row>
    <x:row r="2885">
      <x:c r="A2885" s="8" t="n"/>
      <x:c r="B2885" s="8" t="n"/>
      <x:c r="C2885" s="8" t="n"/>
      <x:c r="D2885" s="8" t="n"/>
    </x:row>
    <x:row r="2886">
      <x:c r="A2886" s="8" t="n"/>
      <x:c r="B2886" s="8" t="n"/>
      <x:c r="C2886" s="8" t="n"/>
      <x:c r="D2886" s="8" t="n"/>
    </x:row>
    <x:row r="2887">
      <x:c r="A2887" s="8" t="n"/>
      <x:c r="B2887" s="8" t="n"/>
      <x:c r="C2887" s="8" t="n"/>
      <x:c r="D2887" s="8" t="n"/>
    </x:row>
    <x:row r="2888">
      <x:c r="A2888" s="8" t="n"/>
      <x:c r="B2888" s="8" t="n"/>
      <x:c r="C2888" s="8" t="n"/>
      <x:c r="D2888" s="8" t="n"/>
    </x:row>
    <x:row r="2889">
      <x:c r="A2889" s="8" t="n"/>
      <x:c r="B2889" s="8" t="n"/>
      <x:c r="C2889" s="8" t="n"/>
      <x:c r="D2889" s="8" t="n"/>
    </x:row>
    <x:row r="2890">
      <x:c r="A2890" s="8" t="n"/>
      <x:c r="B2890" s="8" t="n"/>
      <x:c r="C2890" s="8" t="n"/>
      <x:c r="D2890" s="8" t="n"/>
    </x:row>
    <x:row r="2891">
      <x:c r="A2891" s="8" t="n"/>
      <x:c r="B2891" s="8" t="n"/>
      <x:c r="C2891" s="8" t="n"/>
      <x:c r="D2891" s="8" t="n"/>
    </x:row>
    <x:row r="2892">
      <x:c r="A2892" s="8" t="n"/>
      <x:c r="B2892" s="8" t="n"/>
      <x:c r="C2892" s="8" t="n"/>
      <x:c r="D2892" s="8" t="n"/>
    </x:row>
    <x:row r="2893">
      <x:c r="A2893" s="8" t="n"/>
      <x:c r="B2893" s="8" t="n"/>
      <x:c r="C2893" s="8" t="n"/>
      <x:c r="D2893" s="8" t="n"/>
    </x:row>
    <x:row r="2894">
      <x:c r="A2894" s="8" t="n"/>
      <x:c r="B2894" s="8" t="n"/>
      <x:c r="C2894" s="8" t="n"/>
      <x:c r="D2894" s="8" t="n"/>
    </x:row>
    <x:row r="2895">
      <x:c r="A2895" s="8" t="n"/>
      <x:c r="B2895" s="8" t="n"/>
      <x:c r="C2895" s="8" t="n"/>
      <x:c r="D2895" s="8" t="n"/>
    </x:row>
    <x:row r="2896">
      <x:c r="A2896" s="8" t="n"/>
      <x:c r="B2896" s="8" t="n"/>
      <x:c r="C2896" s="8" t="n"/>
      <x:c r="D2896" s="8" t="n"/>
    </x:row>
    <x:row r="2897">
      <x:c r="A2897" s="8" t="n"/>
      <x:c r="B2897" s="8" t="n"/>
      <x:c r="C2897" s="8" t="n"/>
      <x:c r="D2897" s="8" t="n"/>
    </x:row>
    <x:row r="2898">
      <x:c r="A2898" s="8" t="n"/>
      <x:c r="B2898" s="8" t="n"/>
      <x:c r="C2898" s="8" t="n"/>
      <x:c r="D2898" s="8" t="n"/>
    </x:row>
    <x:row r="2899">
      <x:c r="A2899" s="8" t="n"/>
      <x:c r="B2899" s="8" t="n"/>
      <x:c r="C2899" s="8" t="n"/>
      <x:c r="D2899" s="8" t="n"/>
    </x:row>
    <x:row r="2900">
      <x:c r="A2900" s="8" t="n"/>
      <x:c r="B2900" s="8" t="n"/>
      <x:c r="C2900" s="8" t="n"/>
      <x:c r="D2900" s="8" t="n"/>
    </x:row>
    <x:row r="2901">
      <x:c r="A2901" s="8" t="n"/>
      <x:c r="B2901" s="8" t="n"/>
      <x:c r="C2901" s="8" t="n"/>
      <x:c r="D2901" s="8" t="n"/>
    </x:row>
    <x:row r="2902">
      <x:c r="A2902" s="8" t="n"/>
      <x:c r="B2902" s="8" t="n"/>
      <x:c r="C2902" s="8" t="n"/>
      <x:c r="D2902" s="8" t="n"/>
    </x:row>
    <x:row r="2903">
      <x:c r="A2903" s="8" t="n"/>
      <x:c r="B2903" s="8" t="n"/>
      <x:c r="C2903" s="8" t="n"/>
      <x:c r="D2903" s="8" t="n"/>
    </x:row>
    <x:row r="2904">
      <x:c r="A2904" s="8" t="n"/>
      <x:c r="B2904" s="8" t="n"/>
      <x:c r="C2904" s="8" t="n"/>
      <x:c r="D2904" s="8" t="n"/>
    </x:row>
    <x:row r="2905">
      <x:c r="A2905" s="8" t="n"/>
      <x:c r="B2905" s="8" t="n"/>
      <x:c r="C2905" s="8" t="n"/>
      <x:c r="D2905" s="8" t="n"/>
    </x:row>
    <x:row r="2906">
      <x:c r="A2906" s="8" t="n"/>
      <x:c r="B2906" s="8" t="n"/>
      <x:c r="C2906" s="8" t="n"/>
      <x:c r="D2906" s="8" t="n"/>
    </x:row>
    <x:row r="2907">
      <x:c r="A2907" s="8" t="n"/>
      <x:c r="B2907" s="8" t="n"/>
      <x:c r="C2907" s="8" t="n"/>
      <x:c r="D2907" s="8" t="n"/>
    </x:row>
    <x:row r="2908">
      <x:c r="A2908" s="8" t="n"/>
      <x:c r="B2908" s="8" t="n"/>
      <x:c r="C2908" s="8" t="n"/>
      <x:c r="D2908" s="8" t="n"/>
    </x:row>
    <x:row r="2909">
      <x:c r="A2909" s="8" t="n"/>
      <x:c r="B2909" s="8" t="n"/>
      <x:c r="C2909" s="8" t="n"/>
      <x:c r="D2909" s="8" t="n"/>
    </x:row>
    <x:row r="2910">
      <x:c r="A2910" s="8" t="n"/>
      <x:c r="B2910" s="8" t="n"/>
      <x:c r="C2910" s="8" t="n"/>
      <x:c r="D2910" s="8" t="n"/>
    </x:row>
    <x:row r="2911">
      <x:c r="A2911" s="8" t="n"/>
      <x:c r="B2911" s="8" t="n"/>
      <x:c r="C2911" s="8" t="n"/>
      <x:c r="D2911" s="8" t="n"/>
    </x:row>
    <x:row r="2912">
      <x:c r="A2912" s="8" t="n"/>
      <x:c r="B2912" s="8" t="n"/>
      <x:c r="C2912" s="8" t="n"/>
      <x:c r="D2912" s="8" t="n"/>
    </x:row>
    <x:row r="2913">
      <x:c r="A2913" s="8" t="n"/>
      <x:c r="B2913" s="8" t="n"/>
      <x:c r="C2913" s="8" t="n"/>
      <x:c r="D2913" s="8" t="n"/>
    </x:row>
    <x:row r="2914">
      <x:c r="A2914" s="8" t="n"/>
      <x:c r="B2914" s="8" t="n"/>
      <x:c r="C2914" s="8" t="n"/>
      <x:c r="D2914" s="8" t="n"/>
    </x:row>
    <x:row r="2915">
      <x:c r="A2915" s="8" t="n"/>
      <x:c r="B2915" s="8" t="n"/>
      <x:c r="C2915" s="8" t="n"/>
      <x:c r="D2915" s="8" t="n"/>
    </x:row>
    <x:row r="2916">
      <x:c r="A2916" s="8" t="n"/>
      <x:c r="B2916" s="8" t="n"/>
      <x:c r="C2916" s="8" t="n"/>
      <x:c r="D2916" s="8" t="n"/>
    </x:row>
    <x:row r="2917">
      <x:c r="A2917" s="8" t="n"/>
      <x:c r="B2917" s="8" t="n"/>
      <x:c r="C2917" s="8" t="n"/>
      <x:c r="D2917" s="8" t="n"/>
    </x:row>
    <x:row r="2918">
      <x:c r="A2918" s="8" t="n"/>
      <x:c r="B2918" s="8" t="n"/>
      <x:c r="C2918" s="8" t="n"/>
      <x:c r="D2918" s="8" t="n"/>
    </x:row>
    <x:row r="2919">
      <x:c r="A2919" s="8" t="n"/>
      <x:c r="B2919" s="8" t="n"/>
      <x:c r="C2919" s="8" t="n"/>
      <x:c r="D2919" s="8" t="n"/>
    </x:row>
    <x:row r="2920">
      <x:c r="A2920" s="8" t="n"/>
      <x:c r="B2920" s="8" t="n"/>
      <x:c r="C2920" s="8" t="n"/>
      <x:c r="D2920" s="8" t="n"/>
    </x:row>
    <x:row r="2921">
      <x:c r="A2921" s="8" t="n"/>
      <x:c r="B2921" s="8" t="n"/>
      <x:c r="C2921" s="8" t="n"/>
      <x:c r="D2921" s="8" t="n"/>
    </x:row>
    <x:row r="2922">
      <x:c r="A2922" s="8" t="n"/>
      <x:c r="B2922" s="8" t="n"/>
      <x:c r="C2922" s="8" t="n"/>
      <x:c r="D2922" s="8" t="n"/>
    </x:row>
    <x:row r="2923">
      <x:c r="A2923" s="8" t="n"/>
      <x:c r="B2923" s="8" t="n"/>
      <x:c r="C2923" s="8" t="n"/>
      <x:c r="D2923" s="8" t="n"/>
    </x:row>
    <x:row r="2924">
      <x:c r="A2924" s="8" t="n"/>
      <x:c r="B2924" s="8" t="n"/>
      <x:c r="C2924" s="8" t="n"/>
      <x:c r="D2924" s="8" t="n"/>
    </x:row>
    <x:row r="2925">
      <x:c r="A2925" s="8" t="n"/>
      <x:c r="B2925" s="8" t="n"/>
      <x:c r="C2925" s="8" t="n"/>
      <x:c r="D2925" s="8" t="n"/>
    </x:row>
    <x:row r="2926">
      <x:c r="A2926" s="8" t="n"/>
      <x:c r="B2926" s="8" t="n"/>
      <x:c r="C2926" s="8" t="n"/>
      <x:c r="D2926" s="8" t="n"/>
    </x:row>
    <x:row r="2927">
      <x:c r="A2927" s="8" t="n"/>
      <x:c r="B2927" s="8" t="n"/>
      <x:c r="C2927" s="8" t="n"/>
      <x:c r="D2927" s="8" t="n"/>
    </x:row>
    <x:row r="2928">
      <x:c r="A2928" s="8" t="n"/>
      <x:c r="B2928" s="8" t="n"/>
      <x:c r="C2928" s="8" t="n"/>
      <x:c r="D2928" s="8" t="n"/>
    </x:row>
    <x:row r="2929">
      <x:c r="A2929" s="8" t="n"/>
      <x:c r="B2929" s="8" t="n"/>
      <x:c r="C2929" s="8" t="n"/>
      <x:c r="D2929" s="8" t="n"/>
    </x:row>
    <x:row r="2930">
      <x:c r="A2930" s="8" t="n"/>
      <x:c r="B2930" s="8" t="n"/>
      <x:c r="C2930" s="8" t="n"/>
      <x:c r="D2930" s="8" t="n"/>
    </x:row>
    <x:row r="2931">
      <x:c r="A2931" s="8" t="n"/>
      <x:c r="B2931" s="8" t="n"/>
      <x:c r="C2931" s="8" t="n"/>
      <x:c r="D2931" s="8" t="n"/>
    </x:row>
    <x:row r="2932">
      <x:c r="A2932" s="8" t="n"/>
      <x:c r="B2932" s="8" t="n"/>
      <x:c r="C2932" s="8" t="n"/>
      <x:c r="D2932" s="8" t="n"/>
    </x:row>
    <x:row r="2933">
      <x:c r="A2933" s="8" t="n"/>
      <x:c r="B2933" s="8" t="n"/>
      <x:c r="C2933" s="8" t="n"/>
      <x:c r="D2933" s="8" t="n"/>
    </x:row>
    <x:row r="2934">
      <x:c r="A2934" s="8" t="n"/>
      <x:c r="B2934" s="8" t="n"/>
      <x:c r="C2934" s="8" t="n"/>
      <x:c r="D2934" s="8" t="n"/>
    </x:row>
    <x:row r="2935">
      <x:c r="A2935" s="8" t="n"/>
      <x:c r="B2935" s="8" t="n"/>
      <x:c r="C2935" s="8" t="n"/>
      <x:c r="D2935" s="8" t="n"/>
    </x:row>
    <x:row r="2936">
      <x:c r="A2936" s="8" t="n"/>
      <x:c r="B2936" s="8" t="n"/>
      <x:c r="C2936" s="8" t="n"/>
      <x:c r="D2936" s="8" t="n"/>
    </x:row>
    <x:row r="2937">
      <x:c r="A2937" s="8" t="n"/>
      <x:c r="B2937" s="8" t="n"/>
      <x:c r="C2937" s="8" t="n"/>
      <x:c r="D2937" s="8" t="n"/>
    </x:row>
    <x:row r="2938">
      <x:c r="A2938" s="8" t="n"/>
      <x:c r="B2938" s="8" t="n"/>
      <x:c r="C2938" s="8" t="n"/>
      <x:c r="D2938" s="8" t="n"/>
    </x:row>
    <x:row r="2939">
      <x:c r="A2939" s="8" t="n"/>
      <x:c r="B2939" s="8" t="n"/>
      <x:c r="C2939" s="8" t="n"/>
      <x:c r="D2939" s="8" t="n"/>
    </x:row>
    <x:row r="2940">
      <x:c r="A2940" s="8" t="n"/>
      <x:c r="B2940" s="8" t="n"/>
      <x:c r="C2940" s="8" t="n"/>
      <x:c r="D2940" s="8" t="n"/>
    </x:row>
    <x:row r="2941">
      <x:c r="A2941" s="8" t="n"/>
      <x:c r="B2941" s="8" t="n"/>
      <x:c r="C2941" s="8" t="n"/>
      <x:c r="D2941" s="8" t="n"/>
    </x:row>
    <x:row r="2942">
      <x:c r="A2942" s="8" t="n"/>
      <x:c r="B2942" s="8" t="n"/>
      <x:c r="C2942" s="8" t="n"/>
      <x:c r="D2942" s="8" t="n"/>
    </x:row>
    <x:row r="2943">
      <x:c r="A2943" s="8" t="n"/>
      <x:c r="B2943" s="8" t="n"/>
      <x:c r="C2943" s="8" t="n"/>
      <x:c r="D2943" s="8" t="n"/>
    </x:row>
    <x:row r="2944">
      <x:c r="A2944" s="8" t="n"/>
      <x:c r="B2944" s="8" t="n"/>
      <x:c r="C2944" s="8" t="n"/>
      <x:c r="D2944" s="8" t="n"/>
    </x:row>
    <x:row r="2945">
      <x:c r="A2945" s="8" t="n"/>
      <x:c r="B2945" s="8" t="n"/>
      <x:c r="C2945" s="8" t="n"/>
      <x:c r="D2945" s="8" t="n"/>
    </x:row>
    <x:row r="2946">
      <x:c r="A2946" s="8" t="n"/>
      <x:c r="B2946" s="8" t="n"/>
      <x:c r="C2946" s="8" t="n"/>
      <x:c r="D2946" s="8" t="n"/>
    </x:row>
    <x:row r="2947">
      <x:c r="A2947" s="8" t="n"/>
      <x:c r="B2947" s="8" t="n"/>
      <x:c r="C2947" s="8" t="n"/>
      <x:c r="D2947" s="8" t="n"/>
    </x:row>
    <x:row r="2948">
      <x:c r="A2948" s="8" t="n"/>
      <x:c r="B2948" s="8" t="n"/>
      <x:c r="C2948" s="8" t="n"/>
      <x:c r="D2948" s="8" t="n"/>
    </x:row>
    <x:row r="2949">
      <x:c r="A2949" s="8" t="n"/>
      <x:c r="B2949" s="8" t="n"/>
      <x:c r="C2949" s="8" t="n"/>
      <x:c r="D2949" s="8" t="n"/>
    </x:row>
    <x:row r="2950">
      <x:c r="A2950" s="8" t="n"/>
      <x:c r="B2950" s="8" t="n"/>
      <x:c r="C2950" s="8" t="n"/>
      <x:c r="D2950" s="8" t="n"/>
    </x:row>
    <x:row r="2951">
      <x:c r="A2951" s="8" t="n"/>
      <x:c r="B2951" s="8" t="n"/>
      <x:c r="C2951" s="8" t="n"/>
      <x:c r="D2951" s="8" t="n"/>
    </x:row>
    <x:row r="2952">
      <x:c r="A2952" s="8" t="n"/>
      <x:c r="B2952" s="8" t="n"/>
      <x:c r="C2952" s="8" t="n"/>
      <x:c r="D2952" s="8" t="n"/>
    </x:row>
    <x:row r="2953">
      <x:c r="A2953" s="8" t="n"/>
      <x:c r="B2953" s="8" t="n"/>
      <x:c r="C2953" s="8" t="n"/>
      <x:c r="D2953" s="8" t="n"/>
    </x:row>
    <x:row r="2954">
      <x:c r="A2954" s="8" t="n"/>
      <x:c r="B2954" s="8" t="n"/>
      <x:c r="C2954" s="8" t="n"/>
      <x:c r="D2954" s="8" t="n"/>
    </x:row>
    <x:row r="2955">
      <x:c r="A2955" s="8" t="n"/>
      <x:c r="B2955" s="8" t="n"/>
      <x:c r="C2955" s="8" t="n"/>
      <x:c r="D2955" s="8" t="n"/>
    </x:row>
    <x:row r="2956">
      <x:c r="A2956" s="8" t="n"/>
      <x:c r="B2956" s="8" t="n"/>
      <x:c r="C2956" s="8" t="n"/>
      <x:c r="D2956" s="8" t="n"/>
    </x:row>
    <x:row r="2957">
      <x:c r="A2957" s="8" t="n"/>
      <x:c r="B2957" s="8" t="n"/>
      <x:c r="C2957" s="8" t="n"/>
      <x:c r="D2957" s="8" t="n"/>
    </x:row>
    <x:row r="2958">
      <x:c r="A2958" s="8" t="n"/>
      <x:c r="B2958" s="8" t="n"/>
      <x:c r="C2958" s="8" t="n"/>
      <x:c r="D2958" s="8" t="n"/>
    </x:row>
    <x:row r="2959">
      <x:c r="A2959" s="8" t="n"/>
      <x:c r="B2959" s="8" t="n"/>
      <x:c r="C2959" s="8" t="n"/>
      <x:c r="D2959" s="8" t="n"/>
    </x:row>
    <x:row r="2960">
      <x:c r="A2960" s="8" t="n"/>
      <x:c r="B2960" s="8" t="n"/>
      <x:c r="C2960" s="8" t="n"/>
      <x:c r="D2960" s="8" t="n"/>
    </x:row>
    <x:row r="2961">
      <x:c r="A2961" s="8" t="n"/>
      <x:c r="B2961" s="8" t="n"/>
      <x:c r="C2961" s="8" t="n"/>
      <x:c r="D2961" s="8" t="n"/>
    </x:row>
    <x:row r="2962">
      <x:c r="A2962" s="8" t="n"/>
      <x:c r="B2962" s="8" t="n"/>
      <x:c r="C2962" s="8" t="n"/>
      <x:c r="D2962" s="8" t="n"/>
    </x:row>
    <x:row r="2963">
      <x:c r="A2963" s="8" t="n"/>
      <x:c r="B2963" s="8" t="n"/>
      <x:c r="C2963" s="8" t="n"/>
      <x:c r="D2963" s="8" t="n"/>
    </x:row>
    <x:row r="2964">
      <x:c r="A2964" s="8" t="n"/>
      <x:c r="B2964" s="8" t="n"/>
      <x:c r="C2964" s="8" t="n"/>
      <x:c r="D2964" s="8" t="n"/>
    </x:row>
    <x:row r="2965">
      <x:c r="A2965" s="8" t="n"/>
      <x:c r="B2965" s="8" t="n"/>
      <x:c r="C2965" s="8" t="n"/>
      <x:c r="D2965" s="8" t="n"/>
    </x:row>
    <x:row r="2966">
      <x:c r="A2966" s="8" t="n"/>
      <x:c r="B2966" s="8" t="n"/>
      <x:c r="C2966" s="8" t="n"/>
      <x:c r="D2966" s="8" t="n"/>
    </x:row>
    <x:row r="2967">
      <x:c r="A2967" s="8" t="n"/>
      <x:c r="B2967" s="8" t="n"/>
      <x:c r="C2967" s="8" t="n"/>
      <x:c r="D2967" s="8" t="n"/>
    </x:row>
    <x:row r="2968">
      <x:c r="A2968" s="8" t="n"/>
      <x:c r="B2968" s="8" t="n"/>
      <x:c r="C2968" s="8" t="n"/>
      <x:c r="D2968" s="8" t="n"/>
    </x:row>
    <x:row r="2969">
      <x:c r="A2969" s="8" t="n"/>
      <x:c r="B2969" s="8" t="n"/>
      <x:c r="C2969" s="8" t="n"/>
      <x:c r="D2969" s="8" t="n"/>
    </x:row>
    <x:row r="2970">
      <x:c r="A2970" s="8" t="n"/>
      <x:c r="B2970" s="8" t="n"/>
      <x:c r="C2970" s="8" t="n"/>
      <x:c r="D2970" s="8" t="n"/>
    </x:row>
    <x:row r="2971">
      <x:c r="A2971" s="8" t="n"/>
      <x:c r="B2971" s="8" t="n"/>
      <x:c r="C2971" s="8" t="n"/>
      <x:c r="D2971" s="8" t="n"/>
    </x:row>
    <x:row r="2972">
      <x:c r="A2972" s="8" t="n"/>
      <x:c r="B2972" s="8" t="n"/>
      <x:c r="C2972" s="8" t="n"/>
      <x:c r="D2972" s="8" t="n"/>
    </x:row>
    <x:row r="2973">
      <x:c r="A2973" s="8" t="n"/>
      <x:c r="B2973" s="8" t="n"/>
      <x:c r="C2973" s="8" t="n"/>
      <x:c r="D2973" s="8" t="n"/>
    </x:row>
    <x:row r="2974">
      <x:c r="A2974" s="8" t="n"/>
      <x:c r="B2974" s="8" t="n"/>
      <x:c r="C2974" s="8" t="n"/>
      <x:c r="D2974" s="8" t="n"/>
    </x:row>
    <x:row r="2975">
      <x:c r="A2975" s="8" t="n"/>
      <x:c r="B2975" s="8" t="n"/>
      <x:c r="C2975" s="8" t="n"/>
      <x:c r="D2975" s="8" t="n"/>
    </x:row>
    <x:row r="2976">
      <x:c r="A2976" s="8" t="n"/>
      <x:c r="B2976" s="8" t="n"/>
      <x:c r="C2976" s="8" t="n"/>
      <x:c r="D2976" s="8" t="n"/>
    </x:row>
    <x:row r="2977">
      <x:c r="A2977" s="8" t="n"/>
      <x:c r="B2977" s="8" t="n"/>
      <x:c r="C2977" s="8" t="n"/>
      <x:c r="D2977" s="8" t="n"/>
    </x:row>
    <x:row r="2978">
      <x:c r="A2978" s="8" t="n"/>
      <x:c r="B2978" s="8" t="n"/>
      <x:c r="C2978" s="8" t="n"/>
      <x:c r="D2978" s="8" t="n"/>
    </x:row>
    <x:row r="2979">
      <x:c r="A2979" s="8" t="n"/>
      <x:c r="B2979" s="8" t="n"/>
      <x:c r="C2979" s="8" t="n"/>
      <x:c r="D2979" s="8" t="n"/>
    </x:row>
    <x:row r="2980">
      <x:c r="A2980" s="8" t="n"/>
      <x:c r="B2980" s="8" t="n"/>
      <x:c r="C2980" s="8" t="n"/>
      <x:c r="D2980" s="8" t="n"/>
    </x:row>
    <x:row r="2981">
      <x:c r="A2981" s="8" t="n"/>
      <x:c r="B2981" s="8" t="n"/>
      <x:c r="C2981" s="8" t="n"/>
      <x:c r="D2981" s="8" t="n"/>
    </x:row>
    <x:row r="2982">
      <x:c r="A2982" s="8" t="n"/>
      <x:c r="B2982" s="8" t="n"/>
      <x:c r="C2982" s="8" t="n"/>
      <x:c r="D2982" s="8" t="n"/>
    </x:row>
    <x:row r="2983">
      <x:c r="A2983" s="8" t="n"/>
      <x:c r="B2983" s="8" t="n"/>
      <x:c r="C2983" s="8" t="n"/>
      <x:c r="D2983" s="8" t="n"/>
    </x:row>
    <x:row r="2984">
      <x:c r="A2984" s="8" t="n"/>
      <x:c r="B2984" s="8" t="n"/>
      <x:c r="C2984" s="8" t="n"/>
      <x:c r="D2984" s="8" t="n"/>
    </x:row>
    <x:row r="2985">
      <x:c r="A2985" s="8" t="n"/>
      <x:c r="B2985" s="8" t="n"/>
      <x:c r="C2985" s="8" t="n"/>
      <x:c r="D2985" s="8" t="n"/>
    </x:row>
    <x:row r="2986">
      <x:c r="A2986" s="8" t="n"/>
      <x:c r="B2986" s="8" t="n"/>
      <x:c r="C2986" s="8" t="n"/>
      <x:c r="D2986" s="8" t="n"/>
    </x:row>
    <x:row r="2987">
      <x:c r="A2987" s="8" t="n"/>
      <x:c r="B2987" s="8" t="n"/>
      <x:c r="C2987" s="8" t="n"/>
      <x:c r="D2987" s="8" t="n"/>
    </x:row>
    <x:row r="2988">
      <x:c r="A2988" s="8" t="n"/>
      <x:c r="B2988" s="8" t="n"/>
      <x:c r="C2988" s="8" t="n"/>
      <x:c r="D2988" s="8" t="n"/>
    </x:row>
    <x:row r="2989">
      <x:c r="A2989" s="8" t="n"/>
      <x:c r="B2989" s="8" t="n"/>
      <x:c r="C2989" s="8" t="n"/>
      <x:c r="D2989" s="8" t="n"/>
    </x:row>
    <x:row r="2990">
      <x:c r="A2990" s="8" t="n"/>
      <x:c r="B2990" s="8" t="n"/>
      <x:c r="C2990" s="8" t="n"/>
      <x:c r="D2990" s="8" t="n"/>
    </x:row>
    <x:row r="2991">
      <x:c r="A2991" s="8" t="n"/>
      <x:c r="B2991" s="8" t="n"/>
      <x:c r="C2991" s="8" t="n"/>
      <x:c r="D2991" s="8" t="n"/>
    </x:row>
    <x:row r="2992">
      <x:c r="A2992" s="8" t="n"/>
      <x:c r="B2992" s="8" t="n"/>
      <x:c r="C2992" s="8" t="n"/>
      <x:c r="D2992" s="8" t="n"/>
    </x:row>
    <x:row r="2993">
      <x:c r="A2993" s="8" t="n"/>
      <x:c r="B2993" s="8" t="n"/>
      <x:c r="C2993" s="8" t="n"/>
      <x:c r="D2993" s="8" t="n"/>
    </x:row>
    <x:row r="2994">
      <x:c r="A2994" s="8" t="n"/>
      <x:c r="B2994" s="8" t="n"/>
      <x:c r="C2994" s="8" t="n"/>
      <x:c r="D2994" s="8" t="n"/>
    </x:row>
    <x:row r="2995">
      <x:c r="A2995" s="8" t="n"/>
      <x:c r="B2995" s="8" t="n"/>
      <x:c r="C2995" s="8" t="n"/>
      <x:c r="D2995" s="8" t="n"/>
    </x:row>
    <x:row r="2996">
      <x:c r="A2996" s="8" t="n"/>
      <x:c r="B2996" s="8" t="n"/>
      <x:c r="C2996" s="8" t="n"/>
      <x:c r="D2996" s="8" t="n"/>
    </x:row>
    <x:row r="2997">
      <x:c r="A2997" s="8" t="n"/>
      <x:c r="B2997" s="8" t="n"/>
      <x:c r="C2997" s="8" t="n"/>
      <x:c r="D2997" s="8" t="n"/>
    </x:row>
    <x:row r="2998">
      <x:c r="A2998" s="8" t="n"/>
      <x:c r="B2998" s="8" t="n"/>
      <x:c r="C2998" s="8" t="n"/>
      <x:c r="D2998" s="8" t="n"/>
    </x:row>
    <x:row r="2999">
      <x:c r="A2999" s="8" t="n"/>
      <x:c r="B2999" s="8" t="n"/>
      <x:c r="C2999" s="8" t="n"/>
      <x:c r="D2999" s="8" t="n"/>
    </x:row>
    <x:row r="3000">
      <x:c r="A3000" s="8" t="n"/>
      <x:c r="B3000" s="8" t="n"/>
      <x:c r="C3000" s="8" t="n"/>
      <x:c r="D3000" s="8" t="n"/>
    </x:row>
    <x:row r="3001">
      <x:c r="A3001" s="8" t="n"/>
      <x:c r="B3001" s="8" t="n"/>
      <x:c r="C3001" s="8" t="n"/>
      <x:c r="D3001" s="8" t="n"/>
    </x:row>
    <x:row r="3002">
      <x:c r="A3002" s="8" t="n"/>
      <x:c r="B3002" s="8" t="n"/>
      <x:c r="C3002" s="8" t="n"/>
      <x:c r="D3002" s="8" t="n"/>
    </x:row>
    <x:row r="3003">
      <x:c r="A3003" s="8" t="n"/>
      <x:c r="B3003" s="8" t="n"/>
      <x:c r="C3003" s="8" t="n"/>
      <x:c r="D3003" s="8" t="n"/>
    </x:row>
    <x:row r="3004">
      <x:c r="A3004" s="8" t="n"/>
      <x:c r="B3004" s="8" t="n"/>
      <x:c r="C3004" s="8" t="n"/>
      <x:c r="D3004" s="8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customWidth="1"/>
    <x:col min="2" max="2" width="22" customWidth="1"/>
    <x:col min="3" max="3" width="55" customWidth="1"/>
  </x:cols>
  <x:sheetData>
    <x:row r="1">
      <x:c r="A1" s="4" t="inlineStr">
        <x:is>
          <x:t xml:space="preserve">Contrôles qualité (QC)</x:t>
        </x:is>
      </x:c>
    </x:row>
    <x:row r="2">
      <x:c r="A2" s="3" t="inlineStr">
        <x:is>
          <x:t xml:space="preserve">Les valeurs &gt; 0 indiquent un problème potentiel. Contrôles basés sur 10 à 14.</x:t>
        </x:is>
      </x:c>
    </x:row>
    <x:row r="5" ht="22" customHeight="1">
      <x:c r="A5" s="9" t="inlineStr">
        <x:is>
          <x:t xml:space="preserve">Indicateur QC</x:t>
        </x:is>
      </x:c>
      <x:c r="B5" s="9" t="inlineStr">
        <x:is>
          <x:t xml:space="preserve">Valeur</x:t>
        </x:is>
      </x:c>
      <x:c r="C5" s="9" t="inlineStr">
        <x:is>
          <x:t xml:space="preserve">Interprétation</x:t>
        </x:is>
      </x:c>
    </x:row>
    <x:row r="6">
      <x:c r="A6" s="10" t="inlineStr">
        <x:is>
          <x:t xml:space="preserve">Nombre de soumissions (non vides)</x:t>
        </x:is>
      </x:c>
      <x:c r="B6" s="10">
        <x:f>COUNTA(10_Repondants!A5:A604)</x:f>
        <x:v>0</x:v>
      </x:c>
      <x:c r="C6" s="10" t="inlineStr">
        <x:is>
          <x:t xml:space="preserve">Taille de l'échantillon</x:t>
        </x:is>
      </x:c>
    </x:row>
    <x:row r="7">
      <x:c r="A7" s="10" t="inlineStr">
        <x:is>
          <x:t xml:space="preserve">Lignes avec submission_id dupliqué</x:t>
        </x:is>
      </x:c>
      <x:c r="B7" s="10">
        <x:f>SUM(10_Repondants!R5:R604)</x:f>
        <x:v>0</x:v>
      </x:c>
      <x:c r="C7" s="10" t="inlineStr">
        <x:is>
          <x:t xml:space="preserve">&gt;0 : vérifier doublons</x:t>
        </x:is>
      </x:c>
    </x:row>
    <x:row r="8">
      <x:c r="A8" s="10" t="inlineStr">
        <x:is>
          <x:t xml:space="preserve">Soumissions avec TOP 5 incomplet</x:t>
        </x:is>
      </x:c>
      <x:c r="B8" s="10">
        <x:f>SUM(10_Repondants!Q5:Q604)</x:f>
        <x:v>0</x:v>
      </x:c>
      <x:c r="C8" s="10" t="inlineStr">
        <x:is>
          <x:t xml:space="preserve">&gt;0 : TOP 5 != 5 domaines</x:t>
        </x:is>
      </x:c>
    </x:row>
    <x:row r="9">
      <x:c r="A9" s="10" t="inlineStr">
        <x:is>
          <x:t xml:space="preserve">Lignes de notation avec score invalide / incomplet</x:t>
        </x:is>
      </x:c>
      <x:c r="B9" s="10">
        <x:f>SUM(11_StatScores!J5:J2004)</x:f>
        <x:v>0</x:v>
      </x:c>
      <x:c r="C9" s="10" t="inlineStr">
        <x:is>
          <x:t xml:space="preserve">&gt;0 : score manquant ou hors 0..3</x:t>
        </x:is>
      </x:c>
    </x:row>
    <x:row r="10">
      <x:c r="A10" s="10" t="inlineStr">
        <x:is>
          <x:t xml:space="preserve">Lignes de notation sans composite calculé</x:t>
        </x:is>
      </x:c>
      <x:c r="B10" s="10">
        <x:f>SUM(11_StatScores!K5:K2004)</x:f>
        <x:v>0</x:v>
      </x:c>
      <x:c r="C10" s="10" t="inlineStr">
        <x:is>
          <x:t xml:space="preserve">&gt;0 : composite vide</x:t>
        </x:is>
      </x:c>
    </x:row>
    <x:row r="11">
      <x:c r="A11" s="10" t="inlineStr">
        <x:is>
          <x:t xml:space="preserve">Lignes de notation avec doublon (soumission_id + stat_code)</x:t>
        </x:is>
      </x:c>
      <x:c r="B11" s="10">
        <x:f>SUM(11_StatScores!L5:L2004)</x:f>
        <x:v>0</x:v>
      </x:c>
      <x:c r="C11" s="10" t="inlineStr">
        <x:is>
          <x:t xml:space="preserve">&gt;0 : même stat répétée dans une soumission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55" customWidth="1"/>
    <x:col min="3" max="3" width="12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4" customWidth="1"/>
  </x:cols>
  <x:sheetData>
    <x:row r="1">
      <x:c r="A1" s="4" t="inlineStr">
        <x:is>
          <x:t xml:space="preserve">Analyse des domaines (TOP 5)</x:t>
        </x:is>
      </x:c>
    </x:row>
    <x:row r="2">
      <x:c r="A2" s="3" t="inlineStr">
        <x:is>
          <x:t xml:space="preserve">Basé sur top_domain_1..5. Points : Rang1=5 ... Rang5=1.</x:t>
        </x:is>
      </x:c>
    </x:row>
    <x:row r="5" ht="22" customHeight="1">
      <x:c r="A5" s="9" t="inlineStr">
        <x:is>
          <x:t xml:space="preserve">Domain_code</x:t>
        </x:is>
      </x:c>
      <x:c r="B5" s="9" t="inlineStr">
        <x:is>
          <x:t xml:space="preserve">Domaine</x:t>
        </x:is>
      </x:c>
      <x:c r="C5" s="9" t="inlineStr">
        <x:is>
          <x:t xml:space="preserve">Nb TOP5</x:t>
        </x:is>
      </x:c>
      <x:c r="D5" s="9" t="inlineStr">
        <x:is>
          <x:t xml:space="preserve">Nb Rang1</x:t>
        </x:is>
      </x:c>
      <x:c r="E5" s="9" t="inlineStr">
        <x:is>
          <x:t xml:space="preserve">Nb Rang2</x:t>
        </x:is>
      </x:c>
      <x:c r="F5" s="9" t="inlineStr">
        <x:is>
          <x:t xml:space="preserve">Nb Rang3</x:t>
        </x:is>
      </x:c>
      <x:c r="G5" s="9" t="inlineStr">
        <x:is>
          <x:t xml:space="preserve">Nb Rang4</x:t>
        </x:is>
      </x:c>
      <x:c r="H5" s="9" t="inlineStr">
        <x:is>
          <x:t xml:space="preserve">Nb Rang5</x:t>
        </x:is>
      </x:c>
      <x:c r="I5" s="9" t="inlineStr">
        <x:is>
          <x:t xml:space="preserve">Points (5..1)</x:t>
        </x:is>
      </x:c>
    </x:row>
    <x:row r="6">
      <x:c r="A6" s="10" t="inlineStr">
        <x:is>
          <x:t xml:space="preserve">D01</x:t>
        </x:is>
      </x:c>
      <x:c r="B6" s="10" t="inlineStr">
        <x:is>
          <x:t xml:space="preserve">Croissance Économique, Transformation Structurelle et Commerce</x:t>
        </x:is>
      </x:c>
      <x:c r="C6" s="10">
        <x:f>COUNTIF(10_Repondants!J5:J604,A6)+COUNTIF(10_Repondants!K5:K604,A6)+COUNTIF(10_Repondants!L5:L604,A6)+COUNTIF(10_Repondants!M5:M604,A6)+COUNTIF(10_Repondants!N5:N604,A6)</x:f>
        <x:v>0</x:v>
      </x:c>
      <x:c r="D6" s="10">
        <x:f>COUNTIF(10_Repondants!J5:J604,A6)</x:f>
        <x:v>0</x:v>
      </x:c>
      <x:c r="E6" s="10">
        <x:f>COUNTIF(10_Repondants!K5:K604,A6)</x:f>
        <x:v>0</x:v>
      </x:c>
      <x:c r="F6" s="10">
        <x:f>COUNTIF(10_Repondants!L5:L604,A6)</x:f>
        <x:v>0</x:v>
      </x:c>
      <x:c r="G6" s="10">
        <x:f>COUNTIF(10_Repondants!M5:M604,A6)</x:f>
        <x:v>0</x:v>
      </x:c>
      <x:c r="H6" s="10">
        <x:f>COUNTIF(10_Repondants!N5:N604,A6)</x:f>
        <x:v>0</x:v>
      </x:c>
      <x:c r="I6" s="10">
        <x:f>5*D6+4*E6+3*F6+2*G6+1*H6</x:f>
        <x:v>0</x:v>
      </x:c>
    </x:row>
    <x:row r="7">
      <x:c r="A7" s="10" t="inlineStr">
        <x:is>
          <x:t xml:space="preserve">D02</x:t>
        </x:is>
      </x:c>
      <x:c r="B7" s="10" t="inlineStr">
        <x:is>
          <x:t xml:space="preserve">Emploi, Travail Décent et Protection Sociale</x:t>
        </x:is>
      </x:c>
      <x:c r="C7" s="10">
        <x:f>COUNTIF(10_Repondants!J5:J604,A7)+COUNTIF(10_Repondants!K5:K604,A7)+COUNTIF(10_Repondants!L5:L604,A7)+COUNTIF(10_Repondants!M5:M604,A7)+COUNTIF(10_Repondants!N5:N604,A7)</x:f>
        <x:v>0</x:v>
      </x:c>
      <x:c r="D7" s="10">
        <x:f>COUNTIF(10_Repondants!J5:J604,A7)</x:f>
        <x:v>0</x:v>
      </x:c>
      <x:c r="E7" s="10">
        <x:f>COUNTIF(10_Repondants!K5:K604,A7)</x:f>
        <x:v>0</x:v>
      </x:c>
      <x:c r="F7" s="10">
        <x:f>COUNTIF(10_Repondants!L5:L604,A7)</x:f>
        <x:v>0</x:v>
      </x:c>
      <x:c r="G7" s="10">
        <x:f>COUNTIF(10_Repondants!M5:M604,A7)</x:f>
        <x:v>0</x:v>
      </x:c>
      <x:c r="H7" s="10">
        <x:f>COUNTIF(10_Repondants!N5:N604,A7)</x:f>
        <x:v>0</x:v>
      </x:c>
      <x:c r="I7" s="10">
        <x:f>5*D7+4*E7+3*F7+2*G7+1*H7</x:f>
        <x:v>0</x:v>
      </x:c>
    </x:row>
    <x:row r="8">
      <x:c r="A8" s="10" t="inlineStr">
        <x:is>
          <x:t xml:space="preserve">D03</x:t>
        </x:is>
      </x:c>
      <x:c r="B8" s="10" t="inlineStr">
        <x:is>
          <x:t xml:space="preserve">Agriculture durable, Sécurité alimentaire et Nutrition</x:t>
        </x:is>
      </x:c>
      <x:c r="C8" s="10">
        <x:f>COUNTIF(10_Repondants!J5:J604,A8)+COUNTIF(10_Repondants!K5:K604,A8)+COUNTIF(10_Repondants!L5:L604,A8)+COUNTIF(10_Repondants!M5:M604,A8)+COUNTIF(10_Repondants!N5:N604,A8)</x:f>
        <x:v>0</x:v>
      </x:c>
      <x:c r="D8" s="10">
        <x:f>COUNTIF(10_Repondants!J5:J604,A8)</x:f>
        <x:v>0</x:v>
      </x:c>
      <x:c r="E8" s="10">
        <x:f>COUNTIF(10_Repondants!K5:K604,A8)</x:f>
        <x:v>0</x:v>
      </x:c>
      <x:c r="F8" s="10">
        <x:f>COUNTIF(10_Repondants!L5:L604,A8)</x:f>
        <x:v>0</x:v>
      </x:c>
      <x:c r="G8" s="10">
        <x:f>COUNTIF(10_Repondants!M5:M604,A8)</x:f>
        <x:v>0</x:v>
      </x:c>
      <x:c r="H8" s="10">
        <x:f>COUNTIF(10_Repondants!N5:N604,A8)</x:f>
        <x:v>0</x:v>
      </x:c>
      <x:c r="I8" s="10">
        <x:f>5*D8+4*E8+3*F8+2*G8+1*H8</x:f>
        <x:v>0</x:v>
      </x:c>
    </x:row>
    <x:row r="9">
      <x:c r="A9" s="10" t="inlineStr">
        <x:is>
          <x:t xml:space="preserve">D04</x:t>
        </x:is>
      </x:c>
      <x:c r="B9" s="10" t="inlineStr">
        <x:is>
          <x:t xml:space="preserve">Infrastructures, Industrialisation et Innovation</x:t>
        </x:is>
      </x:c>
      <x:c r="C9" s="10">
        <x:f>COUNTIF(10_Repondants!J5:J604,A9)+COUNTIF(10_Repondants!K5:K604,A9)+COUNTIF(10_Repondants!L5:L604,A9)+COUNTIF(10_Repondants!M5:M604,A9)+COUNTIF(10_Repondants!N5:N604,A9)</x:f>
        <x:v>0</x:v>
      </x:c>
      <x:c r="D9" s="10">
        <x:f>COUNTIF(10_Repondants!J5:J604,A9)</x:f>
        <x:v>0</x:v>
      </x:c>
      <x:c r="E9" s="10">
        <x:f>COUNTIF(10_Repondants!K5:K604,A9)</x:f>
        <x:v>0</x:v>
      </x:c>
      <x:c r="F9" s="10">
        <x:f>COUNTIF(10_Repondants!L5:L604,A9)</x:f>
        <x:v>0</x:v>
      </x:c>
      <x:c r="G9" s="10">
        <x:f>COUNTIF(10_Repondants!M5:M604,A9)</x:f>
        <x:v>0</x:v>
      </x:c>
      <x:c r="H9" s="10">
        <x:f>COUNTIF(10_Repondants!N5:N604,A9)</x:f>
        <x:v>0</x:v>
      </x:c>
      <x:c r="I9" s="10">
        <x:f>5*D9+4*E9+3*F9+2*G9+1*H9</x:f>
        <x:v>0</x:v>
      </x:c>
    </x:row>
    <x:row r="10">
      <x:c r="A10" s="10" t="inlineStr">
        <x:is>
          <x:t xml:space="preserve">D05</x:t>
        </x:is>
      </x:c>
      <x:c r="B10" s="10" t="inlineStr">
        <x:is>
          <x:t xml:space="preserve">Inclusion, Pauvreté et Inégalités</x:t>
        </x:is>
      </x:c>
      <x:c r="C10" s="10">
        <x:f>COUNTIF(10_Repondants!J5:J604,A10)+COUNTIF(10_Repondants!K5:K604,A10)+COUNTIF(10_Repondants!L5:L604,A10)+COUNTIF(10_Repondants!M5:M604,A10)+COUNTIF(10_Repondants!N5:N604,A10)</x:f>
        <x:v>0</x:v>
      </x:c>
      <x:c r="D10" s="10">
        <x:f>COUNTIF(10_Repondants!J5:J604,A10)</x:f>
        <x:v>0</x:v>
      </x:c>
      <x:c r="E10" s="10">
        <x:f>COUNTIF(10_Repondants!K5:K604,A10)</x:f>
        <x:v>0</x:v>
      </x:c>
      <x:c r="F10" s="10">
        <x:f>COUNTIF(10_Repondants!L5:L604,A10)</x:f>
        <x:v>0</x:v>
      </x:c>
      <x:c r="G10" s="10">
        <x:f>COUNTIF(10_Repondants!M5:M604,A10)</x:f>
        <x:v>0</x:v>
      </x:c>
      <x:c r="H10" s="10">
        <x:f>COUNTIF(10_Repondants!N5:N604,A10)</x:f>
        <x:v>0</x:v>
      </x:c>
      <x:c r="I10" s="10">
        <x:f>5*D10+4*E10+3*F10+2*G10+1*H10</x:f>
        <x:v>0</x:v>
      </x:c>
    </x:row>
    <x:row r="11">
      <x:c r="A11" s="10" t="inlineStr">
        <x:is>
          <x:t xml:space="preserve">D06</x:t>
        </x:is>
      </x:c>
      <x:c r="B11" s="10" t="inlineStr">
        <x:is>
          <x:t xml:space="preserve">Éducation, Compétences et Capital Humain</x:t>
        </x:is>
      </x:c>
      <x:c r="C11" s="10">
        <x:f>COUNTIF(10_Repondants!J5:J604,A11)+COUNTIF(10_Repondants!K5:K604,A11)+COUNTIF(10_Repondants!L5:L604,A11)+COUNTIF(10_Repondants!M5:M604,A11)+COUNTIF(10_Repondants!N5:N604,A11)</x:f>
        <x:v>0</x:v>
      </x:c>
      <x:c r="D11" s="10">
        <x:f>COUNTIF(10_Repondants!J5:J604,A11)</x:f>
        <x:v>0</x:v>
      </x:c>
      <x:c r="E11" s="10">
        <x:f>COUNTIF(10_Repondants!K5:K604,A11)</x:f>
        <x:v>0</x:v>
      </x:c>
      <x:c r="F11" s="10">
        <x:f>COUNTIF(10_Repondants!L5:L604,A11)</x:f>
        <x:v>0</x:v>
      </x:c>
      <x:c r="G11" s="10">
        <x:f>COUNTIF(10_Repondants!M5:M604,A11)</x:f>
        <x:v>0</x:v>
      </x:c>
      <x:c r="H11" s="10">
        <x:f>COUNTIF(10_Repondants!N5:N604,A11)</x:f>
        <x:v>0</x:v>
      </x:c>
      <x:c r="I11" s="10">
        <x:f>5*D11+4*E11+3*F11+2*G11+1*H11</x:f>
        <x:v>0</x:v>
      </x:c>
    </x:row>
    <x:row r="12">
      <x:c r="A12" s="10" t="inlineStr">
        <x:is>
          <x:t xml:space="preserve">D07</x:t>
        </x:is>
      </x:c>
      <x:c r="B12" s="10" t="inlineStr">
        <x:is>
          <x:t xml:space="preserve">Santé, Bien-être et Accès Universel</x:t>
        </x:is>
      </x:c>
      <x:c r="C12" s="10">
        <x:f>COUNTIF(10_Repondants!J5:J604,A12)+COUNTIF(10_Repondants!K5:K604,A12)+COUNTIF(10_Repondants!L5:L604,A12)+COUNTIF(10_Repondants!M5:M604,A12)+COUNTIF(10_Repondants!N5:N604,A12)</x:f>
        <x:v>0</x:v>
      </x:c>
      <x:c r="D12" s="10">
        <x:f>COUNTIF(10_Repondants!J5:J604,A12)</x:f>
        <x:v>0</x:v>
      </x:c>
      <x:c r="E12" s="10">
        <x:f>COUNTIF(10_Repondants!K5:K604,A12)</x:f>
        <x:v>0</x:v>
      </x:c>
      <x:c r="F12" s="10">
        <x:f>COUNTIF(10_Repondants!L5:L604,A12)</x:f>
        <x:v>0</x:v>
      </x:c>
      <x:c r="G12" s="10">
        <x:f>COUNTIF(10_Repondants!M5:M604,A12)</x:f>
        <x:v>0</x:v>
      </x:c>
      <x:c r="H12" s="10">
        <x:f>COUNTIF(10_Repondants!N5:N604,A12)</x:f>
        <x:v>0</x:v>
      </x:c>
      <x:c r="I12" s="10">
        <x:f>5*D12+4*E12+3*F12+2*G12+1*H12</x:f>
        <x:v>0</x:v>
      </x:c>
    </x:row>
    <x:row r="13">
      <x:c r="A13" s="10" t="inlineStr">
        <x:is>
          <x:t xml:space="preserve">D08</x:t>
        </x:is>
      </x:c>
      <x:c r="B13" s="10" t="inlineStr">
        <x:is>
          <x:t xml:space="preserve">Égalité des Genres et Autonomisation</x:t>
        </x:is>
      </x:c>
      <x:c r="C13" s="10">
        <x:f>COUNTIF(10_Repondants!J5:J604,A13)+COUNTIF(10_Repondants!K5:K604,A13)+COUNTIF(10_Repondants!L5:L604,A13)+COUNTIF(10_Repondants!M5:M604,A13)+COUNTIF(10_Repondants!N5:N604,A13)</x:f>
        <x:v>0</x:v>
      </x:c>
      <x:c r="D13" s="10">
        <x:f>COUNTIF(10_Repondants!J5:J604,A13)</x:f>
        <x:v>0</x:v>
      </x:c>
      <x:c r="E13" s="10">
        <x:f>COUNTIF(10_Repondants!K5:K604,A13)</x:f>
        <x:v>0</x:v>
      </x:c>
      <x:c r="F13" s="10">
        <x:f>COUNTIF(10_Repondants!L5:L604,A13)</x:f>
        <x:v>0</x:v>
      </x:c>
      <x:c r="G13" s="10">
        <x:f>COUNTIF(10_Repondants!M5:M604,A13)</x:f>
        <x:v>0</x:v>
      </x:c>
      <x:c r="H13" s="10">
        <x:f>COUNTIF(10_Repondants!N5:N604,A13)</x:f>
        <x:v>0</x:v>
      </x:c>
      <x:c r="I13" s="10">
        <x:f>5*D13+4*E13+3*F13+2*G13+1*H13</x:f>
        <x:v>0</x:v>
      </x:c>
    </x:row>
    <x:row r="14">
      <x:c r="A14" s="10" t="inlineStr">
        <x:is>
          <x:t xml:space="preserve">D09</x:t>
        </x:is>
      </x:c>
      <x:c r="B14" s="10" t="inlineStr">
        <x:is>
          <x:t xml:space="preserve">Environnement, Résilience Climatique et Villes Durables</x:t>
        </x:is>
      </x:c>
      <x:c r="C14" s="10">
        <x:f>COUNTIF(10_Repondants!J5:J604,A14)+COUNTIF(10_Repondants!K5:K604,A14)+COUNTIF(10_Repondants!L5:L604,A14)+COUNTIF(10_Repondants!M5:M604,A14)+COUNTIF(10_Repondants!N5:N604,A14)</x:f>
        <x:v>0</x:v>
      </x:c>
      <x:c r="D14" s="10">
        <x:f>COUNTIF(10_Repondants!J5:J604,A14)</x:f>
        <x:v>0</x:v>
      </x:c>
      <x:c r="E14" s="10">
        <x:f>COUNTIF(10_Repondants!K5:K604,A14)</x:f>
        <x:v>0</x:v>
      </x:c>
      <x:c r="F14" s="10">
        <x:f>COUNTIF(10_Repondants!L5:L604,A14)</x:f>
        <x:v>0</x:v>
      </x:c>
      <x:c r="G14" s="10">
        <x:f>COUNTIF(10_Repondants!M5:M604,A14)</x:f>
        <x:v>0</x:v>
      </x:c>
      <x:c r="H14" s="10">
        <x:f>COUNTIF(10_Repondants!N5:N604,A14)</x:f>
        <x:v>0</x:v>
      </x:c>
      <x:c r="I14" s="10">
        <x:f>5*D14+4*E14+3*F14+2*G14+1*H14</x:f>
        <x:v>0</x:v>
      </x:c>
    </x:row>
    <x:row r="15">
      <x:c r="A15" s="10" t="inlineStr">
        <x:is>
          <x:t xml:space="preserve">D10</x:t>
        </x:is>
      </x:c>
      <x:c r="B15" s="10" t="inlineStr">
        <x:is>
          <x:t xml:space="preserve">Gouvernance, Paix et Institutions</x:t>
        </x:is>
      </x:c>
      <x:c r="C15" s="10">
        <x:f>COUNTIF(10_Repondants!J5:J604,A15)+COUNTIF(10_Repondants!K5:K604,A15)+COUNTIF(10_Repondants!L5:L604,A15)+COUNTIF(10_Repondants!M5:M604,A15)+COUNTIF(10_Repondants!N5:N604,A15)</x:f>
        <x:v>0</x:v>
      </x:c>
      <x:c r="D15" s="10">
        <x:f>COUNTIF(10_Repondants!J5:J604,A15)</x:f>
        <x:v>0</x:v>
      </x:c>
      <x:c r="E15" s="10">
        <x:f>COUNTIF(10_Repondants!K5:K604,A15)</x:f>
        <x:v>0</x:v>
      </x:c>
      <x:c r="F15" s="10">
        <x:f>COUNTIF(10_Repondants!L5:L604,A15)</x:f>
        <x:v>0</x:v>
      </x:c>
      <x:c r="G15" s="10">
        <x:f>COUNTIF(10_Repondants!M5:M604,A15)</x:f>
        <x:v>0</x:v>
      </x:c>
      <x:c r="H15" s="10">
        <x:f>COUNTIF(10_Repondants!N5:N604,A15)</x:f>
        <x:v>0</x:v>
      </x:c>
      <x:c r="I15" s="10">
        <x:f>5*D15+4*E15+3*F15+2*G15+1*H15</x:f>
        <x:v>0</x:v>
      </x:c>
    </x:row>
    <x:row r="16">
      <x:c r="A16" s="10" t="inlineStr">
        <x:is>
          <x:t xml:space="preserve">D11</x:t>
        </x:is>
      </x:c>
      <x:c r="B16" s="10" t="inlineStr">
        <x:is>
          <x:t xml:space="preserve">Économie Bleue et Gestion des Océans</x:t>
        </x:is>
      </x:c>
      <x:c r="C16" s="10">
        <x:f>COUNTIF(10_Repondants!J5:J604,A16)+COUNTIF(10_Repondants!K5:K604,A16)+COUNTIF(10_Repondants!L5:L604,A16)+COUNTIF(10_Repondants!M5:M604,A16)+COUNTIF(10_Repondants!N5:N604,A16)</x:f>
        <x:v>0</x:v>
      </x:c>
      <x:c r="D16" s="10">
        <x:f>COUNTIF(10_Repondants!J5:J604,A16)</x:f>
        <x:v>0</x:v>
      </x:c>
      <x:c r="E16" s="10">
        <x:f>COUNTIF(10_Repondants!K5:K604,A16)</x:f>
        <x:v>0</x:v>
      </x:c>
      <x:c r="F16" s="10">
        <x:f>COUNTIF(10_Repondants!L5:L604,A16)</x:f>
        <x:v>0</x:v>
      </x:c>
      <x:c r="G16" s="10">
        <x:f>COUNTIF(10_Repondants!M5:M604,A16)</x:f>
        <x:v>0</x:v>
      </x:c>
      <x:c r="H16" s="10">
        <x:f>COUNTIF(10_Repondants!N5:N604,A16)</x:f>
        <x:v>0</x:v>
      </x:c>
      <x:c r="I16" s="10">
        <x:f>5*D16+4*E16+3*F16+2*G16+1*H16</x:f>
        <x:v>0</x:v>
      </x:c>
    </x:row>
    <x:row r="17">
      <x:c r="A17" s="10" t="inlineStr">
        <x:is>
          <x:t xml:space="preserve">D12</x:t>
        </x:is>
      </x:c>
      <x:c r="B17" s="10" t="inlineStr">
        <x:is>
          <x:t xml:space="preserve">Partenariats et Financement du Développement</x:t>
        </x:is>
      </x:c>
      <x:c r="C17" s="10">
        <x:f>COUNTIF(10_Repondants!J5:J604,A17)+COUNTIF(10_Repondants!K5:K604,A17)+COUNTIF(10_Repondants!L5:L604,A17)+COUNTIF(10_Repondants!M5:M604,A17)+COUNTIF(10_Repondants!N5:N604,A17)</x:f>
        <x:v>0</x:v>
      </x:c>
      <x:c r="D17" s="10">
        <x:f>COUNTIF(10_Repondants!J5:J604,A17)</x:f>
        <x:v>0</x:v>
      </x:c>
      <x:c r="E17" s="10">
        <x:f>COUNTIF(10_Repondants!K5:K604,A17)</x:f>
        <x:v>0</x:v>
      </x:c>
      <x:c r="F17" s="10">
        <x:f>COUNTIF(10_Repondants!L5:L604,A17)</x:f>
        <x:v>0</x:v>
      </x:c>
      <x:c r="G17" s="10">
        <x:f>COUNTIF(10_Repondants!M5:M604,A17)</x:f>
        <x:v>0</x:v>
      </x:c>
      <x:c r="H17" s="10">
        <x:f>COUNTIF(10_Repondants!N5:N604,A17)</x:f>
        <x:v>0</x:v>
      </x:c>
      <x:c r="I17" s="10">
        <x:f>5*D17+4*E17+3*F17+2*G17+1*H17</x:f>
        <x:v>0</x:v>
      </x:c>
    </x:row>
  </x:sheetData>
  <x:pageMargins left="0.7" right="0.7" top="0.75" bottom="0.75" header="0.3" footer="0.3"/>
  <x:drawing xmlns:r="http://schemas.openxmlformats.org/officeDocument/2006/relationships" r:id="R9d24b19932dd4b3d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60" customWidth="1"/>
    <x:col min="3" max="3" width="40" customWidth="1"/>
    <x:col min="4" max="4" width="10" customWidth="1"/>
    <x:col min="5" max="5" width="14" customWidth="1"/>
    <x:col min="6" max="6" width="16" customWidth="1"/>
    <x:col min="7" max="7" width="14" customWidth="1"/>
    <x:col min="8" max="8" width="14" customWidth="1"/>
  </x:cols>
  <x:sheetData>
    <x:row r="1">
      <x:c r="A1" s="4" t="inlineStr">
        <x:is>
          <x:t xml:space="preserve">Analyse des statistiques (scores)</x:t>
        </x:is>
      </x:c>
    </x:row>
    <x:row r="2">
      <x:c r="A2" s="3" t="inlineStr">
        <x:is>
          <x:t xml:space="preserve">Basé sur 11_StatScores. Moyennes : exclusion NSP si 01_Parametres!B11 = 'Oui'.</x:t>
        </x:is>
      </x:c>
    </x:row>
    <x:row r="5" ht="22" customHeight="1">
      <x:c r="A5" s="9" t="inlineStr">
        <x:is>
          <x:t xml:space="preserve">Stat_code</x:t>
        </x:is>
      </x:c>
      <x:c r="B5" s="9" t="inlineStr">
        <x:is>
          <x:t xml:space="preserve">Statistique</x:t>
        </x:is>
      </x:c>
      <x:c r="C5" s="9" t="inlineStr">
        <x:is>
          <x:t xml:space="preserve">Domaine</x:t>
        </x:is>
      </x:c>
      <x:c r="D5" s="9" t="inlineStr">
        <x:is>
          <x:t xml:space="preserve">N lignes</x:t>
        </x:is>
      </x:c>
      <x:c r="E5" s="9" t="inlineStr">
        <x:is>
          <x:t xml:space="preserve">Moy Demande</x:t>
        </x:is>
      </x:c>
      <x:c r="F5" s="9" t="inlineStr">
        <x:is>
          <x:t xml:space="preserve">Moy Disponibilité</x:t>
        </x:is>
      </x:c>
      <x:c r="G5" s="9" t="inlineStr">
        <x:is>
          <x:t xml:space="preserve">Moy Faisabilité</x:t>
        </x:is>
      </x:c>
      <x:c r="H5" s="9" t="inlineStr">
        <x:is>
          <x:t xml:space="preserve">Moy Composite</x:t>
        </x:is>
      </x:c>
    </x:row>
    <x:row r="6">
      <x:c r="A6" s="10" t="inlineStr">
        <x:is>
          <x:t xml:space="preserve">D01S01</x:t>
        </x:is>
      </x:c>
      <x:c r="B6" s="10" t="inlineStr">
        <x:is>
          <x:t xml:space="preserve">Taux de croissance du PIB réel</x:t>
        </x:is>
      </x:c>
      <x:c r="C6" s="10" t="str">
        <x:f>IFERROR(VLOOKUP(VLOOKUP(A6,02_Referentiels!$A$20:$D$99,2,FALSE),02_Referentiels!$A$5:$C$16,2,FALSE),"")</x:f>
        <x:v>Croissance Économique, Transformation Structurelle et Commerce</x:v>
      </x:c>
      <x:c r="D6" s="10">
        <x:f>COUNTIF(11_StatScores!C5:C2004,A6)</x:f>
        <x:v>0</x:v>
      </x:c>
      <x:c r="E6" s="13">
        <x:f>IF($D6=0,"",IF(01_Parametres!$B$11="Oui",AVERAGEIFS(11_StatScores!D$5:D$2004,11_StatScores!C$5:C$2004,A6,11_StatScores!D$5:D$2004,"&gt;0"),AVERAGEIFS(11_StatScores!D$5:D$2004,11_StatScores!C$5:C$2004,A6)))</x:f>
      </x:c>
      <x:c r="F6" s="13">
        <x:f>IF($D6=0,"",IF(01_Parametres!$B$11="Oui",AVERAGEIFS(11_StatScores!E$5:E$2004,11_StatScores!C$5:C$2004,A6,11_StatScores!E$5:E$2004,"&gt;0"),AVERAGEIFS(11_StatScores!E$5:E$2004,11_StatScores!C$5:C$2004,A6)))</x:f>
      </x:c>
      <x:c r="G6" s="13">
        <x:f>IF($D6=0,"",IF(01_Parametres!$B$11="Oui",AVERAGEIFS(11_StatScores!F$5:F$2004,11_StatScores!C$5:C$2004,A6,11_StatScores!F$5:F$2004,"&gt;0"),AVERAGEIFS(11_StatScores!F$5:F$2004,11_StatScores!C$5:C$2004,A6)))</x:f>
      </x:c>
      <x:c r="H6" s="13">
        <x:f>IF($D6=0,"",IF(01_Parametres!$B$11="Oui",AVERAGEIFS(11_StatScores!G$5:G$2004,11_StatScores!C$5:C$2004,A6,11_StatScores!G$5:G$2004,"&gt;0"),AVERAGEIFS(11_StatScores!G$5:G$2004,11_StatScores!C$5:C$2004,A6)))</x:f>
      </x:c>
    </x:row>
    <x:row r="7">
      <x:c r="A7" s="10" t="inlineStr">
        <x:is>
          <x:t xml:space="preserve">D01S02</x:t>
        </x:is>
      </x:c>
      <x:c r="B7" s="10" t="inlineStr">
        <x:is>
          <x:t xml:space="preserve">PIB par habitant (USD constant)</x:t>
        </x:is>
      </x:c>
      <x:c r="C7" s="10" t="str">
        <x:f>IFERROR(VLOOKUP(VLOOKUP(A7,02_Referentiels!$A$20:$D$99,2,FALSE),02_Referentiels!$A$5:$C$16,2,FALSE),"")</x:f>
        <x:v>Croissance Économique, Transformation Structurelle et Commerce</x:v>
      </x:c>
      <x:c r="D7" s="10">
        <x:f>COUNTIF(11_StatScores!C5:C2004,A7)</x:f>
        <x:v>0</x:v>
      </x:c>
      <x:c r="E7" s="13">
        <x:f>IF($D7=0,"",IF(01_Parametres!$B$11="Oui",AVERAGEIFS(11_StatScores!D$5:D$2004,11_StatScores!C$5:C$2004,A7,11_StatScores!D$5:D$2004,"&gt;0"),AVERAGEIFS(11_StatScores!D$5:D$2004,11_StatScores!C$5:C$2004,A7)))</x:f>
      </x:c>
      <x:c r="F7" s="13">
        <x:f>IF($D7=0,"",IF(01_Parametres!$B$11="Oui",AVERAGEIFS(11_StatScores!E$5:E$2004,11_StatScores!C$5:C$2004,A7,11_StatScores!E$5:E$2004,"&gt;0"),AVERAGEIFS(11_StatScores!E$5:E$2004,11_StatScores!C$5:C$2004,A7)))</x:f>
      </x:c>
      <x:c r="G7" s="13">
        <x:f>IF($D7=0,"",IF(01_Parametres!$B$11="Oui",AVERAGEIFS(11_StatScores!F$5:F$2004,11_StatScores!C$5:C$2004,A7,11_StatScores!F$5:F$2004,"&gt;0"),AVERAGEIFS(11_StatScores!F$5:F$2004,11_StatScores!C$5:C$2004,A7)))</x:f>
      </x:c>
      <x:c r="H7" s="13">
        <x:f>IF($D7=0,"",IF(01_Parametres!$B$11="Oui",AVERAGEIFS(11_StatScores!G$5:G$2004,11_StatScores!C$5:C$2004,A7,11_StatScores!G$5:G$2004,"&gt;0"),AVERAGEIFS(11_StatScores!G$5:G$2004,11_StatScores!C$5:C$2004,A7)))</x:f>
      </x:c>
    </x:row>
    <x:row r="8">
      <x:c r="A8" s="10" t="inlineStr">
        <x:is>
          <x:t xml:space="preserve">D01S03</x:t>
        </x:is>
      </x:c>
      <x:c r="B8" s="10" t="inlineStr">
        <x:is>
          <x:t xml:space="preserve">Part de la Valeur Ajoutée Manufacturière (VAM) dans le PIB</x:t>
        </x:is>
      </x:c>
      <x:c r="C8" s="10" t="str">
        <x:f>IFERROR(VLOOKUP(VLOOKUP(A8,02_Referentiels!$A$20:$D$99,2,FALSE),02_Referentiels!$A$5:$C$16,2,FALSE),"")</x:f>
        <x:v>Croissance Économique, Transformation Structurelle et Commerce</x:v>
      </x:c>
      <x:c r="D8" s="10">
        <x:f>COUNTIF(11_StatScores!C5:C2004,A8)</x:f>
        <x:v>0</x:v>
      </x:c>
      <x:c r="E8" s="13">
        <x:f>IF($D8=0,"",IF(01_Parametres!$B$11="Oui",AVERAGEIFS(11_StatScores!D$5:D$2004,11_StatScores!C$5:C$2004,A8,11_StatScores!D$5:D$2004,"&gt;0"),AVERAGEIFS(11_StatScores!D$5:D$2004,11_StatScores!C$5:C$2004,A8)))</x:f>
      </x:c>
      <x:c r="F8" s="13">
        <x:f>IF($D8=0,"",IF(01_Parametres!$B$11="Oui",AVERAGEIFS(11_StatScores!E$5:E$2004,11_StatScores!C$5:C$2004,A8,11_StatScores!E$5:E$2004,"&gt;0"),AVERAGEIFS(11_StatScores!E$5:E$2004,11_StatScores!C$5:C$2004,A8)))</x:f>
      </x:c>
      <x:c r="G8" s="13">
        <x:f>IF($D8=0,"",IF(01_Parametres!$B$11="Oui",AVERAGEIFS(11_StatScores!F$5:F$2004,11_StatScores!C$5:C$2004,A8,11_StatScores!F$5:F$2004,"&gt;0"),AVERAGEIFS(11_StatScores!F$5:F$2004,11_StatScores!C$5:C$2004,A8)))</x:f>
      </x:c>
      <x:c r="H8" s="13">
        <x:f>IF($D8=0,"",IF(01_Parametres!$B$11="Oui",AVERAGEIFS(11_StatScores!G$5:G$2004,11_StatScores!C$5:C$2004,A8,11_StatScores!G$5:G$2004,"&gt;0"),AVERAGEIFS(11_StatScores!G$5:G$2004,11_StatScores!C$5:C$2004,A8)))</x:f>
      </x:c>
    </x:row>
    <x:row r="9">
      <x:c r="A9" s="10" t="inlineStr">
        <x:is>
          <x:t xml:space="preserve">D01S04</x:t>
        </x:is>
      </x:c>
      <x:c r="B9" s="10" t="inlineStr">
        <x:is>
          <x:t xml:space="preserve">Part des produits de haute technologie dans les exportations manufacturées</x:t>
        </x:is>
      </x:c>
      <x:c r="C9" s="10" t="str">
        <x:f>IFERROR(VLOOKUP(VLOOKUP(A9,02_Referentiels!$A$20:$D$99,2,FALSE),02_Referentiels!$A$5:$C$16,2,FALSE),"")</x:f>
        <x:v>Croissance Économique, Transformation Structurelle et Commerce</x:v>
      </x:c>
      <x:c r="D9" s="10">
        <x:f>COUNTIF(11_StatScores!C5:C2004,A9)</x:f>
        <x:v>0</x:v>
      </x:c>
      <x:c r="E9" s="13">
        <x:f>IF($D9=0,"",IF(01_Parametres!$B$11="Oui",AVERAGEIFS(11_StatScores!D$5:D$2004,11_StatScores!C$5:C$2004,A9,11_StatScores!D$5:D$2004,"&gt;0"),AVERAGEIFS(11_StatScores!D$5:D$2004,11_StatScores!C$5:C$2004,A9)))</x:f>
      </x:c>
      <x:c r="F9" s="13">
        <x:f>IF($D9=0,"",IF(01_Parametres!$B$11="Oui",AVERAGEIFS(11_StatScores!E$5:E$2004,11_StatScores!C$5:C$2004,A9,11_StatScores!E$5:E$2004,"&gt;0"),AVERAGEIFS(11_StatScores!E$5:E$2004,11_StatScores!C$5:C$2004,A9)))</x:f>
      </x:c>
      <x:c r="G9" s="13">
        <x:f>IF($D9=0,"",IF(01_Parametres!$B$11="Oui",AVERAGEIFS(11_StatScores!F$5:F$2004,11_StatScores!C$5:C$2004,A9,11_StatScores!F$5:F$2004,"&gt;0"),AVERAGEIFS(11_StatScores!F$5:F$2004,11_StatScores!C$5:C$2004,A9)))</x:f>
      </x:c>
      <x:c r="H9" s="13">
        <x:f>IF($D9=0,"",IF(01_Parametres!$B$11="Oui",AVERAGEIFS(11_StatScores!G$5:G$2004,11_StatScores!C$5:C$2004,A9,11_StatScores!G$5:G$2004,"&gt;0"),AVERAGEIFS(11_StatScores!G$5:G$2004,11_StatScores!C$5:C$2004,A9)))</x:f>
      </x:c>
    </x:row>
    <x:row r="10">
      <x:c r="A10" s="10" t="inlineStr">
        <x:is>
          <x:t xml:space="preserve">D01S05</x:t>
        </x:is>
      </x:c>
      <x:c r="B10" s="10" t="inlineStr">
        <x:is>
          <x:t xml:space="preserve">Part de l'Afrique dans la valeur ajoutée manufacturière mondiale</x:t>
        </x:is>
      </x:c>
      <x:c r="C10" s="10" t="str">
        <x:f>IFERROR(VLOOKUP(VLOOKUP(A10,02_Referentiels!$A$20:$D$99,2,FALSE),02_Referentiels!$A$5:$C$16,2,FALSE),"")</x:f>
        <x:v>Croissance Économique, Transformation Structurelle et Commerce</x:v>
      </x:c>
      <x:c r="D10" s="10">
        <x:f>COUNTIF(11_StatScores!C5:C2004,A10)</x:f>
        <x:v>0</x:v>
      </x:c>
      <x:c r="E10" s="13">
        <x:f>IF($D10=0,"",IF(01_Parametres!$B$11="Oui",AVERAGEIFS(11_StatScores!D$5:D$2004,11_StatScores!C$5:C$2004,A10,11_StatScores!D$5:D$2004,"&gt;0"),AVERAGEIFS(11_StatScores!D$5:D$2004,11_StatScores!C$5:C$2004,A10)))</x:f>
      </x:c>
      <x:c r="F10" s="13">
        <x:f>IF($D10=0,"",IF(01_Parametres!$B$11="Oui",AVERAGEIFS(11_StatScores!E$5:E$2004,11_StatScores!C$5:C$2004,A10,11_StatScores!E$5:E$2004,"&gt;0"),AVERAGEIFS(11_StatScores!E$5:E$2004,11_StatScores!C$5:C$2004,A10)))</x:f>
      </x:c>
      <x:c r="G10" s="13">
        <x:f>IF($D10=0,"",IF(01_Parametres!$B$11="Oui",AVERAGEIFS(11_StatScores!F$5:F$2004,11_StatScores!C$5:C$2004,A10,11_StatScores!F$5:F$2004,"&gt;0"),AVERAGEIFS(11_StatScores!F$5:F$2004,11_StatScores!C$5:C$2004,A10)))</x:f>
      </x:c>
      <x:c r="H10" s="13">
        <x:f>IF($D10=0,"",IF(01_Parametres!$B$11="Oui",AVERAGEIFS(11_StatScores!G$5:G$2004,11_StatScores!C$5:C$2004,A10,11_StatScores!G$5:G$2004,"&gt;0"),AVERAGEIFS(11_StatScores!G$5:G$2004,11_StatScores!C$5:C$2004,A10)))</x:f>
      </x:c>
    </x:row>
    <x:row r="11">
      <x:c r="A11" s="10" t="inlineStr">
        <x:is>
          <x:t xml:space="preserve">D01S06</x:t>
        </x:is>
      </x:c>
      <x:c r="B11" s="10" t="inlineStr">
        <x:is>
          <x:t xml:space="preserve">Part du commerce intra-africain dans le commerce total</x:t>
        </x:is>
      </x:c>
      <x:c r="C11" s="10" t="str">
        <x:f>IFERROR(VLOOKUP(VLOOKUP(A11,02_Referentiels!$A$20:$D$99,2,FALSE),02_Referentiels!$A$5:$C$16,2,FALSE),"")</x:f>
        <x:v>Croissance Économique, Transformation Structurelle et Commerce</x:v>
      </x:c>
      <x:c r="D11" s="10">
        <x:f>COUNTIF(11_StatScores!C5:C2004,A11)</x:f>
        <x:v>0</x:v>
      </x:c>
      <x:c r="E11" s="13">
        <x:f>IF($D11=0,"",IF(01_Parametres!$B$11="Oui",AVERAGEIFS(11_StatScores!D$5:D$2004,11_StatScores!C$5:C$2004,A11,11_StatScores!D$5:D$2004,"&gt;0"),AVERAGEIFS(11_StatScores!D$5:D$2004,11_StatScores!C$5:C$2004,A11)))</x:f>
      </x:c>
      <x:c r="F11" s="13">
        <x:f>IF($D11=0,"",IF(01_Parametres!$B$11="Oui",AVERAGEIFS(11_StatScores!E$5:E$2004,11_StatScores!C$5:C$2004,A11,11_StatScores!E$5:E$2004,"&gt;0"),AVERAGEIFS(11_StatScores!E$5:E$2004,11_StatScores!C$5:C$2004,A11)))</x:f>
      </x:c>
      <x:c r="G11" s="13">
        <x:f>IF($D11=0,"",IF(01_Parametres!$B$11="Oui",AVERAGEIFS(11_StatScores!F$5:F$2004,11_StatScores!C$5:C$2004,A11,11_StatScores!F$5:F$2004,"&gt;0"),AVERAGEIFS(11_StatScores!F$5:F$2004,11_StatScores!C$5:C$2004,A11)))</x:f>
      </x:c>
      <x:c r="H11" s="13">
        <x:f>IF($D11=0,"",IF(01_Parametres!$B$11="Oui",AVERAGEIFS(11_StatScores!G$5:G$2004,11_StatScores!C$5:C$2004,A11,11_StatScores!G$5:G$2004,"&gt;0"),AVERAGEIFS(11_StatScores!G$5:G$2004,11_StatScores!C$5:C$2004,A11)))</x:f>
      </x:c>
    </x:row>
    <x:row r="12">
      <x:c r="A12" s="10" t="inlineStr">
        <x:is>
          <x:t xml:space="preserve">D01S07</x:t>
        </x:is>
      </x:c>
      <x:c r="B12" s="10" t="inlineStr">
        <x:is>
          <x:t xml:space="preserve">Indice de diversification économique</x:t>
        </x:is>
      </x:c>
      <x:c r="C12" s="10" t="str">
        <x:f>IFERROR(VLOOKUP(VLOOKUP(A12,02_Referentiels!$A$20:$D$99,2,FALSE),02_Referentiels!$A$5:$C$16,2,FALSE),"")</x:f>
        <x:v>Croissance Économique, Transformation Structurelle et Commerce</x:v>
      </x:c>
      <x:c r="D12" s="10">
        <x:f>COUNTIF(11_StatScores!C5:C2004,A12)</x:f>
        <x:v>0</x:v>
      </x:c>
      <x:c r="E12" s="13">
        <x:f>IF($D12=0,"",IF(01_Parametres!$B$11="Oui",AVERAGEIFS(11_StatScores!D$5:D$2004,11_StatScores!C$5:C$2004,A12,11_StatScores!D$5:D$2004,"&gt;0"),AVERAGEIFS(11_StatScores!D$5:D$2004,11_StatScores!C$5:C$2004,A12)))</x:f>
      </x:c>
      <x:c r="F12" s="13">
        <x:f>IF($D12=0,"",IF(01_Parametres!$B$11="Oui",AVERAGEIFS(11_StatScores!E$5:E$2004,11_StatScores!C$5:C$2004,A12,11_StatScores!E$5:E$2004,"&gt;0"),AVERAGEIFS(11_StatScores!E$5:E$2004,11_StatScores!C$5:C$2004,A12)))</x:f>
      </x:c>
      <x:c r="G12" s="13">
        <x:f>IF($D12=0,"",IF(01_Parametres!$B$11="Oui",AVERAGEIFS(11_StatScores!F$5:F$2004,11_StatScores!C$5:C$2004,A12,11_StatScores!F$5:F$2004,"&gt;0"),AVERAGEIFS(11_StatScores!F$5:F$2004,11_StatScores!C$5:C$2004,A12)))</x:f>
      </x:c>
      <x:c r="H12" s="13">
        <x:f>IF($D12=0,"",IF(01_Parametres!$B$11="Oui",AVERAGEIFS(11_StatScores!G$5:G$2004,11_StatScores!C$5:C$2004,A12,11_StatScores!G$5:G$2004,"&gt;0"),AVERAGEIFS(11_StatScores!G$5:G$2004,11_StatScores!C$5:C$2004,A12)))</x:f>
      </x:c>
    </x:row>
    <x:row r="13">
      <x:c r="A13" s="10" t="inlineStr">
        <x:is>
          <x:t xml:space="preserve">D01S08</x:t>
        </x:is>
      </x:c>
      <x:c r="B13" s="10" t="inlineStr">
        <x:is>
          <x:t xml:space="preserve">Contribution directe du tourisme au PIB</x:t>
        </x:is>
      </x:c>
      <x:c r="C13" s="10" t="str">
        <x:f>IFERROR(VLOOKUP(VLOOKUP(A13,02_Referentiels!$A$20:$D$99,2,FALSE),02_Referentiels!$A$5:$C$16,2,FALSE),"")</x:f>
        <x:v>Croissance Économique, Transformation Structurelle et Commerce</x:v>
      </x:c>
      <x:c r="D13" s="10">
        <x:f>COUNTIF(11_StatScores!C5:C2004,A13)</x:f>
        <x:v>0</x:v>
      </x:c>
      <x:c r="E13" s="13">
        <x:f>IF($D13=0,"",IF(01_Parametres!$B$11="Oui",AVERAGEIFS(11_StatScores!D$5:D$2004,11_StatScores!C$5:C$2004,A13,11_StatScores!D$5:D$2004,"&gt;0"),AVERAGEIFS(11_StatScores!D$5:D$2004,11_StatScores!C$5:C$2004,A13)))</x:f>
      </x:c>
      <x:c r="F13" s="13">
        <x:f>IF($D13=0,"",IF(01_Parametres!$B$11="Oui",AVERAGEIFS(11_StatScores!E$5:E$2004,11_StatScores!C$5:C$2004,A13,11_StatScores!E$5:E$2004,"&gt;0"),AVERAGEIFS(11_StatScores!E$5:E$2004,11_StatScores!C$5:C$2004,A13)))</x:f>
      </x:c>
      <x:c r="G13" s="13">
        <x:f>IF($D13=0,"",IF(01_Parametres!$B$11="Oui",AVERAGEIFS(11_StatScores!F$5:F$2004,11_StatScores!C$5:C$2004,A13,11_StatScores!F$5:F$2004,"&gt;0"),AVERAGEIFS(11_StatScores!F$5:F$2004,11_StatScores!C$5:C$2004,A13)))</x:f>
      </x:c>
      <x:c r="H13" s="13">
        <x:f>IF($D13=0,"",IF(01_Parametres!$B$11="Oui",AVERAGEIFS(11_StatScores!G$5:G$2004,11_StatScores!C$5:C$2004,A13,11_StatScores!G$5:G$2004,"&gt;0"),AVERAGEIFS(11_StatScores!G$5:G$2004,11_StatScores!C$5:C$2004,A13)))</x:f>
      </x:c>
    </x:row>
    <x:row r="14">
      <x:c r="A14" s="10" t="inlineStr">
        <x:is>
          <x:t xml:space="preserve">D01S09</x:t>
        </x:is>
      </x:c>
      <x:c r="B14" s="10" t="inlineStr">
        <x:is>
          <x:t xml:space="preserve">Formation brute de capital fixe (% PIB)</x:t>
        </x:is>
      </x:c>
      <x:c r="C14" s="10" t="str">
        <x:f>IFERROR(VLOOKUP(VLOOKUP(A14,02_Referentiels!$A$20:$D$99,2,FALSE),02_Referentiels!$A$5:$C$16,2,FALSE),"")</x:f>
        <x:v>Croissance Économique, Transformation Structurelle et Commerce</x:v>
      </x:c>
      <x:c r="D14" s="10">
        <x:f>COUNTIF(11_StatScores!C5:C2004,A14)</x:f>
        <x:v>0</x:v>
      </x:c>
      <x:c r="E14" s="13">
        <x:f>IF($D14=0,"",IF(01_Parametres!$B$11="Oui",AVERAGEIFS(11_StatScores!D$5:D$2004,11_StatScores!C$5:C$2004,A14,11_StatScores!D$5:D$2004,"&gt;0"),AVERAGEIFS(11_StatScores!D$5:D$2004,11_StatScores!C$5:C$2004,A14)))</x:f>
      </x:c>
      <x:c r="F14" s="13">
        <x:f>IF($D14=0,"",IF(01_Parametres!$B$11="Oui",AVERAGEIFS(11_StatScores!E$5:E$2004,11_StatScores!C$5:C$2004,A14,11_StatScores!E$5:E$2004,"&gt;0"),AVERAGEIFS(11_StatScores!E$5:E$2004,11_StatScores!C$5:C$2004,A14)))</x:f>
      </x:c>
      <x:c r="G14" s="13">
        <x:f>IF($D14=0,"",IF(01_Parametres!$B$11="Oui",AVERAGEIFS(11_StatScores!F$5:F$2004,11_StatScores!C$5:C$2004,A14,11_StatScores!F$5:F$2004,"&gt;0"),AVERAGEIFS(11_StatScores!F$5:F$2004,11_StatScores!C$5:C$2004,A14)))</x:f>
      </x:c>
      <x:c r="H14" s="13">
        <x:f>IF($D14=0,"",IF(01_Parametres!$B$11="Oui",AVERAGEIFS(11_StatScores!G$5:G$2004,11_StatScores!C$5:C$2004,A14,11_StatScores!G$5:G$2004,"&gt;0"),AVERAGEIFS(11_StatScores!G$5:G$2004,11_StatScores!C$5:C$2004,A14)))</x:f>
      </x:c>
    </x:row>
    <x:row r="15">
      <x:c r="A15" s="10" t="inlineStr">
        <x:is>
          <x:t xml:space="preserve">D01S10</x:t>
        </x:is>
      </x:c>
      <x:c r="B15" s="10" t="inlineStr">
        <x:is>
          <x:t xml:space="preserve">Pays commerçant sous le régime ZLECA</x:t>
        </x:is>
      </x:c>
      <x:c r="C15" s="10" t="str">
        <x:f>IFERROR(VLOOKUP(VLOOKUP(A15,02_Referentiels!$A$20:$D$99,2,FALSE),02_Referentiels!$A$5:$C$16,2,FALSE),"")</x:f>
        <x:v>Croissance Économique, Transformation Structurelle et Commerce</x:v>
      </x:c>
      <x:c r="D15" s="10">
        <x:f>COUNTIF(11_StatScores!C5:C2004,A15)</x:f>
        <x:v>0</x:v>
      </x:c>
      <x:c r="E15" s="13">
        <x:f>IF($D15=0,"",IF(01_Parametres!$B$11="Oui",AVERAGEIFS(11_StatScores!D$5:D$2004,11_StatScores!C$5:C$2004,A15,11_StatScores!D$5:D$2004,"&gt;0"),AVERAGEIFS(11_StatScores!D$5:D$2004,11_StatScores!C$5:C$2004,A15)))</x:f>
      </x:c>
      <x:c r="F15" s="13">
        <x:f>IF($D15=0,"",IF(01_Parametres!$B$11="Oui",AVERAGEIFS(11_StatScores!E$5:E$2004,11_StatScores!C$5:C$2004,A15,11_StatScores!E$5:E$2004,"&gt;0"),AVERAGEIFS(11_StatScores!E$5:E$2004,11_StatScores!C$5:C$2004,A15)))</x:f>
      </x:c>
      <x:c r="G15" s="13">
        <x:f>IF($D15=0,"",IF(01_Parametres!$B$11="Oui",AVERAGEIFS(11_StatScores!F$5:F$2004,11_StatScores!C$5:C$2004,A15,11_StatScores!F$5:F$2004,"&gt;0"),AVERAGEIFS(11_StatScores!F$5:F$2004,11_StatScores!C$5:C$2004,A15)))</x:f>
      </x:c>
      <x:c r="H15" s="13">
        <x:f>IF($D15=0,"",IF(01_Parametres!$B$11="Oui",AVERAGEIFS(11_StatScores!G$5:G$2004,11_StatScores!C$5:C$2004,A15,11_StatScores!G$5:G$2004,"&gt;0"),AVERAGEIFS(11_StatScores!G$5:G$2004,11_StatScores!C$5:C$2004,A15)))</x:f>
      </x:c>
    </x:row>
    <x:row r="16">
      <x:c r="A16" s="10" t="inlineStr">
        <x:is>
          <x:t xml:space="preserve">D02S11</x:t>
        </x:is>
      </x:c>
      <x:c r="B16" s="10" t="inlineStr">
        <x:is>
          <x:t xml:space="preserve">Taux de chômage (total, jeunes, femmes)</x:t>
        </x:is>
      </x:c>
      <x:c r="C16" s="10" t="str">
        <x:f>IFERROR(VLOOKUP(VLOOKUP(A16,02_Referentiels!$A$20:$D$99,2,FALSE),02_Referentiels!$A$5:$C$16,2,FALSE),"")</x:f>
        <x:v>Emploi, Travail Décent et Protection Sociale</x:v>
      </x:c>
      <x:c r="D16" s="10">
        <x:f>COUNTIF(11_StatScores!C5:C2004,A16)</x:f>
        <x:v>0</x:v>
      </x:c>
      <x:c r="E16" s="13">
        <x:f>IF($D16=0,"",IF(01_Parametres!$B$11="Oui",AVERAGEIFS(11_StatScores!D$5:D$2004,11_StatScores!C$5:C$2004,A16,11_StatScores!D$5:D$2004,"&gt;0"),AVERAGEIFS(11_StatScores!D$5:D$2004,11_StatScores!C$5:C$2004,A16)))</x:f>
      </x:c>
      <x:c r="F16" s="13">
        <x:f>IF($D16=0,"",IF(01_Parametres!$B$11="Oui",AVERAGEIFS(11_StatScores!E$5:E$2004,11_StatScores!C$5:C$2004,A16,11_StatScores!E$5:E$2004,"&gt;0"),AVERAGEIFS(11_StatScores!E$5:E$2004,11_StatScores!C$5:C$2004,A16)))</x:f>
      </x:c>
      <x:c r="G16" s="13">
        <x:f>IF($D16=0,"",IF(01_Parametres!$B$11="Oui",AVERAGEIFS(11_StatScores!F$5:F$2004,11_StatScores!C$5:C$2004,A16,11_StatScores!F$5:F$2004,"&gt;0"),AVERAGEIFS(11_StatScores!F$5:F$2004,11_StatScores!C$5:C$2004,A16)))</x:f>
      </x:c>
      <x:c r="H16" s="13">
        <x:f>IF($D16=0,"",IF(01_Parametres!$B$11="Oui",AVERAGEIFS(11_StatScores!G$5:G$2004,11_StatScores!C$5:C$2004,A16,11_StatScores!G$5:G$2004,"&gt;0"),AVERAGEIFS(11_StatScores!G$5:G$2004,11_StatScores!C$5:C$2004,A16)))</x:f>
      </x:c>
    </x:row>
    <x:row r="17">
      <x:c r="A17" s="10" t="inlineStr">
        <x:is>
          <x:t xml:space="preserve">D02S12</x:t>
        </x:is>
      </x:c>
      <x:c r="B17" s="10" t="inlineStr">
        <x:is>
          <x:t xml:space="preserve">Nombre d'emplois créés (dont jeunes)</x:t>
        </x:is>
      </x:c>
      <x:c r="C17" s="10" t="str">
        <x:f>IFERROR(VLOOKUP(VLOOKUP(A17,02_Referentiels!$A$20:$D$99,2,FALSE),02_Referentiels!$A$5:$C$16,2,FALSE),"")</x:f>
        <x:v>Emploi, Travail Décent et Protection Sociale</x:v>
      </x:c>
      <x:c r="D17" s="10">
        <x:f>COUNTIF(11_StatScores!C5:C2004,A17)</x:f>
        <x:v>0</x:v>
      </x:c>
      <x:c r="E17" s="13">
        <x:f>IF($D17=0,"",IF(01_Parametres!$B$11="Oui",AVERAGEIFS(11_StatScores!D$5:D$2004,11_StatScores!C$5:C$2004,A17,11_StatScores!D$5:D$2004,"&gt;0"),AVERAGEIFS(11_StatScores!D$5:D$2004,11_StatScores!C$5:C$2004,A17)))</x:f>
      </x:c>
      <x:c r="F17" s="13">
        <x:f>IF($D17=0,"",IF(01_Parametres!$B$11="Oui",AVERAGEIFS(11_StatScores!E$5:E$2004,11_StatScores!C$5:C$2004,A17,11_StatScores!E$5:E$2004,"&gt;0"),AVERAGEIFS(11_StatScores!E$5:E$2004,11_StatScores!C$5:C$2004,A17)))</x:f>
      </x:c>
      <x:c r="G17" s="13">
        <x:f>IF($D17=0,"",IF(01_Parametres!$B$11="Oui",AVERAGEIFS(11_StatScores!F$5:F$2004,11_StatScores!C$5:C$2004,A17,11_StatScores!F$5:F$2004,"&gt;0"),AVERAGEIFS(11_StatScores!F$5:F$2004,11_StatScores!C$5:C$2004,A17)))</x:f>
      </x:c>
      <x:c r="H17" s="13">
        <x:f>IF($D17=0,"",IF(01_Parametres!$B$11="Oui",AVERAGEIFS(11_StatScores!G$5:G$2004,11_StatScores!C$5:C$2004,A17,11_StatScores!G$5:G$2004,"&gt;0"),AVERAGEIFS(11_StatScores!G$5:G$2004,11_StatScores!C$5:C$2004,A17)))</x:f>
      </x:c>
    </x:row>
    <x:row r="18">
      <x:c r="A18" s="10" t="inlineStr">
        <x:is>
          <x:t xml:space="preserve">D02S13</x:t>
        </x:is>
      </x:c>
      <x:c r="B18" s="10" t="inlineStr">
        <x:is>
          <x:t xml:space="preserve">Taux de jeunes NEET (Ni en emploi, éducation ou formation) (15-24 ans)</x:t>
        </x:is>
      </x:c>
      <x:c r="C18" s="10" t="str">
        <x:f>IFERROR(VLOOKUP(VLOOKUP(A18,02_Referentiels!$A$20:$D$99,2,FALSE),02_Referentiels!$A$5:$C$16,2,FALSE),"")</x:f>
        <x:v>Emploi, Travail Décent et Protection Sociale</x:v>
      </x:c>
      <x:c r="D18" s="10">
        <x:f>COUNTIF(11_StatScores!C5:C2004,A18)</x:f>
        <x:v>0</x:v>
      </x:c>
      <x:c r="E18" s="13">
        <x:f>IF($D18=0,"",IF(01_Parametres!$B$11="Oui",AVERAGEIFS(11_StatScores!D$5:D$2004,11_StatScores!C$5:C$2004,A18,11_StatScores!D$5:D$2004,"&gt;0"),AVERAGEIFS(11_StatScores!D$5:D$2004,11_StatScores!C$5:C$2004,A18)))</x:f>
      </x:c>
      <x:c r="F18" s="13">
        <x:f>IF($D18=0,"",IF(01_Parametres!$B$11="Oui",AVERAGEIFS(11_StatScores!E$5:E$2004,11_StatScores!C$5:C$2004,A18,11_StatScores!E$5:E$2004,"&gt;0"),AVERAGEIFS(11_StatScores!E$5:E$2004,11_StatScores!C$5:C$2004,A18)))</x:f>
      </x:c>
      <x:c r="G18" s="13">
        <x:f>IF($D18=0,"",IF(01_Parametres!$B$11="Oui",AVERAGEIFS(11_StatScores!F$5:F$2004,11_StatScores!C$5:C$2004,A18,11_StatScores!F$5:F$2004,"&gt;0"),AVERAGEIFS(11_StatScores!F$5:F$2004,11_StatScores!C$5:C$2004,A18)))</x:f>
      </x:c>
      <x:c r="H18" s="13">
        <x:f>IF($D18=0,"",IF(01_Parametres!$B$11="Oui",AVERAGEIFS(11_StatScores!G$5:G$2004,11_StatScores!C$5:C$2004,A18,11_StatScores!G$5:G$2004,"&gt;0"),AVERAGEIFS(11_StatScores!G$5:G$2004,11_StatScores!C$5:C$2004,A18)))</x:f>
      </x:c>
    </x:row>
    <x:row r="19">
      <x:c r="A19" s="10" t="inlineStr">
        <x:is>
          <x:t xml:space="preserve">D02S14</x:t>
        </x:is>
      </x:c>
      <x:c r="B19" s="10" t="inlineStr">
        <x:is>
          <x:t xml:space="preserve">Taux de couverture de la protection sociale</x:t>
        </x:is>
      </x:c>
      <x:c r="C19" s="10" t="str">
        <x:f>IFERROR(VLOOKUP(VLOOKUP(A19,02_Referentiels!$A$20:$D$99,2,FALSE),02_Referentiels!$A$5:$C$16,2,FALSE),"")</x:f>
        <x:v>Emploi, Travail Décent et Protection Sociale</x:v>
      </x:c>
      <x:c r="D19" s="10">
        <x:f>COUNTIF(11_StatScores!C5:C2004,A19)</x:f>
        <x:v>0</x:v>
      </x:c>
      <x:c r="E19" s="13">
        <x:f>IF($D19=0,"",IF(01_Parametres!$B$11="Oui",AVERAGEIFS(11_StatScores!D$5:D$2004,11_StatScores!C$5:C$2004,A19,11_StatScores!D$5:D$2004,"&gt;0"),AVERAGEIFS(11_StatScores!D$5:D$2004,11_StatScores!C$5:C$2004,A19)))</x:f>
      </x:c>
      <x:c r="F19" s="13">
        <x:f>IF($D19=0,"",IF(01_Parametres!$B$11="Oui",AVERAGEIFS(11_StatScores!E$5:E$2004,11_StatScores!C$5:C$2004,A19,11_StatScores!E$5:E$2004,"&gt;0"),AVERAGEIFS(11_StatScores!E$5:E$2004,11_StatScores!C$5:C$2004,A19)))</x:f>
      </x:c>
      <x:c r="G19" s="13">
        <x:f>IF($D19=0,"",IF(01_Parametres!$B$11="Oui",AVERAGEIFS(11_StatScores!F$5:F$2004,11_StatScores!C$5:C$2004,A19,11_StatScores!F$5:F$2004,"&gt;0"),AVERAGEIFS(11_StatScores!F$5:F$2004,11_StatScores!C$5:C$2004,A19)))</x:f>
      </x:c>
      <x:c r="H19" s="13">
        <x:f>IF($D19=0,"",IF(01_Parametres!$B$11="Oui",AVERAGEIFS(11_StatScores!G$5:G$2004,11_StatScores!C$5:C$2004,A19,11_StatScores!G$5:G$2004,"&gt;0"),AVERAGEIFS(11_StatScores!G$5:G$2004,11_StatScores!C$5:C$2004,A19)))</x:f>
      </x:c>
    </x:row>
    <x:row r="20">
      <x:c r="A20" s="10" t="inlineStr">
        <x:is>
          <x:t xml:space="preserve">D02S15</x:t>
        </x:is>
      </x:c>
      <x:c r="B20" s="10" t="inlineStr">
        <x:is>
          <x:t xml:space="preserve">Pourcentage d'enfants (5-17 ans) au travail</x:t>
        </x:is>
      </x:c>
      <x:c r="C20" s="10" t="str">
        <x:f>IFERROR(VLOOKUP(VLOOKUP(A20,02_Referentiels!$A$20:$D$99,2,FALSE),02_Referentiels!$A$5:$C$16,2,FALSE),"")</x:f>
        <x:v>Emploi, Travail Décent et Protection Sociale</x:v>
      </x:c>
      <x:c r="D20" s="10">
        <x:f>COUNTIF(11_StatScores!C5:C2004,A20)</x:f>
        <x:v>0</x:v>
      </x:c>
      <x:c r="E20" s="13">
        <x:f>IF($D20=0,"",IF(01_Parametres!$B$11="Oui",AVERAGEIFS(11_StatScores!D$5:D$2004,11_StatScores!C$5:C$2004,A20,11_StatScores!D$5:D$2004,"&gt;0"),AVERAGEIFS(11_StatScores!D$5:D$2004,11_StatScores!C$5:C$2004,A20)))</x:f>
      </x:c>
      <x:c r="F20" s="13">
        <x:f>IF($D20=0,"",IF(01_Parametres!$B$11="Oui",AVERAGEIFS(11_StatScores!E$5:E$2004,11_StatScores!C$5:C$2004,A20,11_StatScores!E$5:E$2004,"&gt;0"),AVERAGEIFS(11_StatScores!E$5:E$2004,11_StatScores!C$5:C$2004,A20)))</x:f>
      </x:c>
      <x:c r="G20" s="13">
        <x:f>IF($D20=0,"",IF(01_Parametres!$B$11="Oui",AVERAGEIFS(11_StatScores!F$5:F$2004,11_StatScores!C$5:C$2004,A20,11_StatScores!F$5:F$2004,"&gt;0"),AVERAGEIFS(11_StatScores!F$5:F$2004,11_StatScores!C$5:C$2004,A20)))</x:f>
      </x:c>
      <x:c r="H20" s="13">
        <x:f>IF($D20=0,"",IF(01_Parametres!$B$11="Oui",AVERAGEIFS(11_StatScores!G$5:G$2004,11_StatScores!C$5:C$2004,A20,11_StatScores!G$5:G$2004,"&gt;0"),AVERAGEIFS(11_StatScores!G$5:G$2004,11_StatScores!C$5:C$2004,A20)))</x:f>
      </x:c>
    </x:row>
    <x:row r="21">
      <x:c r="A21" s="10" t="inlineStr">
        <x:is>
          <x:t xml:space="preserve">D02S16</x:t>
        </x:is>
      </x:c>
      <x:c r="B21" s="10" t="inlineStr">
        <x:is>
          <x:t xml:space="preserve">Part de l'emploi informel dans l'emploi total</x:t>
        </x:is>
      </x:c>
      <x:c r="C21" s="10" t="str">
        <x:f>IFERROR(VLOOKUP(VLOOKUP(A21,02_Referentiels!$A$20:$D$99,2,FALSE),02_Referentiels!$A$5:$C$16,2,FALSE),"")</x:f>
        <x:v>Emploi, Travail Décent et Protection Sociale</x:v>
      </x:c>
      <x:c r="D21" s="10">
        <x:f>COUNTIF(11_StatScores!C5:C2004,A21)</x:f>
        <x:v>0</x:v>
      </x:c>
      <x:c r="E21" s="13">
        <x:f>IF($D21=0,"",IF(01_Parametres!$B$11="Oui",AVERAGEIFS(11_StatScores!D$5:D$2004,11_StatScores!C$5:C$2004,A21,11_StatScores!D$5:D$2004,"&gt;0"),AVERAGEIFS(11_StatScores!D$5:D$2004,11_StatScores!C$5:C$2004,A21)))</x:f>
      </x:c>
      <x:c r="F21" s="13">
        <x:f>IF($D21=0,"",IF(01_Parametres!$B$11="Oui",AVERAGEIFS(11_StatScores!E$5:E$2004,11_StatScores!C$5:C$2004,A21,11_StatScores!E$5:E$2004,"&gt;0"),AVERAGEIFS(11_StatScores!E$5:E$2004,11_StatScores!C$5:C$2004,A21)))</x:f>
      </x:c>
      <x:c r="G21" s="13">
        <x:f>IF($D21=0,"",IF(01_Parametres!$B$11="Oui",AVERAGEIFS(11_StatScores!F$5:F$2004,11_StatScores!C$5:C$2004,A21,11_StatScores!F$5:F$2004,"&gt;0"),AVERAGEIFS(11_StatScores!F$5:F$2004,11_StatScores!C$5:C$2004,A21)))</x:f>
      </x:c>
      <x:c r="H21" s="13">
        <x:f>IF($D21=0,"",IF(01_Parametres!$B$11="Oui",AVERAGEIFS(11_StatScores!G$5:G$2004,11_StatScores!C$5:C$2004,A21,11_StatScores!G$5:G$2004,"&gt;0"),AVERAGEIFS(11_StatScores!G$5:G$2004,11_StatScores!C$5:C$2004,A21)))</x:f>
      </x:c>
    </x:row>
    <x:row r="22">
      <x:c r="A22" s="10" t="inlineStr">
        <x:is>
          <x:t xml:space="preserve">D02S17</x:t>
        </x:is>
      </x:c>
      <x:c r="B22" s="10" t="inlineStr">
        <x:is>
          <x:t xml:space="preserve">Écart de rémunération horaire hommes-femmes</x:t>
        </x:is>
      </x:c>
      <x:c r="C22" s="10" t="str">
        <x:f>IFERROR(VLOOKUP(VLOOKUP(A22,02_Referentiels!$A$20:$D$99,2,FALSE),02_Referentiels!$A$5:$C$16,2,FALSE),"")</x:f>
        <x:v>Emploi, Travail Décent et Protection Sociale</x:v>
      </x:c>
      <x:c r="D22" s="10">
        <x:f>COUNTIF(11_StatScores!C5:C2004,A22)</x:f>
        <x:v>0</x:v>
      </x:c>
      <x:c r="E22" s="13">
        <x:f>IF($D22=0,"",IF(01_Parametres!$B$11="Oui",AVERAGEIFS(11_StatScores!D$5:D$2004,11_StatScores!C$5:C$2004,A22,11_StatScores!D$5:D$2004,"&gt;0"),AVERAGEIFS(11_StatScores!D$5:D$2004,11_StatScores!C$5:C$2004,A22)))</x:f>
      </x:c>
      <x:c r="F22" s="13">
        <x:f>IF($D22=0,"",IF(01_Parametres!$B$11="Oui",AVERAGEIFS(11_StatScores!E$5:E$2004,11_StatScores!C$5:C$2004,A22,11_StatScores!E$5:E$2004,"&gt;0"),AVERAGEIFS(11_StatScores!E$5:E$2004,11_StatScores!C$5:C$2004,A22)))</x:f>
      </x:c>
      <x:c r="G22" s="13">
        <x:f>IF($D22=0,"",IF(01_Parametres!$B$11="Oui",AVERAGEIFS(11_StatScores!F$5:F$2004,11_StatScores!C$5:C$2004,A22,11_StatScores!F$5:F$2004,"&gt;0"),AVERAGEIFS(11_StatScores!F$5:F$2004,11_StatScores!C$5:C$2004,A22)))</x:f>
      </x:c>
      <x:c r="H22" s="13">
        <x:f>IF($D22=0,"",IF(01_Parametres!$B$11="Oui",AVERAGEIFS(11_StatScores!G$5:G$2004,11_StatScores!C$5:C$2004,A22,11_StatScores!G$5:G$2004,"&gt;0"),AVERAGEIFS(11_StatScores!G$5:G$2004,11_StatScores!C$5:C$2004,A22)))</x:f>
      </x:c>
    </x:row>
    <x:row r="23">
      <x:c r="A23" s="10" t="inlineStr">
        <x:is>
          <x:t xml:space="preserve">D03S18</x:t>
        </x:is>
      </x:c>
      <x:c r="B23" s="10" t="inlineStr">
        <x:is>
          <x:t xml:space="preserve">Prévalence de la sous-alimentation (Faim)</x:t>
        </x:is>
      </x:c>
      <x:c r="C23" s="10" t="str">
        <x:f>IFERROR(VLOOKUP(VLOOKUP(A23,02_Referentiels!$A$20:$D$99,2,FALSE),02_Referentiels!$A$5:$C$16,2,FALSE),"")</x:f>
        <x:v>Agriculture durable, Sécurité alimentaire et Nutrition</x:v>
      </x:c>
      <x:c r="D23" s="10">
        <x:f>COUNTIF(11_StatScores!C5:C2004,A23)</x:f>
        <x:v>0</x:v>
      </x:c>
      <x:c r="E23" s="13">
        <x:f>IF($D23=0,"",IF(01_Parametres!$B$11="Oui",AVERAGEIFS(11_StatScores!D$5:D$2004,11_StatScores!C$5:C$2004,A23,11_StatScores!D$5:D$2004,"&gt;0"),AVERAGEIFS(11_StatScores!D$5:D$2004,11_StatScores!C$5:C$2004,A23)))</x:f>
      </x:c>
      <x:c r="F23" s="13">
        <x:f>IF($D23=0,"",IF(01_Parametres!$B$11="Oui",AVERAGEIFS(11_StatScores!E$5:E$2004,11_StatScores!C$5:C$2004,A23,11_StatScores!E$5:E$2004,"&gt;0"),AVERAGEIFS(11_StatScores!E$5:E$2004,11_StatScores!C$5:C$2004,A23)))</x:f>
      </x:c>
      <x:c r="G23" s="13">
        <x:f>IF($D23=0,"",IF(01_Parametres!$B$11="Oui",AVERAGEIFS(11_StatScores!F$5:F$2004,11_StatScores!C$5:C$2004,A23,11_StatScores!F$5:F$2004,"&gt;0"),AVERAGEIFS(11_StatScores!F$5:F$2004,11_StatScores!C$5:C$2004,A23)))</x:f>
      </x:c>
      <x:c r="H23" s="13">
        <x:f>IF($D23=0,"",IF(01_Parametres!$B$11="Oui",AVERAGEIFS(11_StatScores!G$5:G$2004,11_StatScores!C$5:C$2004,A23,11_StatScores!G$5:G$2004,"&gt;0"),AVERAGEIFS(11_StatScores!G$5:G$2004,11_StatScores!C$5:C$2004,A23)))</x:f>
      </x:c>
    </x:row>
    <x:row r="24">
      <x:c r="A24" s="10" t="inlineStr">
        <x:is>
          <x:t xml:space="preserve">D03S19</x:t>
        </x:is>
      </x:c>
      <x:c r="B24" s="10" t="inlineStr">
        <x:is>
          <x:t xml:space="preserve">Prévalence du retard de croissance (enfants &lt;5 ans)</x:t>
        </x:is>
      </x:c>
      <x:c r="C24" s="10" t="str">
        <x:f>IFERROR(VLOOKUP(VLOOKUP(A24,02_Referentiels!$A$20:$D$99,2,FALSE),02_Referentiels!$A$5:$C$16,2,FALSE),"")</x:f>
        <x:v>Agriculture durable, Sécurité alimentaire et Nutrition</x:v>
      </x:c>
      <x:c r="D24" s="10">
        <x:f>COUNTIF(11_StatScores!C5:C2004,A24)</x:f>
        <x:v>0</x:v>
      </x:c>
      <x:c r="E24" s="13">
        <x:f>IF($D24=0,"",IF(01_Parametres!$B$11="Oui",AVERAGEIFS(11_StatScores!D$5:D$2004,11_StatScores!C$5:C$2004,A24,11_StatScores!D$5:D$2004,"&gt;0"),AVERAGEIFS(11_StatScores!D$5:D$2004,11_StatScores!C$5:C$2004,A24)))</x:f>
      </x:c>
      <x:c r="F24" s="13">
        <x:f>IF($D24=0,"",IF(01_Parametres!$B$11="Oui",AVERAGEIFS(11_StatScores!E$5:E$2004,11_StatScores!C$5:C$2004,A24,11_StatScores!E$5:E$2004,"&gt;0"),AVERAGEIFS(11_StatScores!E$5:E$2004,11_StatScores!C$5:C$2004,A24)))</x:f>
      </x:c>
      <x:c r="G24" s="13">
        <x:f>IF($D24=0,"",IF(01_Parametres!$B$11="Oui",AVERAGEIFS(11_StatScores!F$5:F$2004,11_StatScores!C$5:C$2004,A24,11_StatScores!F$5:F$2004,"&gt;0"),AVERAGEIFS(11_StatScores!F$5:F$2004,11_StatScores!C$5:C$2004,A24)))</x:f>
      </x:c>
      <x:c r="H24" s="13">
        <x:f>IF($D24=0,"",IF(01_Parametres!$B$11="Oui",AVERAGEIFS(11_StatScores!G$5:G$2004,11_StatScores!C$5:C$2004,A24,11_StatScores!G$5:G$2004,"&gt;0"),AVERAGEIFS(11_StatScores!G$5:G$2004,11_StatScores!C$5:C$2004,A24)))</x:f>
      </x:c>
    </x:row>
    <x:row r="25">
      <x:c r="A25" s="10" t="inlineStr">
        <x:is>
          <x:t xml:space="preserve">D03S20</x:t>
        </x:is>
      </x:c>
      <x:c r="B25" s="10" t="inlineStr">
        <x:is>
          <x:t xml:space="preserve">Taux de croissance des rendements agricoles</x:t>
        </x:is>
      </x:c>
      <x:c r="C25" s="10" t="str">
        <x:f>IFERROR(VLOOKUP(VLOOKUP(A25,02_Referentiels!$A$20:$D$99,2,FALSE),02_Referentiels!$A$5:$C$16,2,FALSE),"")</x:f>
        <x:v>Agriculture durable, Sécurité alimentaire et Nutrition</x:v>
      </x:c>
      <x:c r="D25" s="10">
        <x:f>COUNTIF(11_StatScores!C5:C2004,A25)</x:f>
        <x:v>0</x:v>
      </x:c>
      <x:c r="E25" s="13">
        <x:f>IF($D25=0,"",IF(01_Parametres!$B$11="Oui",AVERAGEIFS(11_StatScores!D$5:D$2004,11_StatScores!C$5:C$2004,A25,11_StatScores!D$5:D$2004,"&gt;0"),AVERAGEIFS(11_StatScores!D$5:D$2004,11_StatScores!C$5:C$2004,A25)))</x:f>
      </x:c>
      <x:c r="F25" s="13">
        <x:f>IF($D25=0,"",IF(01_Parametres!$B$11="Oui",AVERAGEIFS(11_StatScores!E$5:E$2004,11_StatScores!C$5:C$2004,A25,11_StatScores!E$5:E$2004,"&gt;0"),AVERAGEIFS(11_StatScores!E$5:E$2004,11_StatScores!C$5:C$2004,A25)))</x:f>
      </x:c>
      <x:c r="G25" s="13">
        <x:f>IF($D25=0,"",IF(01_Parametres!$B$11="Oui",AVERAGEIFS(11_StatScores!F$5:F$2004,11_StatScores!C$5:C$2004,A25,11_StatScores!F$5:F$2004,"&gt;0"),AVERAGEIFS(11_StatScores!F$5:F$2004,11_StatScores!C$5:C$2004,A25)))</x:f>
      </x:c>
      <x:c r="H25" s="13">
        <x:f>IF($D25=0,"",IF(01_Parametres!$B$11="Oui",AVERAGEIFS(11_StatScores!G$5:G$2004,11_StatScores!C$5:C$2004,A25,11_StatScores!G$5:G$2004,"&gt;0"),AVERAGEIFS(11_StatScores!G$5:G$2004,11_StatScores!C$5:C$2004,A25)))</x:f>
      </x:c>
    </x:row>
    <x:row r="26">
      <x:c r="A26" s="10" t="inlineStr">
        <x:is>
          <x:t xml:space="preserve">D03S21</x:t>
        </x:is>
      </x:c>
      <x:c r="B26" s="10" t="inlineStr">
        <x:is>
          <x:t xml:space="preserve">Réduction des pertes post-récolte</x:t>
        </x:is>
      </x:c>
      <x:c r="C26" s="10" t="str">
        <x:f>IFERROR(VLOOKUP(VLOOKUP(A26,02_Referentiels!$A$20:$D$99,2,FALSE),02_Referentiels!$A$5:$C$16,2,FALSE),"")</x:f>
        <x:v>Agriculture durable, Sécurité alimentaire et Nutrition</x:v>
      </x:c>
      <x:c r="D26" s="10">
        <x:f>COUNTIF(11_StatScores!C5:C2004,A26)</x:f>
        <x:v>0</x:v>
      </x:c>
      <x:c r="E26" s="13">
        <x:f>IF($D26=0,"",IF(01_Parametres!$B$11="Oui",AVERAGEIFS(11_StatScores!D$5:D$2004,11_StatScores!C$5:C$2004,A26,11_StatScores!D$5:D$2004,"&gt;0"),AVERAGEIFS(11_StatScores!D$5:D$2004,11_StatScores!C$5:C$2004,A26)))</x:f>
      </x:c>
      <x:c r="F26" s="13">
        <x:f>IF($D26=0,"",IF(01_Parametres!$B$11="Oui",AVERAGEIFS(11_StatScores!E$5:E$2004,11_StatScores!C$5:C$2004,A26,11_StatScores!E$5:E$2004,"&gt;0"),AVERAGEIFS(11_StatScores!E$5:E$2004,11_StatScores!C$5:C$2004,A26)))</x:f>
      </x:c>
      <x:c r="G26" s="13">
        <x:f>IF($D26=0,"",IF(01_Parametres!$B$11="Oui",AVERAGEIFS(11_StatScores!F$5:F$2004,11_StatScores!C$5:C$2004,A26,11_StatScores!F$5:F$2004,"&gt;0"),AVERAGEIFS(11_StatScores!F$5:F$2004,11_StatScores!C$5:C$2004,A26)))</x:f>
      </x:c>
      <x:c r="H26" s="13">
        <x:f>IF($D26=0,"",IF(01_Parametres!$B$11="Oui",AVERAGEIFS(11_StatScores!G$5:G$2004,11_StatScores!C$5:C$2004,A26,11_StatScores!G$5:G$2004,"&gt;0"),AVERAGEIFS(11_StatScores!G$5:G$2004,11_StatScores!C$5:C$2004,A26)))</x:f>
      </x:c>
    </x:row>
    <x:row r="27">
      <x:c r="A27" s="10" t="inlineStr">
        <x:is>
          <x:t xml:space="preserve">D03S22</x:t>
        </x:is>
      </x:c>
      <x:c r="B27" s="10" t="inlineStr">
        <x:is>
          <x:t xml:space="preserve">Part des importations alimentaires / importations totales</x:t>
        </x:is>
      </x:c>
      <x:c r="C27" s="10" t="str">
        <x:f>IFERROR(VLOOKUP(VLOOKUP(A27,02_Referentiels!$A$20:$D$99,2,FALSE),02_Referentiels!$A$5:$C$16,2,FALSE),"")</x:f>
        <x:v>Agriculture durable, Sécurité alimentaire et Nutrition</x:v>
      </x:c>
      <x:c r="D27" s="10">
        <x:f>COUNTIF(11_StatScores!C5:C2004,A27)</x:f>
        <x:v>0</x:v>
      </x:c>
      <x:c r="E27" s="13">
        <x:f>IF($D27=0,"",IF(01_Parametres!$B$11="Oui",AVERAGEIFS(11_StatScores!D$5:D$2004,11_StatScores!C$5:C$2004,A27,11_StatScores!D$5:D$2004,"&gt;0"),AVERAGEIFS(11_StatScores!D$5:D$2004,11_StatScores!C$5:C$2004,A27)))</x:f>
      </x:c>
      <x:c r="F27" s="13">
        <x:f>IF($D27=0,"",IF(01_Parametres!$B$11="Oui",AVERAGEIFS(11_StatScores!E$5:E$2004,11_StatScores!C$5:C$2004,A27,11_StatScores!E$5:E$2004,"&gt;0"),AVERAGEIFS(11_StatScores!E$5:E$2004,11_StatScores!C$5:C$2004,A27)))</x:f>
      </x:c>
      <x:c r="G27" s="13">
        <x:f>IF($D27=0,"",IF(01_Parametres!$B$11="Oui",AVERAGEIFS(11_StatScores!F$5:F$2004,11_StatScores!C$5:C$2004,A27,11_StatScores!F$5:F$2004,"&gt;0"),AVERAGEIFS(11_StatScores!F$5:F$2004,11_StatScores!C$5:C$2004,A27)))</x:f>
      </x:c>
      <x:c r="H27" s="13">
        <x:f>IF($D27=0,"",IF(01_Parametres!$B$11="Oui",AVERAGEIFS(11_StatScores!G$5:G$2004,11_StatScores!C$5:C$2004,A27,11_StatScores!G$5:G$2004,"&gt;0"),AVERAGEIFS(11_StatScores!G$5:G$2004,11_StatScores!C$5:C$2004,A27)))</x:f>
      </x:c>
    </x:row>
    <x:row r="28">
      <x:c r="A28" s="10" t="inlineStr">
        <x:is>
          <x:t xml:space="preserve">D03S23</x:t>
        </x:is>
      </x:c>
      <x:c r="B28" s="10" t="inlineStr">
        <x:is>
          <x:t xml:space="preserve">Terres sous gestion durable</x:t>
        </x:is>
      </x:c>
      <x:c r="C28" s="10" t="str">
        <x:f>IFERROR(VLOOKUP(VLOOKUP(A28,02_Referentiels!$A$20:$D$99,2,FALSE),02_Referentiels!$A$5:$C$16,2,FALSE),"")</x:f>
        <x:v>Agriculture durable, Sécurité alimentaire et Nutrition</x:v>
      </x:c>
      <x:c r="D28" s="10">
        <x:f>COUNTIF(11_StatScores!C5:C2004,A28)</x:f>
        <x:v>0</x:v>
      </x:c>
      <x:c r="E28" s="13">
        <x:f>IF($D28=0,"",IF(01_Parametres!$B$11="Oui",AVERAGEIFS(11_StatScores!D$5:D$2004,11_StatScores!C$5:C$2004,A28,11_StatScores!D$5:D$2004,"&gt;0"),AVERAGEIFS(11_StatScores!D$5:D$2004,11_StatScores!C$5:C$2004,A28)))</x:f>
      </x:c>
      <x:c r="F28" s="13">
        <x:f>IF($D28=0,"",IF(01_Parametres!$B$11="Oui",AVERAGEIFS(11_StatScores!E$5:E$2004,11_StatScores!C$5:C$2004,A28,11_StatScores!E$5:E$2004,"&gt;0"),AVERAGEIFS(11_StatScores!E$5:E$2004,11_StatScores!C$5:C$2004,A28)))</x:f>
      </x:c>
      <x:c r="G28" s="13">
        <x:f>IF($D28=0,"",IF(01_Parametres!$B$11="Oui",AVERAGEIFS(11_StatScores!F$5:F$2004,11_StatScores!C$5:C$2004,A28,11_StatScores!F$5:F$2004,"&gt;0"),AVERAGEIFS(11_StatScores!F$5:F$2004,11_StatScores!C$5:C$2004,A28)))</x:f>
      </x:c>
      <x:c r="H28" s="13">
        <x:f>IF($D28=0,"",IF(01_Parametres!$B$11="Oui",AVERAGEIFS(11_StatScores!G$5:G$2004,11_StatScores!C$5:C$2004,A28,11_StatScores!G$5:G$2004,"&gt;0"),AVERAGEIFS(11_StatScores!G$5:G$2004,11_StatScores!C$5:C$2004,A28)))</x:f>
      </x:c>
    </x:row>
    <x:row r="29">
      <x:c r="A29" s="10" t="inlineStr">
        <x:is>
          <x:t xml:space="preserve">D03S24</x:t>
        </x:is>
      </x:c>
      <x:c r="B29" s="10" t="inlineStr">
        <x:is>
          <x:t xml:space="preserve">Résilience climatique des ménages agricoles</x:t>
        </x:is>
      </x:c>
      <x:c r="C29" s="10" t="str">
        <x:f>IFERROR(VLOOKUP(VLOOKUP(A29,02_Referentiels!$A$20:$D$99,2,FALSE),02_Referentiels!$A$5:$C$16,2,FALSE),"")</x:f>
        <x:v>Agriculture durable, Sécurité alimentaire et Nutrition</x:v>
      </x:c>
      <x:c r="D29" s="10">
        <x:f>COUNTIF(11_StatScores!C5:C2004,A29)</x:f>
        <x:v>0</x:v>
      </x:c>
      <x:c r="E29" s="13">
        <x:f>IF($D29=0,"",IF(01_Parametres!$B$11="Oui",AVERAGEIFS(11_StatScores!D$5:D$2004,11_StatScores!C$5:C$2004,A29,11_StatScores!D$5:D$2004,"&gt;0"),AVERAGEIFS(11_StatScores!D$5:D$2004,11_StatScores!C$5:C$2004,A29)))</x:f>
      </x:c>
      <x:c r="F29" s="13">
        <x:f>IF($D29=0,"",IF(01_Parametres!$B$11="Oui",AVERAGEIFS(11_StatScores!E$5:E$2004,11_StatScores!C$5:C$2004,A29,11_StatScores!E$5:E$2004,"&gt;0"),AVERAGEIFS(11_StatScores!E$5:E$2004,11_StatScores!C$5:C$2004,A29)))</x:f>
      </x:c>
      <x:c r="G29" s="13">
        <x:f>IF($D29=0,"",IF(01_Parametres!$B$11="Oui",AVERAGEIFS(11_StatScores!F$5:F$2004,11_StatScores!C$5:C$2004,A29,11_StatScores!F$5:F$2004,"&gt;0"),AVERAGEIFS(11_StatScores!F$5:F$2004,11_StatScores!C$5:C$2004,A29)))</x:f>
      </x:c>
      <x:c r="H29" s="13">
        <x:f>IF($D29=0,"",IF(01_Parametres!$B$11="Oui",AVERAGEIFS(11_StatScores!G$5:G$2004,11_StatScores!C$5:C$2004,A29,11_StatScores!G$5:G$2004,"&gt;0"),AVERAGEIFS(11_StatScores!G$5:G$2004,11_StatScores!C$5:C$2004,A29)))</x:f>
      </x:c>
    </x:row>
    <x:row r="30">
      <x:c r="A30" s="10" t="inlineStr">
        <x:is>
          <x:t xml:space="preserve">D03S25</x:t>
        </x:is>
      </x:c>
      <x:c r="B30" s="10" t="inlineStr">
        <x:is>
          <x:t xml:space="preserve">Zones de Transformation Agro-industrielle (SAPZ) créées</x:t>
        </x:is>
      </x:c>
      <x:c r="C30" s="10" t="str">
        <x:f>IFERROR(VLOOKUP(VLOOKUP(A30,02_Referentiels!$A$20:$D$99,2,FALSE),02_Referentiels!$A$5:$C$16,2,FALSE),"")</x:f>
        <x:v>Agriculture durable, Sécurité alimentaire et Nutrition</x:v>
      </x:c>
      <x:c r="D30" s="10">
        <x:f>COUNTIF(11_StatScores!C5:C2004,A30)</x:f>
        <x:v>0</x:v>
      </x:c>
      <x:c r="E30" s="13">
        <x:f>IF($D30=0,"",IF(01_Parametres!$B$11="Oui",AVERAGEIFS(11_StatScores!D$5:D$2004,11_StatScores!C$5:C$2004,A30,11_StatScores!D$5:D$2004,"&gt;0"),AVERAGEIFS(11_StatScores!D$5:D$2004,11_StatScores!C$5:C$2004,A30)))</x:f>
      </x:c>
      <x:c r="F30" s="13">
        <x:f>IF($D30=0,"",IF(01_Parametres!$B$11="Oui",AVERAGEIFS(11_StatScores!E$5:E$2004,11_StatScores!C$5:C$2004,A30,11_StatScores!E$5:E$2004,"&gt;0"),AVERAGEIFS(11_StatScores!E$5:E$2004,11_StatScores!C$5:C$2004,A30)))</x:f>
      </x:c>
      <x:c r="G30" s="13">
        <x:f>IF($D30=0,"",IF(01_Parametres!$B$11="Oui",AVERAGEIFS(11_StatScores!F$5:F$2004,11_StatScores!C$5:C$2004,A30,11_StatScores!F$5:F$2004,"&gt;0"),AVERAGEIFS(11_StatScores!F$5:F$2004,11_StatScores!C$5:C$2004,A30)))</x:f>
      </x:c>
      <x:c r="H30" s="13">
        <x:f>IF($D30=0,"",IF(01_Parametres!$B$11="Oui",AVERAGEIFS(11_StatScores!G$5:G$2004,11_StatScores!C$5:C$2004,A30,11_StatScores!G$5:G$2004,"&gt;0"),AVERAGEIFS(11_StatScores!G$5:G$2004,11_StatScores!C$5:C$2004,A30)))</x:f>
      </x:c>
    </x:row>
    <x:row r="31">
      <x:c r="A31" s="10" t="inlineStr">
        <x:is>
          <x:t xml:space="preserve">D03S26</x:t>
        </x:is>
      </x:c>
      <x:c r="B31" s="10" t="inlineStr">
        <x:is>
          <x:t xml:space="preserve">Utilisation d'engrais (kg/ha)</x:t>
        </x:is>
      </x:c>
      <x:c r="C31" s="10" t="str">
        <x:f>IFERROR(VLOOKUP(VLOOKUP(A31,02_Referentiels!$A$20:$D$99,2,FALSE),02_Referentiels!$A$5:$C$16,2,FALSE),"")</x:f>
        <x:v>Agriculture durable, Sécurité alimentaire et Nutrition</x:v>
      </x:c>
      <x:c r="D31" s="10">
        <x:f>COUNTIF(11_StatScores!C5:C2004,A31)</x:f>
        <x:v>0</x:v>
      </x:c>
      <x:c r="E31" s="13">
        <x:f>IF($D31=0,"",IF(01_Parametres!$B$11="Oui",AVERAGEIFS(11_StatScores!D$5:D$2004,11_StatScores!C$5:C$2004,A31,11_StatScores!D$5:D$2004,"&gt;0"),AVERAGEIFS(11_StatScores!D$5:D$2004,11_StatScores!C$5:C$2004,A31)))</x:f>
      </x:c>
      <x:c r="F31" s="13">
        <x:f>IF($D31=0,"",IF(01_Parametres!$B$11="Oui",AVERAGEIFS(11_StatScores!E$5:E$2004,11_StatScores!C$5:C$2004,A31,11_StatScores!E$5:E$2004,"&gt;0"),AVERAGEIFS(11_StatScores!E$5:E$2004,11_StatScores!C$5:C$2004,A31)))</x:f>
      </x:c>
      <x:c r="G31" s="13">
        <x:f>IF($D31=0,"",IF(01_Parametres!$B$11="Oui",AVERAGEIFS(11_StatScores!F$5:F$2004,11_StatScores!C$5:C$2004,A31,11_StatScores!F$5:F$2004,"&gt;0"),AVERAGEIFS(11_StatScores!F$5:F$2004,11_StatScores!C$5:C$2004,A31)))</x:f>
      </x:c>
      <x:c r="H31" s="13">
        <x:f>IF($D31=0,"",IF(01_Parametres!$B$11="Oui",AVERAGEIFS(11_StatScores!G$5:G$2004,11_StatScores!C$5:C$2004,A31,11_StatScores!G$5:G$2004,"&gt;0"),AVERAGEIFS(11_StatScores!G$5:G$2004,11_StatScores!C$5:C$2004,A31)))</x:f>
      </x:c>
    </x:row>
    <x:row r="32">
      <x:c r="A32" s="10" t="inlineStr">
        <x:is>
          <x:t xml:space="preserve">D04S27</x:t>
        </x:is>
      </x:c>
      <x:c r="B32" s="10" t="inlineStr">
        <x:is>
          <x:t xml:space="preserve">Taux d’accès à l'électricité (Ménages)</x:t>
        </x:is>
      </x:c>
      <x:c r="C32" s="10" t="str">
        <x:f>IFERROR(VLOOKUP(VLOOKUP(A32,02_Referentiels!$A$20:$D$99,2,FALSE),02_Referentiels!$A$5:$C$16,2,FALSE),"")</x:f>
        <x:v>Infrastructures, Industrialisation et Innovation</x:v>
      </x:c>
      <x:c r="D32" s="10">
        <x:f>COUNTIF(11_StatScores!C5:C2004,A32)</x:f>
        <x:v>0</x:v>
      </x:c>
      <x:c r="E32" s="13">
        <x:f>IF($D32=0,"",IF(01_Parametres!$B$11="Oui",AVERAGEIFS(11_StatScores!D$5:D$2004,11_StatScores!C$5:C$2004,A32,11_StatScores!D$5:D$2004,"&gt;0"),AVERAGEIFS(11_StatScores!D$5:D$2004,11_StatScores!C$5:C$2004,A32)))</x:f>
      </x:c>
      <x:c r="F32" s="13">
        <x:f>IF($D32=0,"",IF(01_Parametres!$B$11="Oui",AVERAGEIFS(11_StatScores!E$5:E$2004,11_StatScores!C$5:C$2004,A32,11_StatScores!E$5:E$2004,"&gt;0"),AVERAGEIFS(11_StatScores!E$5:E$2004,11_StatScores!C$5:C$2004,A32)))</x:f>
      </x:c>
      <x:c r="G32" s="13">
        <x:f>IF($D32=0,"",IF(01_Parametres!$B$11="Oui",AVERAGEIFS(11_StatScores!F$5:F$2004,11_StatScores!C$5:C$2004,A32,11_StatScores!F$5:F$2004,"&gt;0"),AVERAGEIFS(11_StatScores!F$5:F$2004,11_StatScores!C$5:C$2004,A32)))</x:f>
      </x:c>
      <x:c r="H32" s="13">
        <x:f>IF($D32=0,"",IF(01_Parametres!$B$11="Oui",AVERAGEIFS(11_StatScores!G$5:G$2004,11_StatScores!C$5:C$2004,A32,11_StatScores!G$5:G$2004,"&gt;0"),AVERAGEIFS(11_StatScores!G$5:G$2004,11_StatScores!C$5:C$2004,A32)))</x:f>
      </x:c>
    </x:row>
    <x:row r="33">
      <x:c r="A33" s="10" t="inlineStr">
        <x:is>
          <x:t xml:space="preserve">D04S28</x:t>
        </x:is>
      </x:c>
      <x:c r="B33" s="10" t="inlineStr">
        <x:is>
          <x:t xml:space="preserve">Accès Internet haut débit (Qualité)</x:t>
        </x:is>
      </x:c>
      <x:c r="C33" s="10" t="str">
        <x:f>IFERROR(VLOOKUP(VLOOKUP(A33,02_Referentiels!$A$20:$D$99,2,FALSE),02_Referentiels!$A$5:$C$16,2,FALSE),"")</x:f>
        <x:v>Infrastructures, Industrialisation et Innovation</x:v>
      </x:c>
      <x:c r="D33" s="10">
        <x:f>COUNTIF(11_StatScores!C5:C2004,A33)</x:f>
        <x:v>0</x:v>
      </x:c>
      <x:c r="E33" s="13">
        <x:f>IF($D33=0,"",IF(01_Parametres!$B$11="Oui",AVERAGEIFS(11_StatScores!D$5:D$2004,11_StatScores!C$5:C$2004,A33,11_StatScores!D$5:D$2004,"&gt;0"),AVERAGEIFS(11_StatScores!D$5:D$2004,11_StatScores!C$5:C$2004,A33)))</x:f>
      </x:c>
      <x:c r="F33" s="13">
        <x:f>IF($D33=0,"",IF(01_Parametres!$B$11="Oui",AVERAGEIFS(11_StatScores!E$5:E$2004,11_StatScores!C$5:C$2004,A33,11_StatScores!E$5:E$2004,"&gt;0"),AVERAGEIFS(11_StatScores!E$5:E$2004,11_StatScores!C$5:C$2004,A33)))</x:f>
      </x:c>
      <x:c r="G33" s="13">
        <x:f>IF($D33=0,"",IF(01_Parametres!$B$11="Oui",AVERAGEIFS(11_StatScores!F$5:F$2004,11_StatScores!C$5:C$2004,A33,11_StatScores!F$5:F$2004,"&gt;0"),AVERAGEIFS(11_StatScores!F$5:F$2004,11_StatScores!C$5:C$2004,A33)))</x:f>
      </x:c>
      <x:c r="H33" s="13">
        <x:f>IF($D33=0,"",IF(01_Parametres!$B$11="Oui",AVERAGEIFS(11_StatScores!G$5:G$2004,11_StatScores!C$5:C$2004,A33,11_StatScores!G$5:G$2004,"&gt;0"),AVERAGEIFS(11_StatScores!G$5:G$2004,11_StatScores!C$5:C$2004,A33)))</x:f>
      </x:c>
    </x:row>
    <x:row r="34">
      <x:c r="A34" s="10" t="inlineStr">
        <x:is>
          <x:t xml:space="preserve">D04S29</x:t>
        </x:is>
      </x:c>
      <x:c r="B34" s="10" t="inlineStr">
        <x:is>
          <x:t xml:space="preserve">Connectivité routière interafricaine</x:t>
        </x:is>
      </x:c>
      <x:c r="C34" s="10" t="str">
        <x:f>IFERROR(VLOOKUP(VLOOKUP(A34,02_Referentiels!$A$20:$D$99,2,FALSE),02_Referentiels!$A$5:$C$16,2,FALSE),"")</x:f>
        <x:v>Infrastructures, Industrialisation et Innovation</x:v>
      </x:c>
      <x:c r="D34" s="10">
        <x:f>COUNTIF(11_StatScores!C5:C2004,A34)</x:f>
        <x:v>0</x:v>
      </x:c>
      <x:c r="E34" s="13">
        <x:f>IF($D34=0,"",IF(01_Parametres!$B$11="Oui",AVERAGEIFS(11_StatScores!D$5:D$2004,11_StatScores!C$5:C$2004,A34,11_StatScores!D$5:D$2004,"&gt;0"),AVERAGEIFS(11_StatScores!D$5:D$2004,11_StatScores!C$5:C$2004,A34)))</x:f>
      </x:c>
      <x:c r="F34" s="13">
        <x:f>IF($D34=0,"",IF(01_Parametres!$B$11="Oui",AVERAGEIFS(11_StatScores!E$5:E$2004,11_StatScores!C$5:C$2004,A34,11_StatScores!E$5:E$2004,"&gt;0"),AVERAGEIFS(11_StatScores!E$5:E$2004,11_StatScores!C$5:C$2004,A34)))</x:f>
      </x:c>
      <x:c r="G34" s="13">
        <x:f>IF($D34=0,"",IF(01_Parametres!$B$11="Oui",AVERAGEIFS(11_StatScores!F$5:F$2004,11_StatScores!C$5:C$2004,A34,11_StatScores!F$5:F$2004,"&gt;0"),AVERAGEIFS(11_StatScores!F$5:F$2004,11_StatScores!C$5:C$2004,A34)))</x:f>
      </x:c>
      <x:c r="H34" s="13">
        <x:f>IF($D34=0,"",IF(01_Parametres!$B$11="Oui",AVERAGEIFS(11_StatScores!G$5:G$2004,11_StatScores!C$5:C$2004,A34,11_StatScores!G$5:G$2004,"&gt;0"),AVERAGEIFS(11_StatScores!G$5:G$2004,11_StatScores!C$5:C$2004,A34)))</x:f>
      </x:c>
    </x:row>
    <x:row r="35">
      <x:c r="A35" s="10" t="inlineStr">
        <x:is>
          <x:t xml:space="preserve">D04S30</x:t>
        </x:is>
      </x:c>
      <x:c r="B35" s="10" t="inlineStr">
        <x:is>
          <x:t xml:space="preserve">Connectivité ferroviaire interafricaine</x:t>
        </x:is>
      </x:c>
      <x:c r="C35" s="10" t="str">
        <x:f>IFERROR(VLOOKUP(VLOOKUP(A35,02_Referentiels!$A$20:$D$99,2,FALSE),02_Referentiels!$A$5:$C$16,2,FALSE),"")</x:f>
        <x:v>Infrastructures, Industrialisation et Innovation</x:v>
      </x:c>
      <x:c r="D35" s="10">
        <x:f>COUNTIF(11_StatScores!C5:C2004,A35)</x:f>
        <x:v>0</x:v>
      </x:c>
      <x:c r="E35" s="13">
        <x:f>IF($D35=0,"",IF(01_Parametres!$B$11="Oui",AVERAGEIFS(11_StatScores!D$5:D$2004,11_StatScores!C$5:C$2004,A35,11_StatScores!D$5:D$2004,"&gt;0"),AVERAGEIFS(11_StatScores!D$5:D$2004,11_StatScores!C$5:C$2004,A35)))</x:f>
      </x:c>
      <x:c r="F35" s="13">
        <x:f>IF($D35=0,"",IF(01_Parametres!$B$11="Oui",AVERAGEIFS(11_StatScores!E$5:E$2004,11_StatScores!C$5:C$2004,A35,11_StatScores!E$5:E$2004,"&gt;0"),AVERAGEIFS(11_StatScores!E$5:E$2004,11_StatScores!C$5:C$2004,A35)))</x:f>
      </x:c>
      <x:c r="G35" s="13">
        <x:f>IF($D35=0,"",IF(01_Parametres!$B$11="Oui",AVERAGEIFS(11_StatScores!F$5:F$2004,11_StatScores!C$5:C$2004,A35,11_StatScores!F$5:F$2004,"&gt;0"),AVERAGEIFS(11_StatScores!F$5:F$2004,11_StatScores!C$5:C$2004,A35)))</x:f>
      </x:c>
      <x:c r="H35" s="13">
        <x:f>IF($D35=0,"",IF(01_Parametres!$B$11="Oui",AVERAGEIFS(11_StatScores!G$5:G$2004,11_StatScores!C$5:C$2004,A35,11_StatScores!G$5:G$2004,"&gt;0"),AVERAGEIFS(11_StatScores!G$5:G$2004,11_StatScores!C$5:C$2004,A35)))</x:f>
      </x:c>
    </x:row>
    <x:row r="36">
      <x:c r="A36" s="10" t="inlineStr">
        <x:is>
          <x:t xml:space="preserve">D04S31</x:t>
        </x:is>
      </x:c>
      <x:c r="B36" s="10" t="inlineStr">
        <x:is>
          <x:t xml:space="preserve">Dépenses de R&amp;D (% PIB)</x:t>
        </x:is>
      </x:c>
      <x:c r="C36" s="10" t="str">
        <x:f>IFERROR(VLOOKUP(VLOOKUP(A36,02_Referentiels!$A$20:$D$99,2,FALSE),02_Referentiels!$A$5:$C$16,2,FALSE),"")</x:f>
        <x:v>Infrastructures, Industrialisation et Innovation</x:v>
      </x:c>
      <x:c r="D36" s="10">
        <x:f>COUNTIF(11_StatScores!C5:C2004,A36)</x:f>
        <x:v>0</x:v>
      </x:c>
      <x:c r="E36" s="13">
        <x:f>IF($D36=0,"",IF(01_Parametres!$B$11="Oui",AVERAGEIFS(11_StatScores!D$5:D$2004,11_StatScores!C$5:C$2004,A36,11_StatScores!D$5:D$2004,"&gt;0"),AVERAGEIFS(11_StatScores!D$5:D$2004,11_StatScores!C$5:C$2004,A36)))</x:f>
      </x:c>
      <x:c r="F36" s="13">
        <x:f>IF($D36=0,"",IF(01_Parametres!$B$11="Oui",AVERAGEIFS(11_StatScores!E$5:E$2004,11_StatScores!C$5:C$2004,A36,11_StatScores!E$5:E$2004,"&gt;0"),AVERAGEIFS(11_StatScores!E$5:E$2004,11_StatScores!C$5:C$2004,A36)))</x:f>
      </x:c>
      <x:c r="G36" s="13">
        <x:f>IF($D36=0,"",IF(01_Parametres!$B$11="Oui",AVERAGEIFS(11_StatScores!F$5:F$2004,11_StatScores!C$5:C$2004,A36,11_StatScores!F$5:F$2004,"&gt;0"),AVERAGEIFS(11_StatScores!F$5:F$2004,11_StatScores!C$5:C$2004,A36)))</x:f>
      </x:c>
      <x:c r="H36" s="13">
        <x:f>IF($D36=0,"",IF(01_Parametres!$B$11="Oui",AVERAGEIFS(11_StatScores!G$5:G$2004,11_StatScores!C$5:C$2004,A36,11_StatScores!G$5:G$2004,"&gt;0"),AVERAGEIFS(11_StatScores!G$5:G$2004,11_StatScores!C$5:C$2004,A36)))</x:f>
      </x:c>
    </x:row>
    <x:row r="37">
      <x:c r="A37" s="10" t="inlineStr">
        <x:is>
          <x:t xml:space="preserve">D04S32</x:t>
        </x:is>
      </x:c>
      <x:c r="B37" s="10" t="inlineStr">
        <x:is>
          <x:t xml:space="preserve">Capacité de production électrique installée</x:t>
        </x:is>
      </x:c>
      <x:c r="C37" s="10">
        <x:f>IFERROR(VLOOKUP(VLOOKUP(A37,02_Referentiels!$A$20:$D$99,2,FALSE),02_Referentiels!$A$5:$C$16,2,FALSE),"")</x:f>
      </x:c>
      <x:c r="D37" s="10">
        <x:f>COUNTIF(11_StatScores!C5:C2004,A37)</x:f>
        <x:v>0</x:v>
      </x:c>
      <x:c r="E37" s="13">
        <x:f>IF($D37=0,"",IF(01_Parametres!$B$11="Oui",AVERAGEIFS(11_StatScores!D$5:D$2004,11_StatScores!C$5:C$2004,A37,11_StatScores!D$5:D$2004,"&gt;0"),AVERAGEIFS(11_StatScores!D$5:D$2004,11_StatScores!C$5:C$2004,A37)))</x:f>
      </x:c>
      <x:c r="F37" s="13">
        <x:f>IF($D37=0,"",IF(01_Parametres!$B$11="Oui",AVERAGEIFS(11_StatScores!E$5:E$2004,11_StatScores!C$5:C$2004,A37,11_StatScores!E$5:E$2004,"&gt;0"),AVERAGEIFS(11_StatScores!E$5:E$2004,11_StatScores!C$5:C$2004,A37)))</x:f>
      </x:c>
      <x:c r="G37" s="13">
        <x:f>IF($D37=0,"",IF(01_Parametres!$B$11="Oui",AVERAGEIFS(11_StatScores!F$5:F$2004,11_StatScores!C$5:C$2004,A37,11_StatScores!F$5:F$2004,"&gt;0"),AVERAGEIFS(11_StatScores!F$5:F$2004,11_StatScores!C$5:C$2004,A37)))</x:f>
      </x:c>
      <x:c r="H37" s="13">
        <x:f>IF($D37=0,"",IF(01_Parametres!$B$11="Oui",AVERAGEIFS(11_StatScores!G$5:G$2004,11_StatScores!C$5:C$2004,A37,11_StatScores!G$5:G$2004,"&gt;0"),AVERAGEIFS(11_StatScores!G$5:G$2004,11_StatScores!C$5:C$2004,A37)))</x:f>
      </x:c>
    </x:row>
    <x:row r="38">
      <x:c r="A38" s="10" t="inlineStr">
        <x:is>
          <x:t xml:space="preserve">D04S33</x:t>
        </x:is>
      </x:c>
      <x:c r="B38" s="10" t="inlineStr">
        <x:is>
          <x:t xml:space="preserve">Contribution des services numériques au PIB</x:t>
        </x:is>
      </x:c>
      <x:c r="C38" s="10">
        <x:f>IFERROR(VLOOKUP(VLOOKUP(A38,02_Referentiels!$A$20:$D$99,2,FALSE),02_Referentiels!$A$5:$C$16,2,FALSE),"")</x:f>
      </x:c>
      <x:c r="D38" s="10">
        <x:f>COUNTIF(11_StatScores!C5:C2004,A38)</x:f>
        <x:v>0</x:v>
      </x:c>
      <x:c r="E38" s="13">
        <x:f>IF($D38=0,"",IF(01_Parametres!$B$11="Oui",AVERAGEIFS(11_StatScores!D$5:D$2004,11_StatScores!C$5:C$2004,A38,11_StatScores!D$5:D$2004,"&gt;0"),AVERAGEIFS(11_StatScores!D$5:D$2004,11_StatScores!C$5:C$2004,A38)))</x:f>
      </x:c>
      <x:c r="F38" s="13">
        <x:f>IF($D38=0,"",IF(01_Parametres!$B$11="Oui",AVERAGEIFS(11_StatScores!E$5:E$2004,11_StatScores!C$5:C$2004,A38,11_StatScores!E$5:E$2004,"&gt;0"),AVERAGEIFS(11_StatScores!E$5:E$2004,11_StatScores!C$5:C$2004,A38)))</x:f>
      </x:c>
      <x:c r="G38" s="13">
        <x:f>IF($D38=0,"",IF(01_Parametres!$B$11="Oui",AVERAGEIFS(11_StatScores!F$5:F$2004,11_StatScores!C$5:C$2004,A38,11_StatScores!F$5:F$2004,"&gt;0"),AVERAGEIFS(11_StatScores!F$5:F$2004,11_StatScores!C$5:C$2004,A38)))</x:f>
      </x:c>
      <x:c r="H38" s="13">
        <x:f>IF($D38=0,"",IF(01_Parametres!$B$11="Oui",AVERAGEIFS(11_StatScores!G$5:G$2004,11_StatScores!C$5:C$2004,A38,11_StatScores!G$5:G$2004,"&gt;0"),AVERAGEIFS(11_StatScores!G$5:G$2004,11_StatScores!C$5:C$2004,A38)))</x:f>
      </x:c>
    </x:row>
    <x:row r="39">
      <x:c r="A39" s="10" t="inlineStr">
        <x:is>
          <x:t xml:space="preserve">D04S34</x:t>
        </x:is>
      </x:c>
      <x:c r="B39" s="10" t="inlineStr">
        <x:is>
          <x:t xml:space="preserve">Part des énergies renouvelables</x:t>
        </x:is>
      </x:c>
      <x:c r="C39" s="10">
        <x:f>IFERROR(VLOOKUP(VLOOKUP(A39,02_Referentiels!$A$20:$D$99,2,FALSE),02_Referentiels!$A$5:$C$16,2,FALSE),"")</x:f>
      </x:c>
      <x:c r="D39" s="10">
        <x:f>COUNTIF(11_StatScores!C5:C2004,A39)</x:f>
        <x:v>0</x:v>
      </x:c>
      <x:c r="E39" s="13">
        <x:f>IF($D39=0,"",IF(01_Parametres!$B$11="Oui",AVERAGEIFS(11_StatScores!D$5:D$2004,11_StatScores!C$5:C$2004,A39,11_StatScores!D$5:D$2004,"&gt;0"),AVERAGEIFS(11_StatScores!D$5:D$2004,11_StatScores!C$5:C$2004,A39)))</x:f>
      </x:c>
      <x:c r="F39" s="13">
        <x:f>IF($D39=0,"",IF(01_Parametres!$B$11="Oui",AVERAGEIFS(11_StatScores!E$5:E$2004,11_StatScores!C$5:C$2004,A39,11_StatScores!E$5:E$2004,"&gt;0"),AVERAGEIFS(11_StatScores!E$5:E$2004,11_StatScores!C$5:C$2004,A39)))</x:f>
      </x:c>
      <x:c r="G39" s="13">
        <x:f>IF($D39=0,"",IF(01_Parametres!$B$11="Oui",AVERAGEIFS(11_StatScores!F$5:F$2004,11_StatScores!C$5:C$2004,A39,11_StatScores!F$5:F$2004,"&gt;0"),AVERAGEIFS(11_StatScores!F$5:F$2004,11_StatScores!C$5:C$2004,A39)))</x:f>
      </x:c>
      <x:c r="H39" s="13">
        <x:f>IF($D39=0,"",IF(01_Parametres!$B$11="Oui",AVERAGEIFS(11_StatScores!G$5:G$2004,11_StatScores!C$5:C$2004,A39,11_StatScores!G$5:G$2004,"&gt;0"),AVERAGEIFS(11_StatScores!G$5:G$2004,11_StatScores!C$5:C$2004,A39)))</x:f>
      </x:c>
    </x:row>
    <x:row r="40">
      <x:c r="A40" s="10" t="inlineStr">
        <x:is>
          <x:t xml:space="preserve">D05S35</x:t>
        </x:is>
      </x:c>
      <x:c r="B40" s="10" t="inlineStr">
        <x:is>
          <x:t xml:space="preserve">Taux de pauvreté (seuil national)</x:t>
        </x:is>
      </x:c>
      <x:c r="C40" s="10">
        <x:f>IFERROR(VLOOKUP(VLOOKUP(A40,02_Referentiels!$A$20:$D$99,2,FALSE),02_Referentiels!$A$5:$C$16,2,FALSE),"")</x:f>
      </x:c>
      <x:c r="D40" s="10">
        <x:f>COUNTIF(11_StatScores!C5:C2004,A40)</x:f>
        <x:v>0</x:v>
      </x:c>
      <x:c r="E40" s="13">
        <x:f>IF($D40=0,"",IF(01_Parametres!$B$11="Oui",AVERAGEIFS(11_StatScores!D$5:D$2004,11_StatScores!C$5:C$2004,A40,11_StatScores!D$5:D$2004,"&gt;0"),AVERAGEIFS(11_StatScores!D$5:D$2004,11_StatScores!C$5:C$2004,A40)))</x:f>
      </x:c>
      <x:c r="F40" s="13">
        <x:f>IF($D40=0,"",IF(01_Parametres!$B$11="Oui",AVERAGEIFS(11_StatScores!E$5:E$2004,11_StatScores!C$5:C$2004,A40,11_StatScores!E$5:E$2004,"&gt;0"),AVERAGEIFS(11_StatScores!E$5:E$2004,11_StatScores!C$5:C$2004,A40)))</x:f>
      </x:c>
      <x:c r="G40" s="13">
        <x:f>IF($D40=0,"",IF(01_Parametres!$B$11="Oui",AVERAGEIFS(11_StatScores!F$5:F$2004,11_StatScores!C$5:C$2004,A40,11_StatScores!F$5:F$2004,"&gt;0"),AVERAGEIFS(11_StatScores!F$5:F$2004,11_StatScores!C$5:C$2004,A40)))</x:f>
      </x:c>
      <x:c r="H40" s="13">
        <x:f>IF($D40=0,"",IF(01_Parametres!$B$11="Oui",AVERAGEIFS(11_StatScores!G$5:G$2004,11_StatScores!C$5:C$2004,A40,11_StatScores!G$5:G$2004,"&gt;0"),AVERAGEIFS(11_StatScores!G$5:G$2004,11_StatScores!C$5:C$2004,A40)))</x:f>
      </x:c>
    </x:row>
    <x:row r="41">
      <x:c r="A41" s="10" t="inlineStr">
        <x:is>
          <x:t xml:space="preserve">D05S36</x:t>
        </x:is>
      </x:c>
      <x:c r="B41" s="10" t="inlineStr">
        <x:is>
          <x:t xml:space="preserve">Indice de Gini (Inégalités de revenus)</x:t>
        </x:is>
      </x:c>
      <x:c r="C41" s="10">
        <x:f>IFERROR(VLOOKUP(VLOOKUP(A41,02_Referentiels!$A$20:$D$99,2,FALSE),02_Referentiels!$A$5:$C$16,2,FALSE),"")</x:f>
      </x:c>
      <x:c r="D41" s="10">
        <x:f>COUNTIF(11_StatScores!C5:C2004,A41)</x:f>
        <x:v>0</x:v>
      </x:c>
      <x:c r="E41" s="13">
        <x:f>IF($D41=0,"",IF(01_Parametres!$B$11="Oui",AVERAGEIFS(11_StatScores!D$5:D$2004,11_StatScores!C$5:C$2004,A41,11_StatScores!D$5:D$2004,"&gt;0"),AVERAGEIFS(11_StatScores!D$5:D$2004,11_StatScores!C$5:C$2004,A41)))</x:f>
      </x:c>
      <x:c r="F41" s="13">
        <x:f>IF($D41=0,"",IF(01_Parametres!$B$11="Oui",AVERAGEIFS(11_StatScores!E$5:E$2004,11_StatScores!C$5:C$2004,A41,11_StatScores!E$5:E$2004,"&gt;0"),AVERAGEIFS(11_StatScores!E$5:E$2004,11_StatScores!C$5:C$2004,A41)))</x:f>
      </x:c>
      <x:c r="G41" s="13">
        <x:f>IF($D41=0,"",IF(01_Parametres!$B$11="Oui",AVERAGEIFS(11_StatScores!F$5:F$2004,11_StatScores!C$5:C$2004,A41,11_StatScores!F$5:F$2004,"&gt;0"),AVERAGEIFS(11_StatScores!F$5:F$2004,11_StatScores!C$5:C$2004,A41)))</x:f>
      </x:c>
      <x:c r="H41" s="13">
        <x:f>IF($D41=0,"",IF(01_Parametres!$B$11="Oui",AVERAGEIFS(11_StatScores!G$5:G$2004,11_StatScores!C$5:C$2004,A41,11_StatScores!G$5:G$2004,"&gt;0"),AVERAGEIFS(11_StatScores!G$5:G$2004,11_StatScores!C$5:C$2004,A41)))</x:f>
      </x:c>
    </x:row>
    <x:row r="42">
      <x:c r="A42" s="10" t="inlineStr">
        <x:is>
          <x:t xml:space="preserve">D05S37</x:t>
        </x:is>
      </x:c>
      <x:c r="B42" s="10" t="inlineStr">
        <x:is>
          <x:t xml:space="preserve">Accès à l'eau potable salubre</x:t>
        </x:is>
      </x:c>
      <x:c r="C42" s="10">
        <x:f>IFERROR(VLOOKUP(VLOOKUP(A42,02_Referentiels!$A$20:$D$99,2,FALSE),02_Referentiels!$A$5:$C$16,2,FALSE),"")</x:f>
      </x:c>
      <x:c r="D42" s="10">
        <x:f>COUNTIF(11_StatScores!C5:C2004,A42)</x:f>
        <x:v>0</x:v>
      </x:c>
      <x:c r="E42" s="13">
        <x:f>IF($D42=0,"",IF(01_Parametres!$B$11="Oui",AVERAGEIFS(11_StatScores!D$5:D$2004,11_StatScores!C$5:C$2004,A42,11_StatScores!D$5:D$2004,"&gt;0"),AVERAGEIFS(11_StatScores!D$5:D$2004,11_StatScores!C$5:C$2004,A42)))</x:f>
      </x:c>
      <x:c r="F42" s="13">
        <x:f>IF($D42=0,"",IF(01_Parametres!$B$11="Oui",AVERAGEIFS(11_StatScores!E$5:E$2004,11_StatScores!C$5:C$2004,A42,11_StatScores!E$5:E$2004,"&gt;0"),AVERAGEIFS(11_StatScores!E$5:E$2004,11_StatScores!C$5:C$2004,A42)))</x:f>
      </x:c>
      <x:c r="G42" s="13">
        <x:f>IF($D42=0,"",IF(01_Parametres!$B$11="Oui",AVERAGEIFS(11_StatScores!F$5:F$2004,11_StatScores!C$5:C$2004,A42,11_StatScores!F$5:F$2004,"&gt;0"),AVERAGEIFS(11_StatScores!F$5:F$2004,11_StatScores!C$5:C$2004,A42)))</x:f>
      </x:c>
      <x:c r="H42" s="13">
        <x:f>IF($D42=0,"",IF(01_Parametres!$B$11="Oui",AVERAGEIFS(11_StatScores!G$5:G$2004,11_StatScores!C$5:C$2004,A42,11_StatScores!G$5:G$2004,"&gt;0"),AVERAGEIFS(11_StatScores!G$5:G$2004,11_StatScores!C$5:C$2004,A42)))</x:f>
      </x:c>
    </x:row>
    <x:row r="43">
      <x:c r="A43" s="10" t="inlineStr">
        <x:is>
          <x:t xml:space="preserve">D05S38</x:t>
        </x:is>
      </x:c>
      <x:c r="B43" s="10" t="inlineStr">
        <x:is>
          <x:t xml:space="preserve">Accès à l'assainissement amélioré</x:t>
        </x:is>
      </x:c>
      <x:c r="C43" s="10">
        <x:f>IFERROR(VLOOKUP(VLOOKUP(A43,02_Referentiels!$A$20:$D$99,2,FALSE),02_Referentiels!$A$5:$C$16,2,FALSE),"")</x:f>
      </x:c>
      <x:c r="D43" s="10">
        <x:f>COUNTIF(11_StatScores!C5:C2004,A43)</x:f>
        <x:v>0</x:v>
      </x:c>
      <x:c r="E43" s="13">
        <x:f>IF($D43=0,"",IF(01_Parametres!$B$11="Oui",AVERAGEIFS(11_StatScores!D$5:D$2004,11_StatScores!C$5:C$2004,A43,11_StatScores!D$5:D$2004,"&gt;0"),AVERAGEIFS(11_StatScores!D$5:D$2004,11_StatScores!C$5:C$2004,A43)))</x:f>
      </x:c>
      <x:c r="F43" s="13">
        <x:f>IF($D43=0,"",IF(01_Parametres!$B$11="Oui",AVERAGEIFS(11_StatScores!E$5:E$2004,11_StatScores!C$5:C$2004,A43,11_StatScores!E$5:E$2004,"&gt;0"),AVERAGEIFS(11_StatScores!E$5:E$2004,11_StatScores!C$5:C$2004,A43)))</x:f>
      </x:c>
      <x:c r="G43" s="13">
        <x:f>IF($D43=0,"",IF(01_Parametres!$B$11="Oui",AVERAGEIFS(11_StatScores!F$5:F$2004,11_StatScores!C$5:C$2004,A43,11_StatScores!F$5:F$2004,"&gt;0"),AVERAGEIFS(11_StatScores!F$5:F$2004,11_StatScores!C$5:C$2004,A43)))</x:f>
      </x:c>
      <x:c r="H43" s="13">
        <x:f>IF($D43=0,"",IF(01_Parametres!$B$11="Oui",AVERAGEIFS(11_StatScores!G$5:G$2004,11_StatScores!C$5:C$2004,A43,11_StatScores!G$5:G$2004,"&gt;0"),AVERAGEIFS(11_StatScores!G$5:G$2004,11_StatScores!C$5:C$2004,A43)))</x:f>
      </x:c>
    </x:row>
    <x:row r="44">
      <x:c r="A44" s="10" t="inlineStr">
        <x:is>
          <x:t xml:space="preserve">D05S39</x:t>
        </x:is>
      </x:c>
      <x:c r="B44" s="10" t="inlineStr">
        <x:is>
          <x:t xml:space="preserve">Population urbaine vivant dans des taudis</x:t>
        </x:is>
      </x:c>
      <x:c r="C44" s="10">
        <x:f>IFERROR(VLOOKUP(VLOOKUP(A44,02_Referentiels!$A$20:$D$99,2,FALSE),02_Referentiels!$A$5:$C$16,2,FALSE),"")</x:f>
      </x:c>
      <x:c r="D44" s="10">
        <x:f>COUNTIF(11_StatScores!C5:C2004,A44)</x:f>
        <x:v>0</x:v>
      </x:c>
      <x:c r="E44" s="13">
        <x:f>IF($D44=0,"",IF(01_Parametres!$B$11="Oui",AVERAGEIFS(11_StatScores!D$5:D$2004,11_StatScores!C$5:C$2004,A44,11_StatScores!D$5:D$2004,"&gt;0"),AVERAGEIFS(11_StatScores!D$5:D$2004,11_StatScores!C$5:C$2004,A44)))</x:f>
      </x:c>
      <x:c r="F44" s="13">
        <x:f>IF($D44=0,"",IF(01_Parametres!$B$11="Oui",AVERAGEIFS(11_StatScores!E$5:E$2004,11_StatScores!C$5:C$2004,A44,11_StatScores!E$5:E$2004,"&gt;0"),AVERAGEIFS(11_StatScores!E$5:E$2004,11_StatScores!C$5:C$2004,A44)))</x:f>
      </x:c>
      <x:c r="G44" s="13">
        <x:f>IF($D44=0,"",IF(01_Parametres!$B$11="Oui",AVERAGEIFS(11_StatScores!F$5:F$2004,11_StatScores!C$5:C$2004,A44,11_StatScores!F$5:F$2004,"&gt;0"),AVERAGEIFS(11_StatScores!F$5:F$2004,11_StatScores!C$5:C$2004,A44)))</x:f>
      </x:c>
      <x:c r="H44" s="13">
        <x:f>IF($D44=0,"",IF(01_Parametres!$B$11="Oui",AVERAGEIFS(11_StatScores!G$5:G$2004,11_StatScores!C$5:C$2004,A44,11_StatScores!G$5:G$2004,"&gt;0"),AVERAGEIFS(11_StatScores!G$5:G$2004,11_StatScores!C$5:C$2004,A44)))</x:f>
      </x:c>
    </x:row>
    <x:row r="45">
      <x:c r="A45" s="10" t="inlineStr">
        <x:is>
          <x:t xml:space="preserve">D05S40</x:t>
        </x:is>
      </x:c>
      <x:c r="B45" s="10" t="inlineStr">
        <x:is>
          <x:t xml:space="preserve">Accès à un logement décent</x:t>
        </x:is>
      </x:c>
      <x:c r="C45" s="10">
        <x:f>IFERROR(VLOOKUP(VLOOKUP(A45,02_Referentiels!$A$20:$D$99,2,FALSE),02_Referentiels!$A$5:$C$16,2,FALSE),"")</x:f>
      </x:c>
      <x:c r="D45" s="10">
        <x:f>COUNTIF(11_StatScores!C5:C2004,A45)</x:f>
        <x:v>0</x:v>
      </x:c>
      <x:c r="E45" s="13">
        <x:f>IF($D45=0,"",IF(01_Parametres!$B$11="Oui",AVERAGEIFS(11_StatScores!D$5:D$2004,11_StatScores!C$5:C$2004,A45,11_StatScores!D$5:D$2004,"&gt;0"),AVERAGEIFS(11_StatScores!D$5:D$2004,11_StatScores!C$5:C$2004,A45)))</x:f>
      </x:c>
      <x:c r="F45" s="13">
        <x:f>IF($D45=0,"",IF(01_Parametres!$B$11="Oui",AVERAGEIFS(11_StatScores!E$5:E$2004,11_StatScores!C$5:C$2004,A45,11_StatScores!E$5:E$2004,"&gt;0"),AVERAGEIFS(11_StatScores!E$5:E$2004,11_StatScores!C$5:C$2004,A45)))</x:f>
      </x:c>
      <x:c r="G45" s="13">
        <x:f>IF($D45=0,"",IF(01_Parametres!$B$11="Oui",AVERAGEIFS(11_StatScores!F$5:F$2004,11_StatScores!C$5:C$2004,A45,11_StatScores!F$5:F$2004,"&gt;0"),AVERAGEIFS(11_StatScores!F$5:F$2004,11_StatScores!C$5:C$2004,A45)))</x:f>
      </x:c>
      <x:c r="H45" s="13">
        <x:f>IF($D45=0,"",IF(01_Parametres!$B$11="Oui",AVERAGEIFS(11_StatScores!G$5:G$2004,11_StatScores!C$5:C$2004,A45,11_StatScores!G$5:G$2004,"&gt;0"),AVERAGEIFS(11_StatScores!G$5:G$2004,11_StatScores!C$5:C$2004,A45)))</x:f>
      </x:c>
    </x:row>
    <x:row r="46">
      <x:c r="A46" s="10" t="inlineStr">
        <x:is>
          <x:t xml:space="preserve">D05S41</x:t>
        </x:is>
      </x:c>
      <x:c r="B46" s="10" t="inlineStr">
        <x:is>
          <x:t xml:space="preserve">Accès à l'eau (Pays en transition/fragiles)</x:t>
        </x:is>
      </x:c>
      <x:c r="C46" s="10">
        <x:f>IFERROR(VLOOKUP(VLOOKUP(A46,02_Referentiels!$A$20:$D$99,2,FALSE),02_Referentiels!$A$5:$C$16,2,FALSE),"")</x:f>
      </x:c>
      <x:c r="D46" s="10">
        <x:f>COUNTIF(11_StatScores!C5:C2004,A46)</x:f>
        <x:v>0</x:v>
      </x:c>
      <x:c r="E46" s="13">
        <x:f>IF($D46=0,"",IF(01_Parametres!$B$11="Oui",AVERAGEIFS(11_StatScores!D$5:D$2004,11_StatScores!C$5:C$2004,A46,11_StatScores!D$5:D$2004,"&gt;0"),AVERAGEIFS(11_StatScores!D$5:D$2004,11_StatScores!C$5:C$2004,A46)))</x:f>
      </x:c>
      <x:c r="F46" s="13">
        <x:f>IF($D46=0,"",IF(01_Parametres!$B$11="Oui",AVERAGEIFS(11_StatScores!E$5:E$2004,11_StatScores!C$5:C$2004,A46,11_StatScores!E$5:E$2004,"&gt;0"),AVERAGEIFS(11_StatScores!E$5:E$2004,11_StatScores!C$5:C$2004,A46)))</x:f>
      </x:c>
      <x:c r="G46" s="13">
        <x:f>IF($D46=0,"",IF(01_Parametres!$B$11="Oui",AVERAGEIFS(11_StatScores!F$5:F$2004,11_StatScores!C$5:C$2004,A46,11_StatScores!F$5:F$2004,"&gt;0"),AVERAGEIFS(11_StatScores!F$5:F$2004,11_StatScores!C$5:C$2004,A46)))</x:f>
      </x:c>
      <x:c r="H46" s="13">
        <x:f>IF($D46=0,"",IF(01_Parametres!$B$11="Oui",AVERAGEIFS(11_StatScores!G$5:G$2004,11_StatScores!C$5:C$2004,A46,11_StatScores!G$5:G$2004,"&gt;0"),AVERAGEIFS(11_StatScores!G$5:G$2004,11_StatScores!C$5:C$2004,A46)))</x:f>
      </x:c>
    </x:row>
    <x:row r="47">
      <x:c r="A47" s="10" t="inlineStr">
        <x:is>
          <x:t xml:space="preserve">D06S42</x:t>
        </x:is>
      </x:c>
      <x:c r="B47" s="10" t="inlineStr">
        <x:is>
          <x:t xml:space="preserve">Taux net de scolarisation (Primaire)</x:t>
        </x:is>
      </x:c>
      <x:c r="C47" s="10">
        <x:f>IFERROR(VLOOKUP(VLOOKUP(A47,02_Referentiels!$A$20:$D$99,2,FALSE),02_Referentiels!$A$5:$C$16,2,FALSE),"")</x:f>
      </x:c>
      <x:c r="D47" s="10">
        <x:f>COUNTIF(11_StatScores!C5:C2004,A47)</x:f>
        <x:v>0</x:v>
      </x:c>
      <x:c r="E47" s="13">
        <x:f>IF($D47=0,"",IF(01_Parametres!$B$11="Oui",AVERAGEIFS(11_StatScores!D$5:D$2004,11_StatScores!C$5:C$2004,A47,11_StatScores!D$5:D$2004,"&gt;0"),AVERAGEIFS(11_StatScores!D$5:D$2004,11_StatScores!C$5:C$2004,A47)))</x:f>
      </x:c>
      <x:c r="F47" s="13">
        <x:f>IF($D47=0,"",IF(01_Parametres!$B$11="Oui",AVERAGEIFS(11_StatScores!E$5:E$2004,11_StatScores!C$5:C$2004,A47,11_StatScores!E$5:E$2004,"&gt;0"),AVERAGEIFS(11_StatScores!E$5:E$2004,11_StatScores!C$5:C$2004,A47)))</x:f>
      </x:c>
      <x:c r="G47" s="13">
        <x:f>IF($D47=0,"",IF(01_Parametres!$B$11="Oui",AVERAGEIFS(11_StatScores!F$5:F$2004,11_StatScores!C$5:C$2004,A47,11_StatScores!F$5:F$2004,"&gt;0"),AVERAGEIFS(11_StatScores!F$5:F$2004,11_StatScores!C$5:C$2004,A47)))</x:f>
      </x:c>
      <x:c r="H47" s="13">
        <x:f>IF($D47=0,"",IF(01_Parametres!$B$11="Oui",AVERAGEIFS(11_StatScores!G$5:G$2004,11_StatScores!C$5:C$2004,A47,11_StatScores!G$5:G$2004,"&gt;0"),AVERAGEIFS(11_StatScores!G$5:G$2004,11_StatScores!C$5:C$2004,A47)))</x:f>
      </x:c>
    </x:row>
    <x:row r="48">
      <x:c r="A48" s="10" t="inlineStr">
        <x:is>
          <x:t xml:space="preserve">D06S43</x:t>
        </x:is>
      </x:c>
      <x:c r="B48" s="10" t="inlineStr">
        <x:is>
          <x:t xml:space="preserve">Taux net de scolarisation (Secondaire)</x:t>
        </x:is>
      </x:c>
      <x:c r="C48" s="10">
        <x:f>IFERROR(VLOOKUP(VLOOKUP(A48,02_Referentiels!$A$20:$D$99,2,FALSE),02_Referentiels!$A$5:$C$16,2,FALSE),"")</x:f>
      </x:c>
      <x:c r="D48" s="10">
        <x:f>COUNTIF(11_StatScores!C5:C2004,A48)</x:f>
        <x:v>0</x:v>
      </x:c>
      <x:c r="E48" s="13">
        <x:f>IF($D48=0,"",IF(01_Parametres!$B$11="Oui",AVERAGEIFS(11_StatScores!D$5:D$2004,11_StatScores!C$5:C$2004,A48,11_StatScores!D$5:D$2004,"&gt;0"),AVERAGEIFS(11_StatScores!D$5:D$2004,11_StatScores!C$5:C$2004,A48)))</x:f>
      </x:c>
      <x:c r="F48" s="13">
        <x:f>IF($D48=0,"",IF(01_Parametres!$B$11="Oui",AVERAGEIFS(11_StatScores!E$5:E$2004,11_StatScores!C$5:C$2004,A48,11_StatScores!E$5:E$2004,"&gt;0"),AVERAGEIFS(11_StatScores!E$5:E$2004,11_StatScores!C$5:C$2004,A48)))</x:f>
      </x:c>
      <x:c r="G48" s="13">
        <x:f>IF($D48=0,"",IF(01_Parametres!$B$11="Oui",AVERAGEIFS(11_StatScores!F$5:F$2004,11_StatScores!C$5:C$2004,A48,11_StatScores!F$5:F$2004,"&gt;0"),AVERAGEIFS(11_StatScores!F$5:F$2004,11_StatScores!C$5:C$2004,A48)))</x:f>
      </x:c>
      <x:c r="H48" s="13">
        <x:f>IF($D48=0,"",IF(01_Parametres!$B$11="Oui",AVERAGEIFS(11_StatScores!G$5:G$2004,11_StatScores!C$5:C$2004,A48,11_StatScores!G$5:G$2004,"&gt;0"),AVERAGEIFS(11_StatScores!G$5:G$2004,11_StatScores!C$5:C$2004,A48)))</x:f>
      </x:c>
    </x:row>
    <x:row r="49">
      <x:c r="A49" s="10" t="inlineStr">
        <x:is>
          <x:t xml:space="preserve">D06S44</x:t>
        </x:is>
      </x:c>
      <x:c r="B49" s="10" t="inlineStr">
        <x:is>
          <x:t xml:space="preserve">Taux de scolarisation pré-primaire</x:t>
        </x:is>
      </x:c>
      <x:c r="C49" s="10">
        <x:f>IFERROR(VLOOKUP(VLOOKUP(A49,02_Referentiels!$A$20:$D$99,2,FALSE),02_Referentiels!$A$5:$C$16,2,FALSE),"")</x:f>
      </x:c>
      <x:c r="D49" s="10">
        <x:f>COUNTIF(11_StatScores!C5:C2004,A49)</x:f>
        <x:v>0</x:v>
      </x:c>
      <x:c r="E49" s="13">
        <x:f>IF($D49=0,"",IF(01_Parametres!$B$11="Oui",AVERAGEIFS(11_StatScores!D$5:D$2004,11_StatScores!C$5:C$2004,A49,11_StatScores!D$5:D$2004,"&gt;0"),AVERAGEIFS(11_StatScores!D$5:D$2004,11_StatScores!C$5:C$2004,A49)))</x:f>
      </x:c>
      <x:c r="F49" s="13">
        <x:f>IF($D49=0,"",IF(01_Parametres!$B$11="Oui",AVERAGEIFS(11_StatScores!E$5:E$2004,11_StatScores!C$5:C$2004,A49,11_StatScores!E$5:E$2004,"&gt;0"),AVERAGEIFS(11_StatScores!E$5:E$2004,11_StatScores!C$5:C$2004,A49)))</x:f>
      </x:c>
      <x:c r="G49" s="13">
        <x:f>IF($D49=0,"",IF(01_Parametres!$B$11="Oui",AVERAGEIFS(11_StatScores!F$5:F$2004,11_StatScores!C$5:C$2004,A49,11_StatScores!F$5:F$2004,"&gt;0"),AVERAGEIFS(11_StatScores!F$5:F$2004,11_StatScores!C$5:C$2004,A49)))</x:f>
      </x:c>
      <x:c r="H49" s="13">
        <x:f>IF($D49=0,"",IF(01_Parametres!$B$11="Oui",AVERAGEIFS(11_StatScores!G$5:G$2004,11_StatScores!C$5:C$2004,A49,11_StatScores!G$5:G$2004,"&gt;0"),AVERAGEIFS(11_StatScores!G$5:G$2004,11_StatScores!C$5:C$2004,A49)))</x:f>
      </x:c>
    </x:row>
    <x:row r="50">
      <x:c r="A50" s="10" t="inlineStr">
        <x:is>
          <x:t xml:space="preserve">D06S45</x:t>
        </x:is>
      </x:c>
      <x:c r="B50" s="10" t="inlineStr">
        <x:is>
          <x:t xml:space="preserve">Proportion de diplômés en STEM</x:t>
        </x:is>
      </x:c>
      <x:c r="C50" s="10">
        <x:f>IFERROR(VLOOKUP(VLOOKUP(A50,02_Referentiels!$A$20:$D$99,2,FALSE),02_Referentiels!$A$5:$C$16,2,FALSE),"")</x:f>
      </x:c>
      <x:c r="D50" s="10">
        <x:f>COUNTIF(11_StatScores!C5:C2004,A50)</x:f>
        <x:v>0</x:v>
      </x:c>
      <x:c r="E50" s="13">
        <x:f>IF($D50=0,"",IF(01_Parametres!$B$11="Oui",AVERAGEIFS(11_StatScores!D$5:D$2004,11_StatScores!C$5:C$2004,A50,11_StatScores!D$5:D$2004,"&gt;0"),AVERAGEIFS(11_StatScores!D$5:D$2004,11_StatScores!C$5:C$2004,A50)))</x:f>
      </x:c>
      <x:c r="F50" s="13">
        <x:f>IF($D50=0,"",IF(01_Parametres!$B$11="Oui",AVERAGEIFS(11_StatScores!E$5:E$2004,11_StatScores!C$5:C$2004,A50,11_StatScores!E$5:E$2004,"&gt;0"),AVERAGEIFS(11_StatScores!E$5:E$2004,11_StatScores!C$5:C$2004,A50)))</x:f>
      </x:c>
      <x:c r="G50" s="13">
        <x:f>IF($D50=0,"",IF(01_Parametres!$B$11="Oui",AVERAGEIFS(11_StatScores!F$5:F$2004,11_StatScores!C$5:C$2004,A50,11_StatScores!F$5:F$2004,"&gt;0"),AVERAGEIFS(11_StatScores!F$5:F$2004,11_StatScores!C$5:C$2004,A50)))</x:f>
      </x:c>
      <x:c r="H50" s="13">
        <x:f>IF($D50=0,"",IF(01_Parametres!$B$11="Oui",AVERAGEIFS(11_StatScores!G$5:G$2004,11_StatScores!C$5:C$2004,A50,11_StatScores!G$5:G$2004,"&gt;0"),AVERAGEIFS(11_StatScores!G$5:G$2004,11_StatScores!C$5:C$2004,A50)))</x:f>
      </x:c>
    </x:row>
    <x:row r="51">
      <x:c r="A51" s="10" t="inlineStr">
        <x:is>
          <x:t xml:space="preserve">D06S46</x:t>
        </x:is>
      </x:c>
      <x:c r="B51" s="10" t="inlineStr">
        <x:is>
          <x:t xml:space="preserve">Taux de compétence minimale (Lecture/Maths)</x:t>
        </x:is>
      </x:c>
      <x:c r="C51" s="10">
        <x:f>IFERROR(VLOOKUP(VLOOKUP(A51,02_Referentiels!$A$20:$D$99,2,FALSE),02_Referentiels!$A$5:$C$16,2,FALSE),"")</x:f>
      </x:c>
      <x:c r="D51" s="10">
        <x:f>COUNTIF(11_StatScores!C5:C2004,A51)</x:f>
      </x:c>
      <x:c r="E51" s="13">
        <x:f>IF($D51=0,"",IF(01_Parametres!$B$11="Oui",AVERAGEIFS(11_StatScores!D$5:D$2004,11_StatScores!C$5:C$2004,A51,11_StatScores!D$5:D$2004,"&gt;0"),AVERAGEIFS(11_StatScores!D$5:D$2004,11_StatScores!C$5:C$2004,A51)))</x:f>
      </x:c>
      <x:c r="F51" s="13">
        <x:f>IF($D51=0,"",IF(01_Parametres!$B$11="Oui",AVERAGEIFS(11_StatScores!E$5:E$2004,11_StatScores!C$5:C$2004,A51,11_StatScores!E$5:E$2004,"&gt;0"),AVERAGEIFS(11_StatScores!E$5:E$2004,11_StatScores!C$5:C$2004,A51)))</x:f>
      </x:c>
      <x:c r="G51" s="13">
        <x:f>IF($D51=0,"",IF(01_Parametres!$B$11="Oui",AVERAGEIFS(11_StatScores!F$5:F$2004,11_StatScores!C$5:C$2004,A51,11_StatScores!F$5:F$2004,"&gt;0"),AVERAGEIFS(11_StatScores!F$5:F$2004,11_StatScores!C$5:C$2004,A51)))</x:f>
      </x:c>
      <x:c r="H51" s="13">
        <x:f>IF($D51=0,"",IF(01_Parametres!$B$11="Oui",AVERAGEIFS(11_StatScores!G$5:G$2004,11_StatScores!C$5:C$2004,A51,11_StatScores!G$5:G$2004,"&gt;0"),AVERAGEIFS(11_StatScores!G$5:G$2004,11_StatScores!C$5:C$2004,A51)))</x:f>
      </x:c>
    </x:row>
    <x:row r="52">
      <x:c r="A52" s="10" t="inlineStr">
        <x:is>
          <x:t xml:space="preserve">D06S47</x:t>
        </x:is>
      </x:c>
      <x:c r="B52" s="10" t="inlineStr">
        <x:is>
          <x:t xml:space="preserve">Ratio Élèves / Enseignant qualifié</x:t>
        </x:is>
      </x:c>
      <x:c r="C52" s="10">
        <x:f>IFERROR(VLOOKUP(VLOOKUP(A52,02_Referentiels!$A$20:$D$99,2,FALSE),02_Referentiels!$A$5:$C$16,2,FALSE),"")</x:f>
      </x:c>
      <x:c r="D52" s="10">
        <x:f>COUNTIF(11_StatScores!C5:C2004,A52)</x:f>
      </x:c>
      <x:c r="E52" s="13">
        <x:f>IF($D52=0,"",IF(01_Parametres!$B$11="Oui",AVERAGEIFS(11_StatScores!D$5:D$2004,11_StatScores!C$5:C$2004,A52,11_StatScores!D$5:D$2004,"&gt;0"),AVERAGEIFS(11_StatScores!D$5:D$2004,11_StatScores!C$5:C$2004,A52)))</x:f>
      </x:c>
      <x:c r="F52" s="13">
        <x:f>IF($D52=0,"",IF(01_Parametres!$B$11="Oui",AVERAGEIFS(11_StatScores!E$5:E$2004,11_StatScores!C$5:C$2004,A52,11_StatScores!E$5:E$2004,"&gt;0"),AVERAGEIFS(11_StatScores!E$5:E$2004,11_StatScores!C$5:C$2004,A52)))</x:f>
      </x:c>
      <x:c r="G52" s="13">
        <x:f>IF($D52=0,"",IF(01_Parametres!$B$11="Oui",AVERAGEIFS(11_StatScores!F$5:F$2004,11_StatScores!C$5:C$2004,A52,11_StatScores!F$5:F$2004,"&gt;0"),AVERAGEIFS(11_StatScores!F$5:F$2004,11_StatScores!C$5:C$2004,A52)))</x:f>
      </x:c>
      <x:c r="H52" s="13">
        <x:f>IF($D52=0,"",IF(01_Parametres!$B$11="Oui",AVERAGEIFS(11_StatScores!G$5:G$2004,11_StatScores!C$5:C$2004,A52,11_StatScores!G$5:G$2004,"&gt;0"),AVERAGEIFS(11_StatScores!G$5:G$2004,11_StatScores!C$5:C$2004,A52)))</x:f>
      </x:c>
    </x:row>
    <x:row r="53">
      <x:c r="A53" s="10" t="inlineStr">
        <x:is>
          <x:t xml:space="preserve">D06S48</x:t>
        </x:is>
      </x:c>
      <x:c r="B53" s="10" t="inlineStr">
        <x:is>
          <x:t xml:space="preserve">Taux brut de scolarisation (Supérieur)</x:t>
        </x:is>
      </x:c>
      <x:c r="C53" s="10">
        <x:f>IFERROR(VLOOKUP(VLOOKUP(A53,02_Referentiels!$A$20:$D$99,2,FALSE),02_Referentiels!$A$5:$C$16,2,FALSE),"")</x:f>
      </x:c>
      <x:c r="D53" s="10">
        <x:f>COUNTIF(11_StatScores!C5:C2004,A53)</x:f>
      </x:c>
      <x:c r="E53" s="13">
        <x:f>IF($D53=0,"",IF(01_Parametres!$B$11="Oui",AVERAGEIFS(11_StatScores!D$5:D$2004,11_StatScores!C$5:C$2004,A53,11_StatScores!D$5:D$2004,"&gt;0"),AVERAGEIFS(11_StatScores!D$5:D$2004,11_StatScores!C$5:C$2004,A53)))</x:f>
      </x:c>
      <x:c r="F53" s="13">
        <x:f>IF($D53=0,"",IF(01_Parametres!$B$11="Oui",AVERAGEIFS(11_StatScores!E$5:E$2004,11_StatScores!C$5:C$2004,A53,11_StatScores!E$5:E$2004,"&gt;0"),AVERAGEIFS(11_StatScores!E$5:E$2004,11_StatScores!C$5:C$2004,A53)))</x:f>
      </x:c>
      <x:c r="G53" s="13">
        <x:f>IF($D53=0,"",IF(01_Parametres!$B$11="Oui",AVERAGEIFS(11_StatScores!F$5:F$2004,11_StatScores!C$5:C$2004,A53,11_StatScores!F$5:F$2004,"&gt;0"),AVERAGEIFS(11_StatScores!F$5:F$2004,11_StatScores!C$5:C$2004,A53)))</x:f>
      </x:c>
      <x:c r="H53" s="13">
        <x:f>IF($D53=0,"",IF(01_Parametres!$B$11="Oui",AVERAGEIFS(11_StatScores!G$5:G$2004,11_StatScores!C$5:C$2004,A53,11_StatScores!G$5:G$2004,"&gt;0"),AVERAGEIFS(11_StatScores!G$5:G$2004,11_StatScores!C$5:C$2004,A53)))</x:f>
      </x:c>
    </x:row>
    <x:row r="54">
      <x:c r="A54" s="10" t="inlineStr">
        <x:is>
          <x:t xml:space="preserve">D07S49</x:t>
        </x:is>
      </x:c>
      <x:c r="B54" s="10" t="inlineStr">
        <x:is>
          <x:t xml:space="preserve">Accès aux soins de santé primaires</x:t>
        </x:is>
      </x:c>
      <x:c r="C54" s="10">
        <x:f>IFERROR(VLOOKUP(VLOOKUP(A54,02_Referentiels!$A$20:$D$99,2,FALSE),02_Referentiels!$A$5:$C$16,2,FALSE),"")</x:f>
      </x:c>
      <x:c r="D54" s="10">
        <x:f>COUNTIF(11_StatScores!C5:C2004,A54)</x:f>
      </x:c>
      <x:c r="E54" s="13">
        <x:f>IF($D54=0,"",IF(01_Parametres!$B$11="Oui",AVERAGEIFS(11_StatScores!D$5:D$2004,11_StatScores!C$5:C$2004,A54,11_StatScores!D$5:D$2004,"&gt;0"),AVERAGEIFS(11_StatScores!D$5:D$2004,11_StatScores!C$5:C$2004,A54)))</x:f>
      </x:c>
      <x:c r="F54" s="13">
        <x:f>IF($D54=0,"",IF(01_Parametres!$B$11="Oui",AVERAGEIFS(11_StatScores!E$5:E$2004,11_StatScores!C$5:C$2004,A54,11_StatScores!E$5:E$2004,"&gt;0"),AVERAGEIFS(11_StatScores!E$5:E$2004,11_StatScores!C$5:C$2004,A54)))</x:f>
      </x:c>
      <x:c r="G54" s="13">
        <x:f>IF($D54=0,"",IF(01_Parametres!$B$11="Oui",AVERAGEIFS(11_StatScores!F$5:F$2004,11_StatScores!C$5:C$2004,A54,11_StatScores!F$5:F$2004,"&gt;0"),AVERAGEIFS(11_StatScores!F$5:F$2004,11_StatScores!C$5:C$2004,A54)))</x:f>
      </x:c>
      <x:c r="H54" s="13">
        <x:f>IF($D54=0,"",IF(01_Parametres!$B$11="Oui",AVERAGEIFS(11_StatScores!G$5:G$2004,11_StatScores!C$5:C$2004,A54,11_StatScores!G$5:G$2004,"&gt;0"),AVERAGEIFS(11_StatScores!G$5:G$2004,11_StatScores!C$5:C$2004,A54)))</x:f>
      </x:c>
    </x:row>
    <x:row r="55">
      <x:c r="A55" s="10" t="inlineStr">
        <x:is>
          <x:t xml:space="preserve">D07S50</x:t>
        </x:is>
      </x:c>
      <x:c r="B55" s="10" t="inlineStr">
        <x:is>
          <x:t xml:space="preserve">Taux de mortalité maternelle</x:t>
        </x:is>
      </x:c>
      <x:c r="C55" s="10">
        <x:f>IFERROR(VLOOKUP(VLOOKUP(A55,02_Referentiels!$A$20:$D$99,2,FALSE),02_Referentiels!$A$5:$C$16,2,FALSE),"")</x:f>
      </x:c>
      <x:c r="D55" s="10">
        <x:f>COUNTIF(11_StatScores!C5:C2004,A55)</x:f>
      </x:c>
      <x:c r="E55" s="13">
        <x:f>IF($D55=0,"",IF(01_Parametres!$B$11="Oui",AVERAGEIFS(11_StatScores!D$5:D$2004,11_StatScores!C$5:C$2004,A55,11_StatScores!D$5:D$2004,"&gt;0"),AVERAGEIFS(11_StatScores!D$5:D$2004,11_StatScores!C$5:C$2004,A55)))</x:f>
      </x:c>
      <x:c r="F55" s="13">
        <x:f>IF($D55=0,"",IF(01_Parametres!$B$11="Oui",AVERAGEIFS(11_StatScores!E$5:E$2004,11_StatScores!C$5:C$2004,A55,11_StatScores!E$5:E$2004,"&gt;0"),AVERAGEIFS(11_StatScores!E$5:E$2004,11_StatScores!C$5:C$2004,A55)))</x:f>
      </x:c>
      <x:c r="G55" s="13">
        <x:f>IF($D55=0,"",IF(01_Parametres!$B$11="Oui",AVERAGEIFS(11_StatScores!F$5:F$2004,11_StatScores!C$5:C$2004,A55,11_StatScores!F$5:F$2004,"&gt;0"),AVERAGEIFS(11_StatScores!F$5:F$2004,11_StatScores!C$5:C$2004,A55)))</x:f>
      </x:c>
      <x:c r="H55" s="13">
        <x:f>IF($D55=0,"",IF(01_Parametres!$B$11="Oui",AVERAGEIFS(11_StatScores!G$5:G$2004,11_StatScores!C$5:C$2004,A55,11_StatScores!G$5:G$2004,"&gt;0"),AVERAGEIFS(11_StatScores!G$5:G$2004,11_StatScores!C$5:C$2004,A55)))</x:f>
      </x:c>
    </x:row>
    <x:row r="56">
      <x:c r="A56" s="10" t="inlineStr">
        <x:is>
          <x:t xml:space="preserve">D07S51</x:t>
        </x:is>
      </x:c>
      <x:c r="B56" s="10" t="inlineStr">
        <x:is>
          <x:t xml:space="preserve">Taux de mortalité infantile (&lt;5 ans)</x:t>
        </x:is>
      </x:c>
      <x:c r="C56" s="10">
        <x:f>IFERROR(VLOOKUP(VLOOKUP(A56,02_Referentiels!$A$20:$D$99,2,FALSE),02_Referentiels!$A$5:$C$16,2,FALSE),"")</x:f>
      </x:c>
      <x:c r="D56" s="10">
        <x:f>COUNTIF(11_StatScores!C5:C2004,A56)</x:f>
      </x:c>
      <x:c r="E56" s="13">
        <x:f>IF($D56=0,"",IF(01_Parametres!$B$11="Oui",AVERAGEIFS(11_StatScores!D$5:D$2004,11_StatScores!C$5:C$2004,A56,11_StatScores!D$5:D$2004,"&gt;0"),AVERAGEIFS(11_StatScores!D$5:D$2004,11_StatScores!C$5:C$2004,A56)))</x:f>
      </x:c>
      <x:c r="F56" s="13">
        <x:f>IF($D56=0,"",IF(01_Parametres!$B$11="Oui",AVERAGEIFS(11_StatScores!E$5:E$2004,11_StatScores!C$5:C$2004,A56,11_StatScores!E$5:E$2004,"&gt;0"),AVERAGEIFS(11_StatScores!E$5:E$2004,11_StatScores!C$5:C$2004,A56)))</x:f>
      </x:c>
      <x:c r="G56" s="13">
        <x:f>IF($D56=0,"",IF(01_Parametres!$B$11="Oui",AVERAGEIFS(11_StatScores!F$5:F$2004,11_StatScores!C$5:C$2004,A56,11_StatScores!F$5:F$2004,"&gt;0"),AVERAGEIFS(11_StatScores!F$5:F$2004,11_StatScores!C$5:C$2004,A56)))</x:f>
      </x:c>
      <x:c r="H56" s="13">
        <x:f>IF($D56=0,"",IF(01_Parametres!$B$11="Oui",AVERAGEIFS(11_StatScores!G$5:G$2004,11_StatScores!C$5:C$2004,A56,11_StatScores!G$5:G$2004,"&gt;0"),AVERAGEIFS(11_StatScores!G$5:G$2004,11_StatScores!C$5:C$2004,A56)))</x:f>
      </x:c>
    </x:row>
    <x:row r="57">
      <x:c r="A57" s="10" t="inlineStr">
        <x:is>
          <x:t xml:space="preserve">D07S52</x:t>
        </x:is>
      </x:c>
      <x:c r="B57" s="10" t="inlineStr">
        <x:is>
          <x:t xml:space="preserve">Incidence VIH / Couverture ARV</x:t>
        </x:is>
      </x:c>
      <x:c r="C57" s="10">
        <x:f>IFERROR(VLOOKUP(VLOOKUP(A57,02_Referentiels!$A$20:$D$99,2,FALSE),02_Referentiels!$A$5:$C$16,2,FALSE),"")</x:f>
      </x:c>
      <x:c r="D57" s="10">
        <x:f>COUNTIF(11_StatScores!C5:C2004,A57)</x:f>
      </x:c>
      <x:c r="E57" s="13">
        <x:f>IF($D57=0,"",IF(01_Parametres!$B$11="Oui",AVERAGEIFS(11_StatScores!D$5:D$2004,11_StatScores!C$5:C$2004,A57,11_StatScores!D$5:D$2004,"&gt;0"),AVERAGEIFS(11_StatScores!D$5:D$2004,11_StatScores!C$5:C$2004,A57)))</x:f>
      </x:c>
      <x:c r="F57" s="13">
        <x:f>IF($D57=0,"",IF(01_Parametres!$B$11="Oui",AVERAGEIFS(11_StatScores!E$5:E$2004,11_StatScores!C$5:C$2004,A57,11_StatScores!E$5:E$2004,"&gt;0"),AVERAGEIFS(11_StatScores!E$5:E$2004,11_StatScores!C$5:C$2004,A57)))</x:f>
      </x:c>
      <x:c r="G57" s="13">
        <x:f>IF($D57=0,"",IF(01_Parametres!$B$11="Oui",AVERAGEIFS(11_StatScores!F$5:F$2004,11_StatScores!C$5:C$2004,A57,11_StatScores!F$5:F$2004,"&gt;0"),AVERAGEIFS(11_StatScores!F$5:F$2004,11_StatScores!C$5:C$2004,A57)))</x:f>
      </x:c>
      <x:c r="H57" s="13">
        <x:f>IF($D57=0,"",IF(01_Parametres!$B$11="Oui",AVERAGEIFS(11_StatScores!G$5:G$2004,11_StatScores!C$5:C$2004,A57,11_StatScores!G$5:G$2004,"&gt;0"),AVERAGEIFS(11_StatScores!G$5:G$2004,11_StatScores!C$5:C$2004,A57)))</x:f>
      </x:c>
    </x:row>
    <x:row r="58">
      <x:c r="A58" s="10" t="inlineStr">
        <x:is>
          <x:t xml:space="preserve">D07S53</x:t>
        </x:is>
      </x:c>
      <x:c r="B58" s="10" t="inlineStr">
        <x:is>
          <x:t xml:space="preserve">Incidence Paludisme</x:t>
        </x:is>
      </x:c>
      <x:c r="C58" s="10">
        <x:f>IFERROR(VLOOKUP(VLOOKUP(A58,02_Referentiels!$A$20:$D$99,2,FALSE),02_Referentiels!$A$5:$C$16,2,FALSE),"")</x:f>
      </x:c>
      <x:c r="D58" s="10">
        <x:f>COUNTIF(11_StatScores!C5:C2004,A58)</x:f>
      </x:c>
      <x:c r="E58" s="13">
        <x:f>IF($D58=0,"",IF(01_Parametres!$B$11="Oui",AVERAGEIFS(11_StatScores!D$5:D$2004,11_StatScores!C$5:C$2004,A58,11_StatScores!D$5:D$2004,"&gt;0"),AVERAGEIFS(11_StatScores!D$5:D$2004,11_StatScores!C$5:C$2004,A58)))</x:f>
      </x:c>
      <x:c r="F58" s="13">
        <x:f>IF($D58=0,"",IF(01_Parametres!$B$11="Oui",AVERAGEIFS(11_StatScores!E$5:E$2004,11_StatScores!C$5:C$2004,A58,11_StatScores!E$5:E$2004,"&gt;0"),AVERAGEIFS(11_StatScores!E$5:E$2004,11_StatScores!C$5:C$2004,A58)))</x:f>
      </x:c>
      <x:c r="G58" s="13">
        <x:f>IF($D58=0,"",IF(01_Parametres!$B$11="Oui",AVERAGEIFS(11_StatScores!F$5:F$2004,11_StatScores!C$5:C$2004,A58,11_StatScores!F$5:F$2004,"&gt;0"),AVERAGEIFS(11_StatScores!F$5:F$2004,11_StatScores!C$5:C$2004,A58)))</x:f>
      </x:c>
      <x:c r="H58" s="13">
        <x:f>IF($D58=0,"",IF(01_Parametres!$B$11="Oui",AVERAGEIFS(11_StatScores!G$5:G$2004,11_StatScores!C$5:C$2004,A58,11_StatScores!G$5:G$2004,"&gt;0"),AVERAGEIFS(11_StatScores!G$5:G$2004,11_StatScores!C$5:C$2004,A58)))</x:f>
      </x:c>
    </x:row>
    <x:row r="59">
      <x:c r="A59" s="10" t="inlineStr">
        <x:is>
          <x:t xml:space="preserve">D07S54</x:t>
        </x:is>
      </x:c>
      <x:c r="B59" s="10" t="inlineStr">
        <x:is>
          <x:t xml:space="preserve">Indice de Couverture Sanitaire Universelle</x:t>
        </x:is>
      </x:c>
      <x:c r="C59" s="10">
        <x:f>IFERROR(VLOOKUP(VLOOKUP(A59,02_Referentiels!$A$20:$D$99,2,FALSE),02_Referentiels!$A$5:$C$16,2,FALSE),"")</x:f>
      </x:c>
      <x:c r="D59" s="10">
        <x:f>COUNTIF(11_StatScores!C5:C2004,A59)</x:f>
      </x:c>
      <x:c r="E59" s="13">
        <x:f>IF($D59=0,"",IF(01_Parametres!$B$11="Oui",AVERAGEIFS(11_StatScores!D$5:D$2004,11_StatScores!C$5:C$2004,A59,11_StatScores!D$5:D$2004,"&gt;0"),AVERAGEIFS(11_StatScores!D$5:D$2004,11_StatScores!C$5:C$2004,A59)))</x:f>
      </x:c>
      <x:c r="F59" s="13">
        <x:f>IF($D59=0,"",IF(01_Parametres!$B$11="Oui",AVERAGEIFS(11_StatScores!E$5:E$2004,11_StatScores!C$5:C$2004,A59,11_StatScores!E$5:E$2004,"&gt;0"),AVERAGEIFS(11_StatScores!E$5:E$2004,11_StatScores!C$5:C$2004,A59)))</x:f>
      </x:c>
      <x:c r="G59" s="13">
        <x:f>IF($D59=0,"",IF(01_Parametres!$B$11="Oui",AVERAGEIFS(11_StatScores!F$5:F$2004,11_StatScores!C$5:C$2004,A59,11_StatScores!F$5:F$2004,"&gt;0"),AVERAGEIFS(11_StatScores!F$5:F$2004,11_StatScores!C$5:C$2004,A59)))</x:f>
      </x:c>
      <x:c r="H59" s="13">
        <x:f>IF($D59=0,"",IF(01_Parametres!$B$11="Oui",AVERAGEIFS(11_StatScores!G$5:G$2004,11_StatScores!C$5:C$2004,A59,11_StatScores!G$5:G$2004,"&gt;0"),AVERAGEIFS(11_StatScores!G$5:G$2004,11_StatScores!C$5:C$2004,A59)))</x:f>
      </x:c>
    </x:row>
    <x:row r="60">
      <x:c r="A60" s="10" t="inlineStr">
        <x:is>
          <x:t xml:space="preserve">D08S55</x:t>
        </x:is>
      </x:c>
      <x:c r="B60" s="10" t="inlineStr">
        <x:is>
          <x:t xml:space="preserve">Femmes dans les instances décisionnelles</x:t>
        </x:is>
      </x:c>
      <x:c r="C60" s="10">
        <x:f>IFERROR(VLOOKUP(VLOOKUP(A60,02_Referentiels!$A$20:$D$99,2,FALSE),02_Referentiels!$A$5:$C$16,2,FALSE),"")</x:f>
      </x:c>
      <x:c r="D60" s="10">
        <x:f>COUNTIF(11_StatScores!C5:C2004,A60)</x:f>
      </x:c>
      <x:c r="E60" s="13">
        <x:f>IF($D60=0,"",IF(01_Parametres!$B$11="Oui",AVERAGEIFS(11_StatScores!D$5:D$2004,11_StatScores!C$5:C$2004,A60,11_StatScores!D$5:D$2004,"&gt;0"),AVERAGEIFS(11_StatScores!D$5:D$2004,11_StatScores!C$5:C$2004,A60)))</x:f>
      </x:c>
      <x:c r="F60" s="13">
        <x:f>IF($D60=0,"",IF(01_Parametres!$B$11="Oui",AVERAGEIFS(11_StatScores!E$5:E$2004,11_StatScores!C$5:C$2004,A60,11_StatScores!E$5:E$2004,"&gt;0"),AVERAGEIFS(11_StatScores!E$5:E$2004,11_StatScores!C$5:C$2004,A60)))</x:f>
      </x:c>
      <x:c r="G60" s="13">
        <x:f>IF($D60=0,"",IF(01_Parametres!$B$11="Oui",AVERAGEIFS(11_StatScores!F$5:F$2004,11_StatScores!C$5:C$2004,A60,11_StatScores!F$5:F$2004,"&gt;0"),AVERAGEIFS(11_StatScores!F$5:F$2004,11_StatScores!C$5:C$2004,A60)))</x:f>
      </x:c>
      <x:c r="H60" s="13">
        <x:f>IF($D60=0,"",IF(01_Parametres!$B$11="Oui",AVERAGEIFS(11_StatScores!G$5:G$2004,11_StatScores!C$5:C$2004,A60,11_StatScores!G$5:G$2004,"&gt;0"),AVERAGEIFS(11_StatScores!G$5:G$2004,11_StatScores!C$5:C$2004,A60)))</x:f>
      </x:c>
    </x:row>
    <x:row r="61">
      <x:c r="A61" s="10" t="inlineStr">
        <x:is>
          <x:t xml:space="preserve">D08S56</x:t>
        </x:is>
      </x:c>
      <x:c r="B61" s="10" t="inlineStr">
        <x:is>
          <x:t xml:space="preserve">Droits fonciers et propriété des femmes</x:t>
        </x:is>
      </x:c>
      <x:c r="C61" s="10">
        <x:f>IFERROR(VLOOKUP(VLOOKUP(A61,02_Referentiels!$A$20:$D$99,2,FALSE),02_Referentiels!$A$5:$C$16,2,FALSE),"")</x:f>
      </x:c>
      <x:c r="D61" s="10">
        <x:f>COUNTIF(11_StatScores!C5:C2004,A61)</x:f>
      </x:c>
      <x:c r="E61" s="13">
        <x:f>IF($D61=0,"",IF(01_Parametres!$B$11="Oui",AVERAGEIFS(11_StatScores!D$5:D$2004,11_StatScores!C$5:C$2004,A61,11_StatScores!D$5:D$2004,"&gt;0"),AVERAGEIFS(11_StatScores!D$5:D$2004,11_StatScores!C$5:C$2004,A61)))</x:f>
      </x:c>
      <x:c r="F61" s="13">
        <x:f>IF($D61=0,"",IF(01_Parametres!$B$11="Oui",AVERAGEIFS(11_StatScores!E$5:E$2004,11_StatScores!C$5:C$2004,A61,11_StatScores!E$5:E$2004,"&gt;0"),AVERAGEIFS(11_StatScores!E$5:E$2004,11_StatScores!C$5:C$2004,A61)))</x:f>
      </x:c>
      <x:c r="G61" s="13">
        <x:f>IF($D61=0,"",IF(01_Parametres!$B$11="Oui",AVERAGEIFS(11_StatScores!F$5:F$2004,11_StatScores!C$5:C$2004,A61,11_StatScores!F$5:F$2004,"&gt;0"),AVERAGEIFS(11_StatScores!F$5:F$2004,11_StatScores!C$5:C$2004,A61)))</x:f>
      </x:c>
      <x:c r="H61" s="13">
        <x:f>IF($D61=0,"",IF(01_Parametres!$B$11="Oui",AVERAGEIFS(11_StatScores!G$5:G$2004,11_StatScores!C$5:C$2004,A61,11_StatScores!G$5:G$2004,"&gt;0"),AVERAGEIFS(11_StatScores!G$5:G$2004,11_StatScores!C$5:C$2004,A61)))</x:f>
      </x:c>
    </x:row>
    <x:row r="62">
      <x:c r="A62" s="10" t="inlineStr">
        <x:is>
          <x:t xml:space="preserve">D08S57</x:t>
        </x:is>
      </x:c>
      <x:c r="B62" s="10" t="inlineStr">
        <x:is>
          <x:t xml:space="preserve">Accès au financement (Femmes entrepreneurs)</x:t>
        </x:is>
      </x:c>
      <x:c r="C62" s="10">
        <x:f>IFERROR(VLOOKUP(VLOOKUP(A62,02_Referentiels!$A$20:$D$99,2,FALSE),02_Referentiels!$A$5:$C$16,2,FALSE),"")</x:f>
      </x:c>
      <x:c r="D62" s="10">
        <x:f>COUNTIF(11_StatScores!C5:C2004,A62)</x:f>
      </x:c>
      <x:c r="E62" s="13">
        <x:f>IF($D62=0,"",IF(01_Parametres!$B$11="Oui",AVERAGEIFS(11_StatScores!D$5:D$2004,11_StatScores!C$5:C$2004,A62,11_StatScores!D$5:D$2004,"&gt;0"),AVERAGEIFS(11_StatScores!D$5:D$2004,11_StatScores!C$5:C$2004,A62)))</x:f>
      </x:c>
      <x:c r="F62" s="13">
        <x:f>IF($D62=0,"",IF(01_Parametres!$B$11="Oui",AVERAGEIFS(11_StatScores!E$5:E$2004,11_StatScores!C$5:C$2004,A62,11_StatScores!E$5:E$2004,"&gt;0"),AVERAGEIFS(11_StatScores!E$5:E$2004,11_StatScores!C$5:C$2004,A62)))</x:f>
      </x:c>
      <x:c r="G62" s="13">
        <x:f>IF($D62=0,"",IF(01_Parametres!$B$11="Oui",AVERAGEIFS(11_StatScores!F$5:F$2004,11_StatScores!C$5:C$2004,A62,11_StatScores!F$5:F$2004,"&gt;0"),AVERAGEIFS(11_StatScores!F$5:F$2004,11_StatScores!C$5:C$2004,A62)))</x:f>
      </x:c>
      <x:c r="H62" s="13">
        <x:f>IF($D62=0,"",IF(01_Parametres!$B$11="Oui",AVERAGEIFS(11_StatScores!G$5:G$2004,11_StatScores!C$5:C$2004,A62,11_StatScores!G$5:G$2004,"&gt;0"),AVERAGEIFS(11_StatScores!G$5:G$2004,11_StatScores!C$5:C$2004,A62)))</x:f>
      </x:c>
    </x:row>
    <x:row r="63">
      <x:c r="A63" s="10" t="inlineStr">
        <x:is>
          <x:t xml:space="preserve">D08S58</x:t>
        </x:is>
      </x:c>
      <x:c r="B63" s="10" t="inlineStr">
        <x:is>
          <x:t xml:space="preserve">Prévalence des Violences Basées sur le Genre</x:t>
        </x:is>
      </x:c>
      <x:c r="C63" s="10">
        <x:f>IFERROR(VLOOKUP(VLOOKUP(A63,02_Referentiels!$A$20:$D$99,2,FALSE),02_Referentiels!$A$5:$C$16,2,FALSE),"")</x:f>
      </x:c>
      <x:c r="D63" s="10">
        <x:f>COUNTIF(11_StatScores!C5:C2004,A63)</x:f>
      </x:c>
      <x:c r="E63" s="13">
        <x:f>IF($D63=0,"",IF(01_Parametres!$B$11="Oui",AVERAGEIFS(11_StatScores!D$5:D$2004,11_StatScores!C$5:C$2004,A63,11_StatScores!D$5:D$2004,"&gt;0"),AVERAGEIFS(11_StatScores!D$5:D$2004,11_StatScores!C$5:C$2004,A63)))</x:f>
      </x:c>
      <x:c r="F63" s="13">
        <x:f>IF($D63=0,"",IF(01_Parametres!$B$11="Oui",AVERAGEIFS(11_StatScores!E$5:E$2004,11_StatScores!C$5:C$2004,A63,11_StatScores!E$5:E$2004,"&gt;0"),AVERAGEIFS(11_StatScores!E$5:E$2004,11_StatScores!C$5:C$2004,A63)))</x:f>
      </x:c>
      <x:c r="G63" s="13">
        <x:f>IF($D63=0,"",IF(01_Parametres!$B$11="Oui",AVERAGEIFS(11_StatScores!F$5:F$2004,11_StatScores!C$5:C$2004,A63,11_StatScores!F$5:F$2004,"&gt;0"),AVERAGEIFS(11_StatScores!F$5:F$2004,11_StatScores!C$5:C$2004,A63)))</x:f>
      </x:c>
      <x:c r="H63" s="13">
        <x:f>IF($D63=0,"",IF(01_Parametres!$B$11="Oui",AVERAGEIFS(11_StatScores!G$5:G$2004,11_StatScores!C$5:C$2004,A63,11_StatScores!G$5:G$2004,"&gt;0"),AVERAGEIFS(11_StatScores!G$5:G$2004,11_StatScores!C$5:C$2004,A63)))</x:f>
      </x:c>
    </x:row>
    <x:row r="64">
      <x:c r="A64" s="10" t="inlineStr">
        <x:is>
          <x:t xml:space="preserve">D08S59</x:t>
        </x:is>
      </x:c>
      <x:c r="B64" s="10" t="inlineStr">
        <x:is>
          <x:t xml:space="preserve">Mutilations Génitales Féminines (MGF)</x:t>
        </x:is>
      </x:c>
      <x:c r="C64" s="10">
        <x:f>IFERROR(VLOOKUP(VLOOKUP(A64,02_Referentiels!$A$20:$D$99,2,FALSE),02_Referentiels!$A$5:$C$16,2,FALSE),"")</x:f>
      </x:c>
      <x:c r="D64" s="10">
        <x:f>COUNTIF(11_StatScores!C5:C2004,A64)</x:f>
      </x:c>
      <x:c r="E64" s="13">
        <x:f>IF($D64=0,"",IF(01_Parametres!$B$11="Oui",AVERAGEIFS(11_StatScores!D$5:D$2004,11_StatScores!C$5:C$2004,A64,11_StatScores!D$5:D$2004,"&gt;0"),AVERAGEIFS(11_StatScores!D$5:D$2004,11_StatScores!C$5:C$2004,A64)))</x:f>
      </x:c>
      <x:c r="F64" s="13">
        <x:f>IF($D64=0,"",IF(01_Parametres!$B$11="Oui",AVERAGEIFS(11_StatScores!E$5:E$2004,11_StatScores!C$5:C$2004,A64,11_StatScores!E$5:E$2004,"&gt;0"),AVERAGEIFS(11_StatScores!E$5:E$2004,11_StatScores!C$5:C$2004,A64)))</x:f>
      </x:c>
      <x:c r="G64" s="13">
        <x:f>IF($D64=0,"",IF(01_Parametres!$B$11="Oui",AVERAGEIFS(11_StatScores!F$5:F$2004,11_StatScores!C$5:C$2004,A64,11_StatScores!F$5:F$2004,"&gt;0"),AVERAGEIFS(11_StatScores!F$5:F$2004,11_StatScores!C$5:C$2004,A64)))</x:f>
      </x:c>
      <x:c r="H64" s="13">
        <x:f>IF($D64=0,"",IF(01_Parametres!$B$11="Oui",AVERAGEIFS(11_StatScores!G$5:G$2004,11_StatScores!C$5:C$2004,A64,11_StatScores!G$5:G$2004,"&gt;0"),AVERAGEIFS(11_StatScores!G$5:G$2004,11_StatScores!C$5:C$2004,A64)))</x:f>
      </x:c>
    </x:row>
    <x:row r="65">
      <x:c r="A65" s="10" t="inlineStr">
        <x:is>
          <x:t xml:space="preserve">D08S60</x:t>
        </x:is>
      </x:c>
      <x:c r="B65" s="10" t="inlineStr">
        <x:is>
          <x:t xml:space="preserve">Temps de travail domestique non rémunéré</x:t>
        </x:is>
      </x:c>
      <x:c r="C65" s="10">
        <x:f>IFERROR(VLOOKUP(VLOOKUP(A65,02_Referentiels!$A$20:$D$99,2,FALSE),02_Referentiels!$A$5:$C$16,2,FALSE),"")</x:f>
      </x:c>
      <x:c r="D65" s="10">
        <x:f>COUNTIF(11_StatScores!C5:C2004,A65)</x:f>
      </x:c>
      <x:c r="E65" s="13">
        <x:f>IF($D65=0,"",IF(01_Parametres!$B$11="Oui",AVERAGEIFS(11_StatScores!D$5:D$2004,11_StatScores!C$5:C$2004,A65,11_StatScores!D$5:D$2004,"&gt;0"),AVERAGEIFS(11_StatScores!D$5:D$2004,11_StatScores!C$5:C$2004,A65)))</x:f>
      </x:c>
      <x:c r="F65" s="13">
        <x:f>IF($D65=0,"",IF(01_Parametres!$B$11="Oui",AVERAGEIFS(11_StatScores!E$5:E$2004,11_StatScores!C$5:C$2004,A65,11_StatScores!E$5:E$2004,"&gt;0"),AVERAGEIFS(11_StatScores!E$5:E$2004,11_StatScores!C$5:C$2004,A65)))</x:f>
      </x:c>
      <x:c r="G65" s="13">
        <x:f>IF($D65=0,"",IF(01_Parametres!$B$11="Oui",AVERAGEIFS(11_StatScores!F$5:F$2004,11_StatScores!C$5:C$2004,A65,11_StatScores!F$5:F$2004,"&gt;0"),AVERAGEIFS(11_StatScores!F$5:F$2004,11_StatScores!C$5:C$2004,A65)))</x:f>
      </x:c>
      <x:c r="H65" s="13">
        <x:f>IF($D65=0,"",IF(01_Parametres!$B$11="Oui",AVERAGEIFS(11_StatScores!G$5:G$2004,11_StatScores!C$5:C$2004,A65,11_StatScores!G$5:G$2004,"&gt;0"),AVERAGEIFS(11_StatScores!G$5:G$2004,11_StatScores!C$5:C$2004,A65)))</x:f>
      </x:c>
    </x:row>
    <x:row r="66">
      <x:c r="A66" s="10" t="inlineStr">
        <x:is>
          <x:t xml:space="preserve">D09S61</x:t>
        </x:is>
      </x:c>
      <x:c r="B66" s="10" t="inlineStr">
        <x:is>
          <x:t xml:space="preserve">Pertes économiques dues aux catastrophes</x:t>
        </x:is>
      </x:c>
      <x:c r="C66" s="10">
        <x:f>IFERROR(VLOOKUP(VLOOKUP(A66,02_Referentiels!$A$20:$D$99,2,FALSE),02_Referentiels!$A$5:$C$16,2,FALSE),"")</x:f>
      </x:c>
      <x:c r="D66" s="10">
        <x:f>COUNTIF(11_StatScores!C5:C2004,A66)</x:f>
      </x:c>
      <x:c r="E66" s="13">
        <x:f>IF($D66=0,"",IF(01_Parametres!$B$11="Oui",AVERAGEIFS(11_StatScores!D$5:D$2004,11_StatScores!C$5:C$2004,A66,11_StatScores!D$5:D$2004,"&gt;0"),AVERAGEIFS(11_StatScores!D$5:D$2004,11_StatScores!C$5:C$2004,A66)))</x:f>
      </x:c>
      <x:c r="F66" s="13">
        <x:f>IF($D66=0,"",IF(01_Parametres!$B$11="Oui",AVERAGEIFS(11_StatScores!E$5:E$2004,11_StatScores!C$5:C$2004,A66,11_StatScores!E$5:E$2004,"&gt;0"),AVERAGEIFS(11_StatScores!E$5:E$2004,11_StatScores!C$5:C$2004,A66)))</x:f>
      </x:c>
      <x:c r="G66" s="13">
        <x:f>IF($D66=0,"",IF(01_Parametres!$B$11="Oui",AVERAGEIFS(11_StatScores!F$5:F$2004,11_StatScores!C$5:C$2004,A66,11_StatScores!F$5:F$2004,"&gt;0"),AVERAGEIFS(11_StatScores!F$5:F$2004,11_StatScores!C$5:C$2004,A66)))</x:f>
      </x:c>
      <x:c r="H66" s="13">
        <x:f>IF($D66=0,"",IF(01_Parametres!$B$11="Oui",AVERAGEIFS(11_StatScores!G$5:G$2004,11_StatScores!C$5:C$2004,A66,11_StatScores!G$5:G$2004,"&gt;0"),AVERAGEIFS(11_StatScores!G$5:G$2004,11_StatScores!C$5:C$2004,A66)))</x:f>
      </x:c>
    </x:row>
    <x:row r="67">
      <x:c r="A67" s="10" t="inlineStr">
        <x:is>
          <x:t xml:space="preserve">D09S62</x:t>
        </x:is>
      </x:c>
      <x:c r="B67" s="10" t="inlineStr">
        <x:is>
          <x:t xml:space="preserve">Couverture forestière</x:t>
        </x:is>
      </x:c>
      <x:c r="C67" s="10">
        <x:f>IFERROR(VLOOKUP(VLOOKUP(A67,02_Referentiels!$A$20:$D$99,2,FALSE),02_Referentiels!$A$5:$C$16,2,FALSE),"")</x:f>
      </x:c>
      <x:c r="D67" s="10">
        <x:f>COUNTIF(11_StatScores!C5:C2004,A67)</x:f>
      </x:c>
      <x:c r="E67" s="13">
        <x:f>IF($D67=0,"",IF(01_Parametres!$B$11="Oui",AVERAGEIFS(11_StatScores!D$5:D$2004,11_StatScores!C$5:C$2004,A67,11_StatScores!D$5:D$2004,"&gt;0"),AVERAGEIFS(11_StatScores!D$5:D$2004,11_StatScores!C$5:C$2004,A67)))</x:f>
      </x:c>
      <x:c r="F67" s="13">
        <x:f>IF($D67=0,"",IF(01_Parametres!$B$11="Oui",AVERAGEIFS(11_StatScores!E$5:E$2004,11_StatScores!C$5:C$2004,A67,11_StatScores!E$5:E$2004,"&gt;0"),AVERAGEIFS(11_StatScores!E$5:E$2004,11_StatScores!C$5:C$2004,A67)))</x:f>
      </x:c>
      <x:c r="G67" s="13">
        <x:f>IF($D67=0,"",IF(01_Parametres!$B$11="Oui",AVERAGEIFS(11_StatScores!F$5:F$2004,11_StatScores!C$5:C$2004,A67,11_StatScores!F$5:F$2004,"&gt;0"),AVERAGEIFS(11_StatScores!F$5:F$2004,11_StatScores!C$5:C$2004,A67)))</x:f>
      </x:c>
      <x:c r="H67" s="13">
        <x:f>IF($D67=0,"",IF(01_Parametres!$B$11="Oui",AVERAGEIFS(11_StatScores!G$5:G$2004,11_StatScores!C$5:C$2004,A67,11_StatScores!G$5:G$2004,"&gt;0"),AVERAGEIFS(11_StatScores!G$5:G$2004,11_StatScores!C$5:C$2004,A67)))</x:f>
      </x:c>
    </x:row>
    <x:row r="68">
      <x:c r="A68" s="10" t="inlineStr">
        <x:is>
          <x:t xml:space="preserve">D09S63</x:t>
        </x:is>
      </x:c>
      <x:c r="B68" s="10" t="inlineStr">
        <x:is>
          <x:t xml:space="preserve">Ménages avec résilience climatique renforcée</x:t>
        </x:is>
      </x:c>
      <x:c r="C68" s="10">
        <x:f>IFERROR(VLOOKUP(VLOOKUP(A68,02_Referentiels!$A$20:$D$99,2,FALSE),02_Referentiels!$A$5:$C$16,2,FALSE),"")</x:f>
      </x:c>
      <x:c r="D68" s="10">
        <x:f>COUNTIF(11_StatScores!C5:C2004,A68)</x:f>
      </x:c>
      <x:c r="E68" s="13">
        <x:f>IF($D68=0,"",IF(01_Parametres!$B$11="Oui",AVERAGEIFS(11_StatScores!D$5:D$2004,11_StatScores!C$5:C$2004,A68,11_StatScores!D$5:D$2004,"&gt;0"),AVERAGEIFS(11_StatScores!D$5:D$2004,11_StatScores!C$5:C$2004,A68)))</x:f>
      </x:c>
      <x:c r="F68" s="13">
        <x:f>IF($D68=0,"",IF(01_Parametres!$B$11="Oui",AVERAGEIFS(11_StatScores!E$5:E$2004,11_StatScores!C$5:C$2004,A68,11_StatScores!E$5:E$2004,"&gt;0"),AVERAGEIFS(11_StatScores!E$5:E$2004,11_StatScores!C$5:C$2004,A68)))</x:f>
      </x:c>
      <x:c r="G68" s="13">
        <x:f>IF($D68=0,"",IF(01_Parametres!$B$11="Oui",AVERAGEIFS(11_StatScores!F$5:F$2004,11_StatScores!C$5:C$2004,A68,11_StatScores!F$5:F$2004,"&gt;0"),AVERAGEIFS(11_StatScores!F$5:F$2004,11_StatScores!C$5:C$2004,A68)))</x:f>
      </x:c>
      <x:c r="H68" s="13">
        <x:f>IF($D68=0,"",IF(01_Parametres!$B$11="Oui",AVERAGEIFS(11_StatScores!G$5:G$2004,11_StatScores!C$5:C$2004,A68,11_StatScores!G$5:G$2004,"&gt;0"),AVERAGEIFS(11_StatScores!G$5:G$2004,11_StatScores!C$5:C$2004,A68)))</x:f>
      </x:c>
    </x:row>
    <x:row r="69">
      <x:c r="A69" s="10" t="inlineStr">
        <x:is>
          <x:t xml:space="preserve">D09S64</x:t>
        </x:is>
      </x:c>
      <x:c r="B69" s="10" t="inlineStr">
        <x:is>
          <x:t xml:space="preserve">Finance Climatique mobilisée</x:t>
        </x:is>
      </x:c>
      <x:c r="C69" s="10">
        <x:f>IFERROR(VLOOKUP(VLOOKUP(A69,02_Referentiels!$A$20:$D$99,2,FALSE),02_Referentiels!$A$5:$C$16,2,FALSE),"")</x:f>
      </x:c>
      <x:c r="D69" s="10">
        <x:f>COUNTIF(11_StatScores!C5:C2004,A69)</x:f>
      </x:c>
      <x:c r="E69" s="13">
        <x:f>IF($D69=0,"",IF(01_Parametres!$B$11="Oui",AVERAGEIFS(11_StatScores!D$5:D$2004,11_StatScores!C$5:C$2004,A69,11_StatScores!D$5:D$2004,"&gt;0"),AVERAGEIFS(11_StatScores!D$5:D$2004,11_StatScores!C$5:C$2004,A69)))</x:f>
      </x:c>
      <x:c r="F69" s="13">
        <x:f>IF($D69=0,"",IF(01_Parametres!$B$11="Oui",AVERAGEIFS(11_StatScores!E$5:E$2004,11_StatScores!C$5:C$2004,A69,11_StatScores!E$5:E$2004,"&gt;0"),AVERAGEIFS(11_StatScores!E$5:E$2004,11_StatScores!C$5:C$2004,A69)))</x:f>
      </x:c>
      <x:c r="G69" s="13">
        <x:f>IF($D69=0,"",IF(01_Parametres!$B$11="Oui",AVERAGEIFS(11_StatScores!F$5:F$2004,11_StatScores!C$5:C$2004,A69,11_StatScores!F$5:F$2004,"&gt;0"),AVERAGEIFS(11_StatScores!F$5:F$2004,11_StatScores!C$5:C$2004,A69)))</x:f>
      </x:c>
      <x:c r="H69" s="13">
        <x:f>IF($D69=0,"",IF(01_Parametres!$B$11="Oui",AVERAGEIFS(11_StatScores!G$5:G$2004,11_StatScores!C$5:C$2004,A69,11_StatScores!G$5:G$2004,"&gt;0"),AVERAGEIFS(11_StatScores!G$5:G$2004,11_StatScores!C$5:C$2004,A69)))</x:f>
      </x:c>
    </x:row>
    <x:row r="70">
      <x:c r="A70" s="10" t="inlineStr">
        <x:is>
          <x:t xml:space="preserve">D09S65</x:t>
        </x:is>
      </x:c>
      <x:c r="B70" s="10" t="inlineStr">
        <x:is>
          <x:t xml:space="preserve">Pollution marine (Plastiques/Eutrophisation)</x:t>
        </x:is>
      </x:c>
      <x:c r="C70" s="10">
        <x:f>IFERROR(VLOOKUP(VLOOKUP(A70,02_Referentiels!$A$20:$D$99,2,FALSE),02_Referentiels!$A$5:$C$16,2,FALSE),"")</x:f>
      </x:c>
      <x:c r="D70" s="10">
        <x:f>COUNTIF(11_StatScores!C5:C2004,A70)</x:f>
      </x:c>
      <x:c r="E70" s="13">
        <x:f>IF($D70=0,"",IF(01_Parametres!$B$11="Oui",AVERAGEIFS(11_StatScores!D$5:D$2004,11_StatScores!C$5:C$2004,A70,11_StatScores!D$5:D$2004,"&gt;0"),AVERAGEIFS(11_StatScores!D$5:D$2004,11_StatScores!C$5:C$2004,A70)))</x:f>
      </x:c>
      <x:c r="F70" s="13">
        <x:f>IF($D70=0,"",IF(01_Parametres!$B$11="Oui",AVERAGEIFS(11_StatScores!E$5:E$2004,11_StatScores!C$5:C$2004,A70,11_StatScores!E$5:E$2004,"&gt;0"),AVERAGEIFS(11_StatScores!E$5:E$2004,11_StatScores!C$5:C$2004,A70)))</x:f>
      </x:c>
      <x:c r="G70" s="13">
        <x:f>IF($D70=0,"",IF(01_Parametres!$B$11="Oui",AVERAGEIFS(11_StatScores!F$5:F$2004,11_StatScores!C$5:C$2004,A70,11_StatScores!F$5:F$2004,"&gt;0"),AVERAGEIFS(11_StatScores!F$5:F$2004,11_StatScores!C$5:C$2004,A70)))</x:f>
      </x:c>
      <x:c r="H70" s="13">
        <x:f>IF($D70=0,"",IF(01_Parametres!$B$11="Oui",AVERAGEIFS(11_StatScores!G$5:G$2004,11_StatScores!C$5:C$2004,A70,11_StatScores!G$5:G$2004,"&gt;0"),AVERAGEIFS(11_StatScores!G$5:G$2004,11_StatScores!C$5:C$2004,A70)))</x:f>
      </x:c>
    </x:row>
    <x:row r="71">
      <x:c r="A71" s="10" t="inlineStr">
        <x:is>
          <x:t xml:space="preserve">D10S66</x:t>
        </x:is>
      </x:c>
      <x:c r="B71" s="10" t="inlineStr">
        <x:is>
          <x:t xml:space="preserve">Score de Perception de la Corruption (IPC)</x:t>
        </x:is>
      </x:c>
      <x:c r="C71" s="10">
        <x:f>IFERROR(VLOOKUP(VLOOKUP(A71,02_Referentiels!$A$20:$D$99,2,FALSE),02_Referentiels!$A$5:$C$16,2,FALSE),"")</x:f>
      </x:c>
      <x:c r="D71" s="10">
        <x:f>COUNTIF(11_StatScores!C5:C2004,A71)</x:f>
      </x:c>
      <x:c r="E71" s="13">
        <x:f>IF($D71=0,"",IF(01_Parametres!$B$11="Oui",AVERAGEIFS(11_StatScores!D$5:D$2004,11_StatScores!C$5:C$2004,A71,11_StatScores!D$5:D$2004,"&gt;0"),AVERAGEIFS(11_StatScores!D$5:D$2004,11_StatScores!C$5:C$2004,A71)))</x:f>
      </x:c>
      <x:c r="F71" s="13">
        <x:f>IF($D71=0,"",IF(01_Parametres!$B$11="Oui",AVERAGEIFS(11_StatScores!E$5:E$2004,11_StatScores!C$5:C$2004,A71,11_StatScores!E$5:E$2004,"&gt;0"),AVERAGEIFS(11_StatScores!E$5:E$2004,11_StatScores!C$5:C$2004,A71)))</x:f>
      </x:c>
      <x:c r="G71" s="13">
        <x:f>IF($D71=0,"",IF(01_Parametres!$B$11="Oui",AVERAGEIFS(11_StatScores!F$5:F$2004,11_StatScores!C$5:C$2004,A71,11_StatScores!F$5:F$2004,"&gt;0"),AVERAGEIFS(11_StatScores!F$5:F$2004,11_StatScores!C$5:C$2004,A71)))</x:f>
      </x:c>
      <x:c r="H71" s="13">
        <x:f>IF($D71=0,"",IF(01_Parametres!$B$11="Oui",AVERAGEIFS(11_StatScores!G$5:G$2004,11_StatScores!C$5:C$2004,A71,11_StatScores!G$5:G$2004,"&gt;0"),AVERAGEIFS(11_StatScores!G$5:G$2004,11_StatScores!C$5:C$2004,A71)))</x:f>
      </x:c>
    </x:row>
    <x:row r="72">
      <x:c r="A72" s="10" t="inlineStr">
        <x:is>
          <x:t xml:space="preserve">D10S67</x:t>
        </x:is>
      </x:c>
      <x:c r="B72" s="10" t="inlineStr">
        <x:is>
          <x:t xml:space="preserve">Flux Financiers Illicites (% PIB)</x:t>
        </x:is>
      </x:c>
      <x:c r="C72" s="10">
        <x:f>IFERROR(VLOOKUP(VLOOKUP(A72,02_Referentiels!$A$20:$D$99,2,FALSE),02_Referentiels!$A$5:$C$16,2,FALSE),"")</x:f>
      </x:c>
      <x:c r="D72" s="10">
        <x:f>COUNTIF(11_StatScores!C5:C2004,A72)</x:f>
      </x:c>
      <x:c r="E72" s="13">
        <x:f>IF($D72=0,"",IF(01_Parametres!$B$11="Oui",AVERAGEIFS(11_StatScores!D$5:D$2004,11_StatScores!C$5:C$2004,A72,11_StatScores!D$5:D$2004,"&gt;0"),AVERAGEIFS(11_StatScores!D$5:D$2004,11_StatScores!C$5:C$2004,A72)))</x:f>
      </x:c>
      <x:c r="F72" s="13">
        <x:f>IF($D72=0,"",IF(01_Parametres!$B$11="Oui",AVERAGEIFS(11_StatScores!E$5:E$2004,11_StatScores!C$5:C$2004,A72,11_StatScores!E$5:E$2004,"&gt;0"),AVERAGEIFS(11_StatScores!E$5:E$2004,11_StatScores!C$5:C$2004,A72)))</x:f>
      </x:c>
      <x:c r="G72" s="13">
        <x:f>IF($D72=0,"",IF(01_Parametres!$B$11="Oui",AVERAGEIFS(11_StatScores!F$5:F$2004,11_StatScores!C$5:C$2004,A72,11_StatScores!F$5:F$2004,"&gt;0"),AVERAGEIFS(11_StatScores!F$5:F$2004,11_StatScores!C$5:C$2004,A72)))</x:f>
      </x:c>
      <x:c r="H72" s="13">
        <x:f>IF($D72=0,"",IF(01_Parametres!$B$11="Oui",AVERAGEIFS(11_StatScores!G$5:G$2004,11_StatScores!C$5:C$2004,A72,11_StatScores!G$5:G$2004,"&gt;0"),AVERAGEIFS(11_StatScores!G$5:G$2004,11_StatScores!C$5:C$2004,A72)))</x:f>
      </x:c>
    </x:row>
    <x:row r="73">
      <x:c r="A73" s="10" t="inlineStr">
        <x:is>
          <x:t xml:space="preserve">D10S68</x:t>
        </x:is>
      </x:c>
      <x:c r="B73" s="10" t="inlineStr">
        <x:is>
          <x:t xml:space="preserve">Perception d'indépendance de la justice</x:t>
        </x:is>
      </x:c>
      <x:c r="C73" s="10">
        <x:f>IFERROR(VLOOKUP(VLOOKUP(A73,02_Referentiels!$A$20:$D$99,2,FALSE),02_Referentiels!$A$5:$C$16,2,FALSE),"")</x:f>
      </x:c>
      <x:c r="D73" s="10">
        <x:f>COUNTIF(11_StatScores!C5:C2004,A73)</x:f>
      </x:c>
      <x:c r="E73" s="13">
        <x:f>IF($D73=0,"",IF(01_Parametres!$B$11="Oui",AVERAGEIFS(11_StatScores!D$5:D$2004,11_StatScores!C$5:C$2004,A73,11_StatScores!D$5:D$2004,"&gt;0"),AVERAGEIFS(11_StatScores!D$5:D$2004,11_StatScores!C$5:C$2004,A73)))</x:f>
      </x:c>
      <x:c r="F73" s="13">
        <x:f>IF($D73=0,"",IF(01_Parametres!$B$11="Oui",AVERAGEIFS(11_StatScores!E$5:E$2004,11_StatScores!C$5:C$2004,A73,11_StatScores!E$5:E$2004,"&gt;0"),AVERAGEIFS(11_StatScores!E$5:E$2004,11_StatScores!C$5:C$2004,A73)))</x:f>
      </x:c>
      <x:c r="G73" s="13">
        <x:f>IF($D73=0,"",IF(01_Parametres!$B$11="Oui",AVERAGEIFS(11_StatScores!F$5:F$2004,11_StatScores!C$5:C$2004,A73,11_StatScores!F$5:F$2004,"&gt;0"),AVERAGEIFS(11_StatScores!F$5:F$2004,11_StatScores!C$5:C$2004,A73)))</x:f>
      </x:c>
      <x:c r="H73" s="13">
        <x:f>IF($D73=0,"",IF(01_Parametres!$B$11="Oui",AVERAGEIFS(11_StatScores!G$5:G$2004,11_StatScores!C$5:C$2004,A73,11_StatScores!G$5:G$2004,"&gt;0"),AVERAGEIFS(11_StatScores!G$5:G$2004,11_StatScores!C$5:C$2004,A73)))</x:f>
      </x:c>
    </x:row>
    <x:row r="74">
      <x:c r="A74" s="10" t="inlineStr">
        <x:is>
          <x:t xml:space="preserve">D10S69</x:t>
        </x:is>
      </x:c>
      <x:c r="B74" s="10" t="inlineStr">
        <x:is>
          <x:t xml:space="preserve">Ratio recettes fiscales / PIB</x:t>
        </x:is>
      </x:c>
      <x:c r="C74" s="10">
        <x:f>IFERROR(VLOOKUP(VLOOKUP(A74,02_Referentiels!$A$20:$D$99,2,FALSE),02_Referentiels!$A$5:$C$16,2,FALSE),"")</x:f>
      </x:c>
      <x:c r="D74" s="10">
        <x:f>COUNTIF(11_StatScores!C5:C2004,A74)</x:f>
      </x:c>
      <x:c r="E74" s="13">
        <x:f>IF($D74=0,"",IF(01_Parametres!$B$11="Oui",AVERAGEIFS(11_StatScores!D$5:D$2004,11_StatScores!C$5:C$2004,A74,11_StatScores!D$5:D$2004,"&gt;0"),AVERAGEIFS(11_StatScores!D$5:D$2004,11_StatScores!C$5:C$2004,A74)))</x:f>
      </x:c>
      <x:c r="F74" s="13">
        <x:f>IF($D74=0,"",IF(01_Parametres!$B$11="Oui",AVERAGEIFS(11_StatScores!E$5:E$2004,11_StatScores!C$5:C$2004,A74,11_StatScores!E$5:E$2004,"&gt;0"),AVERAGEIFS(11_StatScores!E$5:E$2004,11_StatScores!C$5:C$2004,A74)))</x:f>
      </x:c>
      <x:c r="G74" s="13">
        <x:f>IF($D74=0,"",IF(01_Parametres!$B$11="Oui",AVERAGEIFS(11_StatScores!F$5:F$2004,11_StatScores!C$5:C$2004,A74,11_StatScores!F$5:F$2004,"&gt;0"),AVERAGEIFS(11_StatScores!F$5:F$2004,11_StatScores!C$5:C$2004,A74)))</x:f>
      </x:c>
      <x:c r="H74" s="13">
        <x:f>IF($D74=0,"",IF(01_Parametres!$B$11="Oui",AVERAGEIFS(11_StatScores!G$5:G$2004,11_StatScores!C$5:C$2004,A74,11_StatScores!G$5:G$2004,"&gt;0"),AVERAGEIFS(11_StatScores!G$5:G$2004,11_StatScores!C$5:C$2004,A74)))</x:f>
      </x:c>
    </x:row>
    <x:row r="75">
      <x:c r="A75" s="10" t="inlineStr">
        <x:is>
          <x:t xml:space="preserve">D10S70</x:t>
        </x:is>
      </x:c>
      <x:c r="B75" s="10" t="inlineStr">
        <x:is>
          <x:t xml:space="preserve">Taux d'homicide volontaire</x:t>
        </x:is>
      </x:c>
      <x:c r="C75" s="10">
        <x:f>IFERROR(VLOOKUP(VLOOKUP(A75,02_Referentiels!$A$20:$D$99,2,FALSE),02_Referentiels!$A$5:$C$16,2,FALSE),"")</x:f>
      </x:c>
      <x:c r="D75" s="10">
        <x:f>COUNTIF(11_StatScores!C5:C2004,A75)</x:f>
      </x:c>
      <x:c r="E75" s="13">
        <x:f>IF($D75=0,"",IF(01_Parametres!$B$11="Oui",AVERAGEIFS(11_StatScores!D$5:D$2004,11_StatScores!C$5:C$2004,A75,11_StatScores!D$5:D$2004,"&gt;0"),AVERAGEIFS(11_StatScores!D$5:D$2004,11_StatScores!C$5:C$2004,A75)))</x:f>
      </x:c>
      <x:c r="F75" s="13">
        <x:f>IF($D75=0,"",IF(01_Parametres!$B$11="Oui",AVERAGEIFS(11_StatScores!E$5:E$2004,11_StatScores!C$5:C$2004,A75,11_StatScores!E$5:E$2004,"&gt;0"),AVERAGEIFS(11_StatScores!E$5:E$2004,11_StatScores!C$5:C$2004,A75)))</x:f>
      </x:c>
      <x:c r="G75" s="13">
        <x:f>IF($D75=0,"",IF(01_Parametres!$B$11="Oui",AVERAGEIFS(11_StatScores!F$5:F$2004,11_StatScores!C$5:C$2004,A75,11_StatScores!F$5:F$2004,"&gt;0"),AVERAGEIFS(11_StatScores!F$5:F$2004,11_StatScores!C$5:C$2004,A75)))</x:f>
      </x:c>
      <x:c r="H75" s="13">
        <x:f>IF($D75=0,"",IF(01_Parametres!$B$11="Oui",AVERAGEIFS(11_StatScores!G$5:G$2004,11_StatScores!C$5:C$2004,A75,11_StatScores!G$5:G$2004,"&gt;0"),AVERAGEIFS(11_StatScores!G$5:G$2004,11_StatScores!C$5:C$2004,A75)))</x:f>
      </x:c>
    </x:row>
    <x:row r="76">
      <x:c r="A76" s="10" t="inlineStr">
        <x:is>
          <x:t xml:space="preserve">D11S71</x:t>
        </x:is>
      </x:c>
      <x:c r="B76" s="10" t="inlineStr">
        <x:is>
          <x:t xml:space="preserve">Valeur ajoutée de l'économie bleue (VAB)</x:t>
        </x:is>
      </x:c>
      <x:c r="C76" s="10">
        <x:f>IFERROR(VLOOKUP(VLOOKUP(A76,02_Referentiels!$A$20:$D$99,2,FALSE),02_Referentiels!$A$5:$C$16,2,FALSE),"")</x:f>
      </x:c>
      <x:c r="D76" s="10">
        <x:f>COUNTIF(11_StatScores!C5:C2004,A76)</x:f>
      </x:c>
      <x:c r="E76" s="13">
        <x:f>IF($D76=0,"",IF(01_Parametres!$B$11="Oui",AVERAGEIFS(11_StatScores!D$5:D$2004,11_StatScores!C$5:C$2004,A76,11_StatScores!D$5:D$2004,"&gt;0"),AVERAGEIFS(11_StatScores!D$5:D$2004,11_StatScores!C$5:C$2004,A76)))</x:f>
      </x:c>
      <x:c r="F76" s="13">
        <x:f>IF($D76=0,"",IF(01_Parametres!$B$11="Oui",AVERAGEIFS(11_StatScores!E$5:E$2004,11_StatScores!C$5:C$2004,A76,11_StatScores!E$5:E$2004,"&gt;0"),AVERAGEIFS(11_StatScores!E$5:E$2004,11_StatScores!C$5:C$2004,A76)))</x:f>
      </x:c>
      <x:c r="G76" s="13">
        <x:f>IF($D76=0,"",IF(01_Parametres!$B$11="Oui",AVERAGEIFS(11_StatScores!F$5:F$2004,11_StatScores!C$5:C$2004,A76,11_StatScores!F$5:F$2004,"&gt;0"),AVERAGEIFS(11_StatScores!F$5:F$2004,11_StatScores!C$5:C$2004,A76)))</x:f>
      </x:c>
      <x:c r="H76" s="13">
        <x:f>IF($D76=0,"",IF(01_Parametres!$B$11="Oui",AVERAGEIFS(11_StatScores!G$5:G$2004,11_StatScores!C$5:C$2004,A76,11_StatScores!G$5:G$2004,"&gt;0"),AVERAGEIFS(11_StatScores!G$5:G$2004,11_StatScores!C$5:C$2004,A76)))</x:f>
      </x:c>
    </x:row>
    <x:row r="77">
      <x:c r="A77" s="10" t="inlineStr">
        <x:is>
          <x:t xml:space="preserve">D11S72</x:t>
        </x:is>
      </x:c>
      <x:c r="B77" s="10" t="inlineStr">
        <x:is>
          <x:t xml:space="preserve">Emplois liés à l'économie bleue</x:t>
        </x:is>
      </x:c>
      <x:c r="C77" s="10">
        <x:f>IFERROR(VLOOKUP(VLOOKUP(A77,02_Referentiels!$A$20:$D$99,2,FALSE),02_Referentiels!$A$5:$C$16,2,FALSE),"")</x:f>
      </x:c>
      <x:c r="D77" s="10">
        <x:f>COUNTIF(11_StatScores!C5:C2004,A77)</x:f>
      </x:c>
      <x:c r="E77" s="13">
        <x:f>IF($D77=0,"",IF(01_Parametres!$B$11="Oui",AVERAGEIFS(11_StatScores!D$5:D$2004,11_StatScores!C$5:C$2004,A77,11_StatScores!D$5:D$2004,"&gt;0"),AVERAGEIFS(11_StatScores!D$5:D$2004,11_StatScores!C$5:C$2004,A77)))</x:f>
      </x:c>
      <x:c r="F77" s="13">
        <x:f>IF($D77=0,"",IF(01_Parametres!$B$11="Oui",AVERAGEIFS(11_StatScores!E$5:E$2004,11_StatScores!C$5:C$2004,A77,11_StatScores!E$5:E$2004,"&gt;0"),AVERAGEIFS(11_StatScores!E$5:E$2004,11_StatScores!C$5:C$2004,A77)))</x:f>
      </x:c>
      <x:c r="G77" s="13">
        <x:f>IF($D77=0,"",IF(01_Parametres!$B$11="Oui",AVERAGEIFS(11_StatScores!F$5:F$2004,11_StatScores!C$5:C$2004,A77,11_StatScores!F$5:F$2004,"&gt;0"),AVERAGEIFS(11_StatScores!F$5:F$2004,11_StatScores!C$5:C$2004,A77)))</x:f>
      </x:c>
      <x:c r="H77" s="13">
        <x:f>IF($D77=0,"",IF(01_Parametres!$B$11="Oui",AVERAGEIFS(11_StatScores!G$5:G$2004,11_StatScores!C$5:C$2004,A77,11_StatScores!G$5:G$2004,"&gt;0"),AVERAGEIFS(11_StatScores!G$5:G$2004,11_StatScores!C$5:C$2004,A77)))</x:f>
      </x:c>
    </x:row>
    <x:row r="78">
      <x:c r="A78" s="10" t="inlineStr">
        <x:is>
          <x:t xml:space="preserve">D11S73</x:t>
        </x:is>
      </x:c>
      <x:c r="B78" s="10" t="inlineStr">
        <x:is>
          <x:t xml:space="preserve">Aires marines protégées (% zones territoriales)</x:t>
        </x:is>
      </x:c>
      <x:c r="C78" s="10">
        <x:f>IFERROR(VLOOKUP(VLOOKUP(A78,02_Referentiels!$A$20:$D$99,2,FALSE),02_Referentiels!$A$5:$C$16,2,FALSE),"")</x:f>
      </x:c>
      <x:c r="D78" s="10">
        <x:f>COUNTIF(11_StatScores!C5:C2004,A78)</x:f>
      </x:c>
      <x:c r="E78" s="13">
        <x:f>IF($D78=0,"",IF(01_Parametres!$B$11="Oui",AVERAGEIFS(11_StatScores!D$5:D$2004,11_StatScores!C$5:C$2004,A78,11_StatScores!D$5:D$2004,"&gt;0"),AVERAGEIFS(11_StatScores!D$5:D$2004,11_StatScores!C$5:C$2004,A78)))</x:f>
      </x:c>
      <x:c r="F78" s="13">
        <x:f>IF($D78=0,"",IF(01_Parametres!$B$11="Oui",AVERAGEIFS(11_StatScores!E$5:E$2004,11_StatScores!C$5:C$2004,A78,11_StatScores!E$5:E$2004,"&gt;0"),AVERAGEIFS(11_StatScores!E$5:E$2004,11_StatScores!C$5:C$2004,A78)))</x:f>
      </x:c>
      <x:c r="G78" s="13">
        <x:f>IF($D78=0,"",IF(01_Parametres!$B$11="Oui",AVERAGEIFS(11_StatScores!F$5:F$2004,11_StatScores!C$5:C$2004,A78,11_StatScores!F$5:F$2004,"&gt;0"),AVERAGEIFS(11_StatScores!F$5:F$2004,11_StatScores!C$5:C$2004,A78)))</x:f>
      </x:c>
      <x:c r="H78" s="13">
        <x:f>IF($D78=0,"",IF(01_Parametres!$B$11="Oui",AVERAGEIFS(11_StatScores!G$5:G$2004,11_StatScores!C$5:C$2004,A78,11_StatScores!G$5:G$2004,"&gt;0"),AVERAGEIFS(11_StatScores!G$5:G$2004,11_StatScores!C$5:C$2004,A78)))</x:f>
      </x:c>
    </x:row>
    <x:row r="79">
      <x:c r="A79" s="10" t="inlineStr">
        <x:is>
          <x:t xml:space="preserve">D11S74</x:t>
        </x:is>
      </x:c>
      <x:c r="B79" s="10" t="inlineStr">
        <x:is>
          <x:t xml:space="preserve">Pénétration de l'énergie bleue</x:t>
        </x:is>
      </x:c>
      <x:c r="C79" s="10">
        <x:f>IFERROR(VLOOKUP(VLOOKUP(A79,02_Referentiels!$A$20:$D$99,2,FALSE),02_Referentiels!$A$5:$C$16,2,FALSE),"")</x:f>
      </x:c>
      <x:c r="D79" s="10">
        <x:f>COUNTIF(11_StatScores!C5:C2004,A79)</x:f>
      </x:c>
      <x:c r="E79" s="13">
        <x:f>IF($D79=0,"",IF(01_Parametres!$B$11="Oui",AVERAGEIFS(11_StatScores!D$5:D$2004,11_StatScores!C$5:C$2004,A79,11_StatScores!D$5:D$2004,"&gt;0"),AVERAGEIFS(11_StatScores!D$5:D$2004,11_StatScores!C$5:C$2004,A79)))</x:f>
      </x:c>
      <x:c r="F79" s="13">
        <x:f>IF($D79=0,"",IF(01_Parametres!$B$11="Oui",AVERAGEIFS(11_StatScores!E$5:E$2004,11_StatScores!C$5:C$2004,A79,11_StatScores!E$5:E$2004,"&gt;0"),AVERAGEIFS(11_StatScores!E$5:E$2004,11_StatScores!C$5:C$2004,A79)))</x:f>
      </x:c>
      <x:c r="G79" s="13">
        <x:f>IF($D79=0,"",IF(01_Parametres!$B$11="Oui",AVERAGEIFS(11_StatScores!F$5:F$2004,11_StatScores!C$5:C$2004,A79,11_StatScores!F$5:F$2004,"&gt;0"),AVERAGEIFS(11_StatScores!F$5:F$2004,11_StatScores!C$5:C$2004,A79)))</x:f>
      </x:c>
      <x:c r="H79" s="13">
        <x:f>IF($D79=0,"",IF(01_Parametres!$B$11="Oui",AVERAGEIFS(11_StatScores!G$5:G$2004,11_StatScores!C$5:C$2004,A79,11_StatScores!G$5:G$2004,"&gt;0"),AVERAGEIFS(11_StatScores!G$5:G$2004,11_StatScores!C$5:C$2004,A79)))</x:f>
      </x:c>
    </x:row>
    <x:row r="80">
      <x:c r="A80" s="10" t="inlineStr">
        <x:is>
          <x:t xml:space="preserve">D11S75</x:t>
        </x:is>
      </x:c>
      <x:c r="B80" s="10" t="inlineStr">
        <x:is>
          <x:t xml:space="preserve">Stocks de poissons durables</x:t>
        </x:is>
      </x:c>
      <x:c r="C80" s="10">
        <x:f>IFERROR(VLOOKUP(VLOOKUP(A80,02_Referentiels!$A$20:$D$99,2,FALSE),02_Referentiels!$A$5:$C$16,2,FALSE),"")</x:f>
      </x:c>
      <x:c r="D80" s="10">
        <x:f>COUNTIF(11_StatScores!C5:C2004,A80)</x:f>
      </x:c>
      <x:c r="E80" s="13">
        <x:f>IF($D80=0,"",IF(01_Parametres!$B$11="Oui",AVERAGEIFS(11_StatScores!D$5:D$2004,11_StatScores!C$5:C$2004,A80,11_StatScores!D$5:D$2004,"&gt;0"),AVERAGEIFS(11_StatScores!D$5:D$2004,11_StatScores!C$5:C$2004,A80)))</x:f>
      </x:c>
      <x:c r="F80" s="13">
        <x:f>IF($D80=0,"",IF(01_Parametres!$B$11="Oui",AVERAGEIFS(11_StatScores!E$5:E$2004,11_StatScores!C$5:C$2004,A80,11_StatScores!E$5:E$2004,"&gt;0"),AVERAGEIFS(11_StatScores!E$5:E$2004,11_StatScores!C$5:C$2004,A80)))</x:f>
      </x:c>
      <x:c r="G80" s="13">
        <x:f>IF($D80=0,"",IF(01_Parametres!$B$11="Oui",AVERAGEIFS(11_StatScores!F$5:F$2004,11_StatScores!C$5:C$2004,A80,11_StatScores!F$5:F$2004,"&gt;0"),AVERAGEIFS(11_StatScores!F$5:F$2004,11_StatScores!C$5:C$2004,A80)))</x:f>
      </x:c>
      <x:c r="H80" s="13">
        <x:f>IF($D80=0,"",IF(01_Parametres!$B$11="Oui",AVERAGEIFS(11_StatScores!G$5:G$2004,11_StatScores!C$5:C$2004,A80,11_StatScores!G$5:G$2004,"&gt;0"),AVERAGEIFS(11_StatScores!G$5:G$2004,11_StatScores!C$5:C$2004,A80)))</x:f>
      </x:c>
    </x:row>
    <x:row r="81">
      <x:c r="A81" s="10" t="inlineStr">
        <x:is>
          <x:t xml:space="preserve">D12S76</x:t>
        </x:is>
      </x:c>
      <x:c r="B81" s="10" t="inlineStr">
        <x:is>
          <x:t xml:space="preserve">Ratio recettes fiscales / PIB</x:t>
        </x:is>
      </x:c>
      <x:c r="C81" s="10">
        <x:f>IFERROR(VLOOKUP(VLOOKUP(A81,02_Referentiels!$A$20:$D$99,2,FALSE),02_Referentiels!$A$5:$C$16,2,FALSE),"")</x:f>
      </x:c>
      <x:c r="D81" s="10">
        <x:f>COUNTIF(11_StatScores!C5:C2004,A81)</x:f>
      </x:c>
      <x:c r="E81" s="13">
        <x:f>IF($D81=0,"",IF(01_Parametres!$B$11="Oui",AVERAGEIFS(11_StatScores!D$5:D$2004,11_StatScores!C$5:C$2004,A81,11_StatScores!D$5:D$2004,"&gt;0"),AVERAGEIFS(11_StatScores!D$5:D$2004,11_StatScores!C$5:C$2004,A81)))</x:f>
      </x:c>
      <x:c r="F81" s="13">
        <x:f>IF($D81=0,"",IF(01_Parametres!$B$11="Oui",AVERAGEIFS(11_StatScores!E$5:E$2004,11_StatScores!C$5:C$2004,A81,11_StatScores!E$5:E$2004,"&gt;0"),AVERAGEIFS(11_StatScores!E$5:E$2004,11_StatScores!C$5:C$2004,A81)))</x:f>
      </x:c>
      <x:c r="G81" s="13">
        <x:f>IF($D81=0,"",IF(01_Parametres!$B$11="Oui",AVERAGEIFS(11_StatScores!F$5:F$2004,11_StatScores!C$5:C$2004,A81,11_StatScores!F$5:F$2004,"&gt;0"),AVERAGEIFS(11_StatScores!F$5:F$2004,11_StatScores!C$5:C$2004,A81)))</x:f>
      </x:c>
      <x:c r="H81" s="13">
        <x:f>IF($D81=0,"",IF(01_Parametres!$B$11="Oui",AVERAGEIFS(11_StatScores!G$5:G$2004,11_StatScores!C$5:C$2004,A81,11_StatScores!G$5:G$2004,"&gt;0"),AVERAGEIFS(11_StatScores!G$5:G$2004,11_StatScores!C$5:C$2004,A81)))</x:f>
      </x:c>
    </x:row>
    <x:row r="82">
      <x:c r="A82" s="10" t="inlineStr">
        <x:is>
          <x:t xml:space="preserve">D12S77</x:t>
        </x:is>
      </x:c>
      <x:c r="B82" s="10" t="inlineStr">
        <x:is>
          <x:t xml:space="preserve">Flux financiers illicites (% PIB)</x:t>
        </x:is>
      </x:c>
      <x:c r="C82" s="10">
        <x:f>IFERROR(VLOOKUP(VLOOKUP(A82,02_Referentiels!$A$20:$D$99,2,FALSE),02_Referentiels!$A$5:$C$16,2,FALSE),"")</x:f>
      </x:c>
      <x:c r="D82" s="10">
        <x:f>COUNTIF(11_StatScores!C5:C2004,A82)</x:f>
      </x:c>
      <x:c r="E82" s="13">
        <x:f>IF($D82=0,"",IF(01_Parametres!$B$11="Oui",AVERAGEIFS(11_StatScores!D$5:D$2004,11_StatScores!C$5:C$2004,A82,11_StatScores!D$5:D$2004,"&gt;0"),AVERAGEIFS(11_StatScores!D$5:D$2004,11_StatScores!C$5:C$2004,A82)))</x:f>
      </x:c>
      <x:c r="F82" s="13">
        <x:f>IF($D82=0,"",IF(01_Parametres!$B$11="Oui",AVERAGEIFS(11_StatScores!E$5:E$2004,11_StatScores!C$5:C$2004,A82,11_StatScores!E$5:E$2004,"&gt;0"),AVERAGEIFS(11_StatScores!E$5:E$2004,11_StatScores!C$5:C$2004,A82)))</x:f>
      </x:c>
      <x:c r="G82" s="13">
        <x:f>IF($D82=0,"",IF(01_Parametres!$B$11="Oui",AVERAGEIFS(11_StatScores!F$5:F$2004,11_StatScores!C$5:C$2004,A82,11_StatScores!F$5:F$2004,"&gt;0"),AVERAGEIFS(11_StatScores!F$5:F$2004,11_StatScores!C$5:C$2004,A82)))</x:f>
      </x:c>
      <x:c r="H82" s="13">
        <x:f>IF($D82=0,"",IF(01_Parametres!$B$11="Oui",AVERAGEIFS(11_StatScores!G$5:G$2004,11_StatScores!C$5:C$2004,A82,11_StatScores!G$5:G$2004,"&gt;0"),AVERAGEIFS(11_StatScores!G$5:G$2004,11_StatScores!C$5:C$2004,A82)))</x:f>
      </x:c>
    </x:row>
    <x:row r="83">
      <x:c r="A83" s="10" t="inlineStr">
        <x:is>
          <x:t xml:space="preserve">D12S78</x:t>
        </x:is>
      </x:c>
      <x:c r="B83" s="10" t="inlineStr">
        <x:is>
          <x:t xml:space="preserve">Part du budget financé par impôts nationaux</x:t>
        </x:is>
      </x:c>
      <x:c r="C83" s="10">
        <x:f>IFERROR(VLOOKUP(VLOOKUP(A83,02_Referentiels!$A$20:$D$99,2,FALSE),02_Referentiels!$A$5:$C$16,2,FALSE),"")</x:f>
      </x:c>
      <x:c r="D83" s="10">
        <x:f>COUNTIF(11_StatScores!C5:C2004,A83)</x:f>
      </x:c>
      <x:c r="E83" s="13">
        <x:f>IF($D83=0,"",IF(01_Parametres!$B$11="Oui",AVERAGEIFS(11_StatScores!D$5:D$2004,11_StatScores!C$5:C$2004,A83,11_StatScores!D$5:D$2004,"&gt;0"),AVERAGEIFS(11_StatScores!D$5:D$2004,11_StatScores!C$5:C$2004,A83)))</x:f>
      </x:c>
      <x:c r="F83" s="13">
        <x:f>IF($D83=0,"",IF(01_Parametres!$B$11="Oui",AVERAGEIFS(11_StatScores!E$5:E$2004,11_StatScores!C$5:C$2004,A83,11_StatScores!E$5:E$2004,"&gt;0"),AVERAGEIFS(11_StatScores!E$5:E$2004,11_StatScores!C$5:C$2004,A83)))</x:f>
      </x:c>
      <x:c r="G83" s="13">
        <x:f>IF($D83=0,"",IF(01_Parametres!$B$11="Oui",AVERAGEIFS(11_StatScores!F$5:F$2004,11_StatScores!C$5:C$2004,A83,11_StatScores!F$5:F$2004,"&gt;0"),AVERAGEIFS(11_StatScores!F$5:F$2004,11_StatScores!C$5:C$2004,A83)))</x:f>
      </x:c>
      <x:c r="H83" s="13">
        <x:f>IF($D83=0,"",IF(01_Parametres!$B$11="Oui",AVERAGEIFS(11_StatScores!G$5:G$2004,11_StatScores!C$5:C$2004,A83,11_StatScores!G$5:G$2004,"&gt;0"),AVERAGEIFS(11_StatScores!G$5:G$2004,11_StatScores!C$5:C$2004,A83)))</x:f>
      </x:c>
    </x:row>
    <x:row r="84">
      <x:c r="A84" s="10" t="inlineStr">
        <x:is>
          <x:t xml:space="preserve">D12S79</x:t>
        </x:is>
      </x:c>
      <x:c r="B84" s="10" t="inlineStr">
        <x:is>
          <x:t xml:space="preserve">Envois de fonds migrants (% PIB)</x:t>
        </x:is>
      </x:c>
      <x:c r="C84" s="10">
        <x:f>IFERROR(VLOOKUP(VLOOKUP(A84,02_Referentiels!$A$20:$D$99,2,FALSE),02_Referentiels!$A$5:$C$16,2,FALSE),"")</x:f>
      </x:c>
      <x:c r="D84" s="10">
        <x:f>COUNTIF(11_StatScores!C5:C2004,A84)</x:f>
      </x:c>
      <x:c r="E84" s="13">
        <x:f>IF($D84=0,"",IF(01_Parametres!$B$11="Oui",AVERAGEIFS(11_StatScores!D$5:D$2004,11_StatScores!C$5:C$2004,A84,11_StatScores!D$5:D$2004,"&gt;0"),AVERAGEIFS(11_StatScores!D$5:D$2004,11_StatScores!C$5:C$2004,A84)))</x:f>
      </x:c>
      <x:c r="F84" s="13">
        <x:f>IF($D84=0,"",IF(01_Parametres!$B$11="Oui",AVERAGEIFS(11_StatScores!E$5:E$2004,11_StatScores!C$5:C$2004,A84,11_StatScores!E$5:E$2004,"&gt;0"),AVERAGEIFS(11_StatScores!E$5:E$2004,11_StatScores!C$5:C$2004,A84)))</x:f>
      </x:c>
      <x:c r="G84" s="13">
        <x:f>IF($D84=0,"",IF(01_Parametres!$B$11="Oui",AVERAGEIFS(11_StatScores!F$5:F$2004,11_StatScores!C$5:C$2004,A84,11_StatScores!F$5:F$2004,"&gt;0"),AVERAGEIFS(11_StatScores!F$5:F$2004,11_StatScores!C$5:C$2004,A84)))</x:f>
      </x:c>
      <x:c r="H84" s="13">
        <x:f>IF($D84=0,"",IF(01_Parametres!$B$11="Oui",AVERAGEIFS(11_StatScores!G$5:G$2004,11_StatScores!C$5:C$2004,A84,11_StatScores!G$5:G$2004,"&gt;0"),AVERAGEIFS(11_StatScores!G$5:G$2004,11_StatScores!C$5:C$2004,A84)))</x:f>
      </x:c>
    </x:row>
    <x:row r="85">
      <x:c r="A85" s="10" t="inlineStr">
        <x:is>
          <x:t xml:space="preserve">D12S80</x:t>
        </x:is>
      </x:c>
      <x:c r="B85" s="10" t="inlineStr">
        <x:is>
          <x:t xml:space="preserve">Service de la dette (% exportations)</x:t>
        </x:is>
      </x:c>
      <x:c r="C85" s="10">
        <x:f>IFERROR(VLOOKUP(VLOOKUP(A85,02_Referentiels!$A$20:$D$99,2,FALSE),02_Referentiels!$A$5:$C$16,2,FALSE),"")</x:f>
      </x:c>
      <x:c r="D85" s="10">
        <x:f>COUNTIF(11_StatScores!C5:C2004,A85)</x:f>
      </x:c>
      <x:c r="E85" s="13">
        <x:f>IF($D85=0,"",IF(01_Parametres!$B$11="Oui",AVERAGEIFS(11_StatScores!D$5:D$2004,11_StatScores!C$5:C$2004,A85,11_StatScores!D$5:D$2004,"&gt;0"),AVERAGEIFS(11_StatScores!D$5:D$2004,11_StatScores!C$5:C$2004,A85)))</x:f>
      </x:c>
      <x:c r="F85" s="13">
        <x:f>IF($D85=0,"",IF(01_Parametres!$B$11="Oui",AVERAGEIFS(11_StatScores!E$5:E$2004,11_StatScores!C$5:C$2004,A85,11_StatScores!E$5:E$2004,"&gt;0"),AVERAGEIFS(11_StatScores!E$5:E$2004,11_StatScores!C$5:C$2004,A85)))</x:f>
      </x:c>
      <x:c r="G85" s="13">
        <x:f>IF($D85=0,"",IF(01_Parametres!$B$11="Oui",AVERAGEIFS(11_StatScores!F$5:F$2004,11_StatScores!C$5:C$2004,A85,11_StatScores!F$5:F$2004,"&gt;0"),AVERAGEIFS(11_StatScores!F$5:F$2004,11_StatScores!C$5:C$2004,A85)))</x:f>
      </x:c>
      <x:c r="H85" s="13">
        <x:f>IF($D85=0,"",IF(01_Parametres!$B$11="Oui",AVERAGEIFS(11_StatScores!G$5:G$2004,11_StatScores!C$5:C$2004,A85,11_StatScores!G$5:G$2004,"&gt;0"),AVERAGEIFS(11_StatScores!G$5:G$2004,11_StatScores!C$5:C$2004,A85)))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6" customWidth="1"/>
  </x:cols>
  <x:sheetData>
    <x:row r="1">
      <x:c r="A1" s="4" t="inlineStr">
        <x:is>
          <x:t xml:space="preserve">Analyse par profils</x:t>
        </x:is>
      </x:c>
    </x:row>
    <x:row r="2">
      <x:c r="A2" s="3" t="inlineStr">
        <x:is>
          <x:t xml:space="preserve">Compteurs simples. Pour analyses avancées, utilisez filtres / TCD Excel.</x:t>
        </x:is>
      </x:c>
    </x:row>
    <x:row r="5" ht="22" customHeight="1">
      <x:c r="A5" s="9" t="inlineStr">
        <x:is>
          <x:t xml:space="preserve">Type d'acteur</x:t>
        </x:is>
      </x:c>
      <x:c r="B5" s="9" t="inlineStr">
        <x:is>
          <x:t xml:space="preserve">N soumissions</x:t>
        </x:is>
      </x:c>
    </x:row>
    <x:row r="6">
      <x:c r="A6" s="10" t="inlineStr">
        <x:is>
          <x:t xml:space="preserve">NSO</x:t>
        </x:is>
      </x:c>
      <x:c r="B6" s="10">
        <x:f>COUNTIF(10_Repondants!F5:F604,"NSO")</x:f>
        <x:v>0</x:v>
      </x:c>
    </x:row>
    <x:row r="7">
      <x:c r="A7" s="10" t="inlineStr">
        <x:is>
          <x:t xml:space="preserve">Ministry</x:t>
        </x:is>
      </x:c>
      <x:c r="B7" s="10">
        <x:f>COUNTIF(10_Repondants!F5:F604,"Ministry")</x:f>
        <x:v>0</x:v>
      </x:c>
    </x:row>
    <x:row r="8">
      <x:c r="A8" s="10" t="inlineStr">
        <x:is>
          <x:t xml:space="preserve">REC</x:t>
        </x:is>
      </x:c>
      <x:c r="B8" s="10">
        <x:f>COUNTIF(10_Repondants!F5:F604,"REC")</x:f>
        <x:v>0</x:v>
      </x:c>
    </x:row>
    <x:row r="9">
      <x:c r="A9" s="10" t="inlineStr">
        <x:is>
          <x:t xml:space="preserve">AU</x:t>
        </x:is>
      </x:c>
      <x:c r="B9" s="10">
        <x:f>COUNTIF(10_Repondants!F5:F604,"AU")</x:f>
        <x:v>0</x:v>
      </x:c>
    </x:row>
    <x:row r="10">
      <x:c r="A10" s="10" t="inlineStr">
        <x:is>
          <x:t xml:space="preserve">CivilSoc</x:t>
        </x:is>
      </x:c>
      <x:c r="B10" s="10">
        <x:f>COUNTIF(10_Repondants!F5:F604,"CivilSoc")</x:f>
        <x:v>0</x:v>
      </x:c>
    </x:row>
    <x:row r="11">
      <x:c r="A11" s="10" t="inlineStr">
        <x:is>
          <x:t xml:space="preserve">DevPartner</x:t>
        </x:is>
      </x:c>
      <x:c r="B11" s="10">
        <x:f>COUNTIF(10_Repondants!F5:F604,"DevPartner")</x:f>
        <x:v>0</x:v>
      </x:c>
    </x:row>
    <x:row r="12">
      <x:c r="A12" s="10" t="inlineStr">
        <x:is>
          <x:t xml:space="preserve">Academia</x:t>
        </x:is>
      </x:c>
      <x:c r="B12" s="10">
        <x:f>COUNTIF(10_Repondants!F5:F604,"Academia")</x:f>
        <x:v>0</x:v>
      </x:c>
    </x:row>
    <x:row r="13">
      <x:c r="A13" s="10" t="inlineStr">
        <x:is>
          <x:t xml:space="preserve">Other</x:t>
        </x:is>
      </x:c>
      <x:c r="B13" s="10">
        <x:f>COUNTIF(10_Repondants!F5:F604,"Other")</x:f>
        <x:v>0</x:v>
      </x:c>
    </x:row>
    <x:row r="16" ht="22" customHeight="1">
      <x:c r="A16" s="9" t="inlineStr">
        <x:is>
          <x:t xml:space="preserve">Portée</x:t>
        </x:is>
      </x:c>
      <x:c r="B16" s="9" t="inlineStr">
        <x:is>
          <x:t xml:space="preserve">N soumissions</x:t>
        </x:is>
      </x:c>
    </x:row>
    <x:row r="17">
      <x:c r="A17" s="10" t="inlineStr">
        <x:is>
          <x:t xml:space="preserve">National</x:t>
        </x:is>
      </x:c>
      <x:c r="B17" s="10">
        <x:f>COUNTIF(10_Repondants!H5:H604,"National")</x:f>
        <x:v>0</x:v>
      </x:c>
    </x:row>
    <x:row r="18">
      <x:c r="A18" s="10" t="inlineStr">
        <x:is>
          <x:t xml:space="preserve">Regional</x:t>
        </x:is>
      </x:c>
      <x:c r="B18" s="10">
        <x:f>COUNTIF(10_Repondants!H5:H604,"Regional")</x:f>
        <x:v>0</x:v>
      </x:c>
    </x:row>
    <x:row r="19">
      <x:c r="A19" s="10" t="inlineStr">
        <x:is>
          <x:t xml:space="preserve">Continental</x:t>
        </x:is>
      </x:c>
      <x:c r="B19" s="10">
        <x:f>COUNTIF(10_Repondants!H5:H604,"Continental")</x:f>
        <x:v>0</x:v>
      </x:c>
    </x:row>
    <x:row r="20">
      <x:c r="A20" s="10" t="inlineStr">
        <x:is>
          <x:t xml:space="preserve">International</x:t>
        </x:is>
      </x:c>
      <x:c r="B20" s="10">
        <x:f>COUNTIF(10_Repondants!H5:H604,"International")</x:f>
        <x:v>0</x:v>
      </x:c>
    </x:row>
    <x:row r="21">
      <x:c r="A21" s="10" t="inlineStr">
        <x:is>
          <x:t xml:space="preserve">Other</x:t>
        </x:is>
      </x:c>
      <x:c r="B21" s="10">
        <x:f>COUNTIF(10_Repondants!H5:H604,"Other")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44" customWidth="1"/>
    <x:col min="3" max="3" width="10" customWidth="1"/>
    <x:col min="4" max="4" width="10" customWidth="1"/>
    <x:col min="5" max="5" width="10" customWidth="1"/>
    <x:col min="6" max="6" width="10" customWidth="1"/>
    <x:col min="7" max="7" width="12" customWidth="1"/>
  </x:cols>
  <x:sheetData>
    <x:row r="1">
      <x:c r="A1" s="4" t="inlineStr">
        <x:is>
          <x:t xml:space="preserve">Analyse - Dimension genre</x:t>
        </x:is>
      </x:c>
    </x:row>
    <x:row r="2">
      <x:c r="A2" s="3" t="inlineStr">
        <x:is>
          <x:t xml:space="preserve">Distribution YES/NO/DEP/UK par dimension (12_Genre).</x:t>
        </x:is>
      </x:c>
    </x:row>
    <x:row r="5" ht="22" customHeight="1">
      <x:c r="A5" s="9" t="inlineStr">
        <x:is>
          <x:t xml:space="preserve">Dimension</x:t>
        </x:is>
      </x:c>
      <x:c r="B5" s="9" t="inlineStr">
        <x:is>
          <x:t xml:space="preserve">Libellé</x:t>
        </x:is>
      </x:c>
      <x:c r="C5" s="9" t="inlineStr">
        <x:is>
          <x:t xml:space="preserve">YES</x:t>
        </x:is>
      </x:c>
      <x:c r="D5" s="9" t="inlineStr">
        <x:is>
          <x:t xml:space="preserve">NO</x:t>
        </x:is>
      </x:c>
      <x:c r="E5" s="9" t="inlineStr">
        <x:is>
          <x:t xml:space="preserve">DEP</x:t>
        </x:is>
      </x:c>
      <x:c r="F5" s="9" t="inlineStr">
        <x:is>
          <x:t xml:space="preserve">UK</x:t>
        </x:is>
      </x:c>
      <x:c r="G5" s="9" t="inlineStr">
        <x:is>
          <x:t xml:space="preserve">N total</x:t>
        </x:is>
      </x:c>
    </x:row>
    <x:row r="6">
      <x:c r="A6" s="10" t="inlineStr">
        <x:is>
          <x:t xml:space="preserve">sexe</x:t>
        </x:is>
      </x:c>
      <x:c r="B6" s="10" t="inlineStr">
        <x:is>
          <x:t xml:space="preserve">Désagrégation par sexe</x:t>
        </x:is>
      </x:c>
      <x:c r="C6" s="10">
        <x:f>COUNTIF(12_Genre!B$5:B$604,"YES")</x:f>
        <x:v>0</x:v>
      </x:c>
      <x:c r="D6" s="10">
        <x:f>COUNTIF(12_Genre!B$5:B$604,"NO")</x:f>
        <x:v>0</x:v>
      </x:c>
      <x:c r="E6" s="10">
        <x:f>COUNTIF(12_Genre!B$5:B$604,"DEP")</x:f>
        <x:v>0</x:v>
      </x:c>
      <x:c r="F6" s="10">
        <x:f>COUNTIF(12_Genre!B$5:B$604,"UK")</x:f>
        <x:v>0</x:v>
      </x:c>
      <x:c r="G6" s="10">
        <x:f>SUM(C6:F6)</x:f>
        <x:v>0</x:v>
      </x:c>
    </x:row>
    <x:row r="7">
      <x:c r="A7" s="10" t="inlineStr">
        <x:is>
          <x:t xml:space="preserve">age</x:t>
        </x:is>
      </x:c>
      <x:c r="B7" s="10" t="inlineStr">
        <x:is>
          <x:t xml:space="preserve">Âge</x:t>
        </x:is>
      </x:c>
      <x:c r="C7" s="10">
        <x:f>COUNTIF(12_Genre!C$5:C$604,"YES")</x:f>
        <x:v>0</x:v>
      </x:c>
      <x:c r="D7" s="10">
        <x:f>COUNTIF(12_Genre!C$5:C$604,"NO")</x:f>
        <x:v>0</x:v>
      </x:c>
      <x:c r="E7" s="10">
        <x:f>COUNTIF(12_Genre!C$5:C$604,"DEP")</x:f>
        <x:v>0</x:v>
      </x:c>
      <x:c r="F7" s="10">
        <x:f>COUNTIF(12_Genre!C$5:C$604,"UK")</x:f>
        <x:v>0</x:v>
      </x:c>
      <x:c r="G7" s="10">
        <x:f>SUM(C7:F7)</x:f>
        <x:v>0</x:v>
      </x:c>
    </x:row>
    <x:row r="8">
      <x:c r="A8" s="10" t="inlineStr">
        <x:is>
          <x:t xml:space="preserve">urbain_rural</x:t>
        </x:is>
      </x:c>
      <x:c r="B8" s="10" t="inlineStr">
        <x:is>
          <x:t xml:space="preserve">Urbain/Rural</x:t>
        </x:is>
      </x:c>
      <x:c r="C8" s="10">
        <x:f>COUNTIF(12_Genre!D$5:D$604,"YES")</x:f>
        <x:v>0</x:v>
      </x:c>
      <x:c r="D8" s="10">
        <x:f>COUNTIF(12_Genre!D$5:D$604,"NO")</x:f>
        <x:v>0</x:v>
      </x:c>
      <x:c r="E8" s="10">
        <x:f>COUNTIF(12_Genre!D$5:D$604,"DEP")</x:f>
        <x:v>0</x:v>
      </x:c>
      <x:c r="F8" s="10">
        <x:f>COUNTIF(12_Genre!D$5:D$604,"UK")</x:f>
        <x:v>0</x:v>
      </x:c>
      <x:c r="G8" s="10">
        <x:f>SUM(C8:F8)</x:f>
        <x:v>0</x:v>
      </x:c>
    </x:row>
    <x:row r="9">
      <x:c r="A9" s="10" t="inlineStr">
        <x:is>
          <x:t xml:space="preserve">handicap</x:t>
        </x:is>
      </x:c>
      <x:c r="B9" s="10" t="inlineStr">
        <x:is>
          <x:t xml:space="preserve">Handicap</x:t>
        </x:is>
      </x:c>
      <x:c r="C9" s="10">
        <x:f>COUNTIF(12_Genre!E$5:E$604,"YES")</x:f>
        <x:v>0</x:v>
      </x:c>
      <x:c r="D9" s="10">
        <x:f>COUNTIF(12_Genre!E$5:E$604,"NO")</x:f>
        <x:v>0</x:v>
      </x:c>
      <x:c r="E9" s="10">
        <x:f>COUNTIF(12_Genre!E$5:E$604,"DEP")</x:f>
        <x:v>0</x:v>
      </x:c>
      <x:c r="F9" s="10">
        <x:f>COUNTIF(12_Genre!E$5:E$604,"UK")</x:f>
        <x:v>0</x:v>
      </x:c>
      <x:c r="G9" s="10">
        <x:f>SUM(C9:F9)</x:f>
        <x:v>0</x:v>
      </x:c>
    </x:row>
    <x:row r="10">
      <x:c r="A10" s="10" t="inlineStr">
        <x:is>
          <x:t xml:space="preserve">quintile_riche</x:t>
        </x:is>
      </x:c>
      <x:c r="B10" s="10" t="inlineStr">
        <x:is>
          <x:t xml:space="preserve">Quintile de richesse</x:t>
        </x:is>
      </x:c>
      <x:c r="C10" s="10">
        <x:f>COUNTIF(12_Genre!F$5:F$604,"YES")</x:f>
        <x:v>0</x:v>
      </x:c>
      <x:c r="D10" s="10">
        <x:f>COUNTIF(12_Genre!F$5:F$604,"NO")</x:f>
        <x:v>0</x:v>
      </x:c>
      <x:c r="E10" s="10">
        <x:f>COUNTIF(12_Genre!F$5:F$604,"DEP")</x:f>
        <x:v>0</x:v>
      </x:c>
      <x:c r="F10" s="10">
        <x:f>COUNTIF(12_Genre!F$5:F$604,"UK")</x:f>
        <x:v>0</x:v>
      </x:c>
      <x:c r="G10" s="10">
        <x:f>SUM(C10:F10)</x:f>
        <x:v>0</x:v>
      </x:c>
    </x:row>
    <x:row r="11">
      <x:c r="A11" s="10" t="inlineStr">
        <x:is>
          <x:t xml:space="preserve">vbg</x:t>
        </x:is>
      </x:c>
      <x:c r="B11" s="10" t="inlineStr">
        <x:is>
          <x:t xml:space="preserve">VBG</x:t>
        </x:is>
      </x:c>
      <x:c r="C11" s="10">
        <x:f>COUNTIF(12_Genre!G$5:G$604,"YES")</x:f>
        <x:v>0</x:v>
      </x:c>
      <x:c r="D11" s="10">
        <x:f>COUNTIF(12_Genre!G$5:G$604,"NO")</x:f>
        <x:v>0</x:v>
      </x:c>
      <x:c r="E11" s="10">
        <x:f>COUNTIF(12_Genre!G$5:G$604,"DEP")</x:f>
        <x:v>0</x:v>
      </x:c>
      <x:c r="F11" s="10">
        <x:f>COUNTIF(12_Genre!G$5:G$604,"UK")</x:f>
        <x:v>0</x:v>
      </x:c>
      <x:c r="G11" s="10">
        <x:f>SUM(C11:F11)</x:f>
        <x:v>0</x:v>
      </x:c>
    </x:row>
    <x:row r="12">
      <x:c r="A12" s="10" t="inlineStr">
        <x:is>
          <x:t xml:space="preserve">temps_domestique</x:t>
        </x:is>
      </x:c>
      <x:c r="B12" s="10" t="inlineStr">
        <x:is>
          <x:t xml:space="preserve">Temps domestique non rémunéré</x:t>
        </x:is>
      </x:c>
      <x:c r="C12" s="10">
        <x:f>COUNTIF(12_Genre!H$5:H$604,"YES")</x:f>
        <x:v>0</x:v>
      </x:c>
      <x:c r="D12" s="10">
        <x:f>COUNTIF(12_Genre!H$5:H$604,"NO")</x:f>
        <x:v>0</x:v>
      </x:c>
      <x:c r="E12" s="10">
        <x:f>COUNTIF(12_Genre!H$5:H$604,"DEP")</x:f>
        <x:v>0</x:v>
      </x:c>
      <x:c r="F12" s="10">
        <x:f>COUNTIF(12_Genre!H$5:H$604,"UK")</x:f>
        <x:v>0</x:v>
      </x:c>
      <x:c r="G12" s="10">
        <x:f>SUM(C12:F12)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34" customWidth="1"/>
    <x:col min="3" max="3" width="10" customWidth="1"/>
    <x:col min="4" max="4" width="10" customWidth="1"/>
    <x:col min="5" max="5" width="10" customWidth="1"/>
    <x:col min="6" max="6" width="10" customWidth="1"/>
    <x:col min="7" max="7" width="12" customWidth="1"/>
  </x:cols>
  <x:sheetData>
    <x:row r="1">
      <x:c r="A1" s="4" t="inlineStr">
        <x:is>
          <x:t xml:space="preserve">Analyse - Capacité</x:t>
        </x:is>
      </x:c>
    </x:row>
    <x:row r="2">
      <x:c r="A2" s="3" t="inlineStr">
        <x:is>
          <x:t xml:space="preserve">Distribution HIGH/MED/LOW/UK par item (13_Capacite).</x:t>
        </x:is>
      </x:c>
    </x:row>
    <x:row r="5" ht="22" customHeight="1">
      <x:c r="A5" s="9" t="inlineStr">
        <x:is>
          <x:t xml:space="preserve">Item</x:t>
        </x:is>
      </x:c>
      <x:c r="B5" s="9" t="inlineStr">
        <x:is>
          <x:t xml:space="preserve">Libellé</x:t>
        </x:is>
      </x:c>
      <x:c r="C5" s="9" t="inlineStr">
        <x:is>
          <x:t xml:space="preserve">HIGH</x:t>
        </x:is>
      </x:c>
      <x:c r="D5" s="9" t="inlineStr">
        <x:is>
          <x:t xml:space="preserve">MED</x:t>
        </x:is>
      </x:c>
      <x:c r="E5" s="9" t="inlineStr">
        <x:is>
          <x:t xml:space="preserve">LOW</x:t>
        </x:is>
      </x:c>
      <x:c r="F5" s="9" t="inlineStr">
        <x:is>
          <x:t xml:space="preserve">UK</x:t>
        </x:is>
      </x:c>
      <x:c r="G5" s="9" t="inlineStr">
        <x:is>
          <x:t xml:space="preserve">N total</x:t>
        </x:is>
      </x:c>
    </x:row>
    <x:row r="6">
      <x:c r="A6" s="10" t="inlineStr">
        <x:is>
          <x:t xml:space="preserve">comp_stats</x:t>
        </x:is>
      </x:c>
      <x:c r="B6" s="10" t="inlineStr">
        <x:is>
          <x:t xml:space="preserve">Compétences statistiques</x:t>
        </x:is>
      </x:c>
      <x:c r="C6" s="10">
        <x:f>COUNTIF(13_Capacite!B$5:B$604,"HIGH")</x:f>
        <x:v>0</x:v>
      </x:c>
      <x:c r="D6" s="10">
        <x:f>COUNTIF(13_Capacite!B$5:B$604,"MED")</x:f>
        <x:v>0</x:v>
      </x:c>
      <x:c r="E6" s="10">
        <x:f>COUNTIF(13_Capacite!B$5:B$604,"LOW")</x:f>
        <x:v>0</x:v>
      </x:c>
      <x:c r="F6" s="10">
        <x:f>COUNTIF(13_Capacite!B$5:B$604,"UK")</x:f>
        <x:v>0</x:v>
      </x:c>
      <x:c r="G6" s="10">
        <x:f>SUM(C6:F6)</x:f>
        <x:v>0</x:v>
      </x:c>
    </x:row>
    <x:row r="7">
      <x:c r="A7" s="10" t="inlineStr">
        <x:is>
          <x:t xml:space="preserve">acces_data_admin</x:t>
        </x:is>
      </x:c>
      <x:c r="B7" s="10" t="inlineStr">
        <x:is>
          <x:t xml:space="preserve">Accès données admin</x:t>
        </x:is>
      </x:c>
      <x:c r="C7" s="10">
        <x:f>COUNTIF(13_Capacite!C$5:C$604,"HIGH")</x:f>
        <x:v>0</x:v>
      </x:c>
      <x:c r="D7" s="10">
        <x:f>COUNTIF(13_Capacite!C$5:C$604,"MED")</x:f>
        <x:v>0</x:v>
      </x:c>
      <x:c r="E7" s="10">
        <x:f>COUNTIF(13_Capacite!C$5:C$604,"LOW")</x:f>
        <x:v>0</x:v>
      </x:c>
      <x:c r="F7" s="10">
        <x:f>COUNTIF(13_Capacite!C$5:C$604,"UK")</x:f>
        <x:v>0</x:v>
      </x:c>
      <x:c r="G7" s="10">
        <x:f>SUM(C7:F7)</x:f>
        <x:v>0</x:v>
      </x:c>
    </x:row>
    <x:row r="8">
      <x:c r="A8" s="10" t="inlineStr">
        <x:is>
          <x:t xml:space="preserve">financement</x:t>
        </x:is>
      </x:c>
      <x:c r="B8" s="10" t="inlineStr">
        <x:is>
          <x:t xml:space="preserve">Financement</x:t>
        </x:is>
      </x:c>
      <x:c r="C8" s="10">
        <x:f>COUNTIF(13_Capacite!D$5:D$604,"HIGH")</x:f>
        <x:v>0</x:v>
      </x:c>
      <x:c r="D8" s="10">
        <x:f>COUNTIF(13_Capacite!D$5:D$604,"MED")</x:f>
        <x:v>0</x:v>
      </x:c>
      <x:c r="E8" s="10">
        <x:f>COUNTIF(13_Capacite!D$5:D$604,"LOW")</x:f>
        <x:v>0</x:v>
      </x:c>
      <x:c r="F8" s="10">
        <x:f>COUNTIF(13_Capacite!D$5:D$604,"UK")</x:f>
        <x:v>0</x:v>
      </x:c>
      <x:c r="G8" s="10">
        <x:f>SUM(C8:F8)</x:f>
        <x:v>0</x:v>
      </x:c>
    </x:row>
    <x:row r="9">
      <x:c r="A9" s="10" t="inlineStr">
        <x:is>
          <x:t xml:space="preserve">outils_numeriques</x:t>
        </x:is>
      </x:c>
      <x:c r="B9" s="10" t="inlineStr">
        <x:is>
          <x:t xml:space="preserve">Outils numériques</x:t>
        </x:is>
      </x:c>
      <x:c r="C9" s="10">
        <x:f>COUNTIF(13_Capacite!E$5:E$604,"HIGH")</x:f>
        <x:v>0</x:v>
      </x:c>
      <x:c r="D9" s="10">
        <x:f>COUNTIF(13_Capacite!E$5:E$604,"MED")</x:f>
        <x:v>0</x:v>
      </x:c>
      <x:c r="E9" s="10">
        <x:f>COUNTIF(13_Capacite!E$5:E$604,"LOW")</x:f>
        <x:v>0</x:v>
      </x:c>
      <x:c r="F9" s="10">
        <x:f>COUNTIF(13_Capacite!E$5:E$604,"UK")</x:f>
        <x:v>0</x:v>
      </x:c>
      <x:c r="G9" s="10">
        <x:f>SUM(C9:F9)</x:f>
        <x:v>0</x:v>
      </x:c>
    </x:row>
    <x:row r="10">
      <x:c r="A10" s="10" t="inlineStr">
        <x:is>
          <x:t xml:space="preserve">cadre_juridique</x:t>
        </x:is>
      </x:c>
      <x:c r="B10" s="10" t="inlineStr">
        <x:is>
          <x:t xml:space="preserve">Cadre juridique</x:t>
        </x:is>
      </x:c>
      <x:c r="C10" s="10">
        <x:f>COUNTIF(13_Capacite!F$5:F$604,"HIGH")</x:f>
        <x:v>0</x:v>
      </x:c>
      <x:c r="D10" s="10">
        <x:f>COUNTIF(13_Capacite!F$5:F$604,"MED")</x:f>
        <x:v>0</x:v>
      </x:c>
      <x:c r="E10" s="10">
        <x:f>COUNTIF(13_Capacite!F$5:F$604,"LOW")</x:f>
        <x:v>0</x:v>
      </x:c>
      <x:c r="F10" s="10">
        <x:f>COUNTIF(13_Capacite!F$5:F$604,"UK")</x:f>
        <x:v>0</x:v>
      </x:c>
      <x:c r="G10" s="10">
        <x:f>SUM(C10:F10)</x:f>
        <x:v>0</x:v>
      </x:c>
    </x:row>
    <x:row r="11">
      <x:c r="A11" s="10" t="inlineStr">
        <x:is>
          <x:t xml:space="preserve">coordination</x:t>
        </x:is>
      </x:c>
      <x:c r="B11" s="10" t="inlineStr">
        <x:is>
          <x:t xml:space="preserve">Coordination</x:t>
        </x:is>
      </x:c>
      <x:c r="C11" s="10">
        <x:f>COUNTIF(13_Capacite!G$5:G$604,"HIGH")</x:f>
        <x:v>0</x:v>
      </x:c>
      <x:c r="D11" s="10">
        <x:f>COUNTIF(13_Capacite!G$5:G$604,"MED")</x:f>
        <x:v>0</x:v>
      </x:c>
      <x:c r="E11" s="10">
        <x:f>COUNTIF(13_Capacite!G$5:G$604,"LOW")</x:f>
        <x:v>0</x:v>
      </x:c>
      <x:c r="F11" s="10">
        <x:f>COUNTIF(13_Capacite!G$5:G$604,"UK")</x:f>
        <x:v>0</x:v>
      </x:c>
      <x:c r="G11" s="10">
        <x:f>SUM(C11:F11)</x:f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customWidth="1"/>
  </x:cols>
  <x:sheetData>
    <x:row r="1">
      <x:c r="A1" s="4" t="inlineStr">
        <x:is>
          <x:t xml:space="preserve">Analyse - Qualité, diffusion, sources</x:t>
        </x:is>
      </x:c>
    </x:row>
    <x:row r="2">
      <x:c r="A2" s="3" t="inlineStr">
        <x:is>
          <x:t xml:space="preserve">À produire via TCD dans Excel à partir de 14_Selections (category, option).</x:t>
        </x:is>
      </x:c>
    </x:row>
    <x:row r="5">
      <x:c r="A5" s="2" t="inlineStr">
        <x:is>
          <x:t xml:space="preserve">Suggestion : insérer un TCD (lignes : option, colonnes : category, valeurs : N).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customWidth="1"/>
    <x:col min="2" max="2" width="18" customWidth="1"/>
  </x:cols>
  <x:sheetData>
    <x:row r="1">
      <x:c r="A1" s="1" t="inlineStr">
        <x:is>
          <x:t xml:space="preserve">Tableau de bord (synthèse)</x:t>
        </x:is>
      </x:c>
    </x:row>
    <x:row r="3">
      <x:c r="A3" s="5" t="inlineStr">
        <x:is>
          <x:t xml:space="preserve">Indicateurs clés</x:t>
        </x:is>
      </x:c>
    </x:row>
    <x:row r="4">
      <x:c r="A4" t="inlineStr">
        <x:is>
          <x:t xml:space="preserve">N soumissions</x:t>
        </x:is>
      </x:c>
      <x:c r="B4">
        <x:f>COUNTA(10_Repondants!A5:A604)</x:f>
        <x:v>0</x:v>
      </x:c>
    </x:row>
    <x:row r="5">
      <x:c r="A5" t="inlineStr">
        <x:is>
          <x:t xml:space="preserve">N lignes de notation</x:t>
        </x:is>
      </x:c>
      <x:c r="B5">
        <x:f>COUNTA(11_StatScores!A5:A2004)</x:f>
        <x:v>0</x:v>
      </x:c>
    </x:row>
    <x:row r="6">
      <x:c r="A6" t="inlineStr">
        <x:is>
          <x:t xml:space="preserve">N lignes sélections</x:t>
        </x:is>
      </x:c>
      <x:c r="B6">
        <x:f>COUNTA(14_Selections!A5:A3004)</x:f>
        <x:v>0</x:v>
      </x:c>
    </x:row>
    <x:row r="8">
      <x:c r="A8" s="2" t="inlineStr">
        <x:is>
          <x:t xml:space="preserve">Domaines : voir 30_Domaines (trier Points)</x:t>
        </x:is>
      </x:c>
    </x:row>
    <x:row r="9">
      <x:c r="A9" s="2" t="inlineStr">
        <x:is>
          <x:t xml:space="preserve">Statistiques : voir 31_Stats (trier Moy Composite)</x:t>
        </x:is>
      </x:c>
    </x:row>
  </x:sheetData>
  <x:pageMargins left="0.7" right="0.7" top="0.75" bottom="0.75" header="0.3" footer="0.3"/>
</x:worksheet>
</file>